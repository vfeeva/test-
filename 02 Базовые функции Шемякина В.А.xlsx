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8_{5E8AF43C-873C-4204-B804-963EF9CA2E94}" xr6:coauthVersionLast="45" xr6:coauthVersionMax="45" xr10:uidLastSave="{00000000-0000-0000-0000-000000000000}"/>
  <bookViews>
    <workbookView xWindow="-108" yWindow="-108" windowWidth="23256" windowHeight="12576" tabRatio="855" firstSheet="22" activeTab="30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Лист1" sheetId="32" r:id="rId15"/>
    <sheet name="ПОИСК НАЙТИ" sheetId="4" r:id="rId16"/>
    <sheet name="ПОДСТАВИТЬ" sheetId="13" r:id="rId17"/>
    <sheet name="ЗАМЕНИТЬ" sheetId="27" r:id="rId18"/>
    <sheet name="ЛЕВСИМВ ПРАВСИМВ" sheetId="14" r:id="rId19"/>
    <sheet name="ДЛСТР" sheetId="15" r:id="rId20"/>
    <sheet name="СЦЕПИТЬ" sheetId="18" r:id="rId21"/>
    <sheet name="СТРОЧН ПРОПНАЧ ПРОПИСН" sheetId="30" r:id="rId22"/>
    <sheet name="СЧЁТ СЧЁТЗ" sheetId="16" r:id="rId23"/>
    <sheet name="СЧИТАТЬПУСТОТЫ" sheetId="20" r:id="rId24"/>
    <sheet name="ЕПУСТО ЕТЕКСТ ЕЧИСЛО" sheetId="31" r:id="rId25"/>
    <sheet name="НАИБОЛЬШИЙ НАИМЕНЬШИЙ" sheetId="19" r:id="rId26"/>
    <sheet name="ВПР" sheetId="21" r:id="rId27"/>
    <sheet name="ЕСЛИОШИБКА" sheetId="23" r:id="rId28"/>
    <sheet name="ПОИСКПОЗ" sheetId="24" r:id="rId29"/>
    <sheet name="ИНДЕКС" sheetId="25" r:id="rId30"/>
    <sheet name="РАНГ" sheetId="26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26" l="1"/>
  <c r="E7" i="26"/>
  <c r="E8" i="26"/>
  <c r="E9" i="26"/>
  <c r="E10" i="26"/>
  <c r="E11" i="26"/>
  <c r="E12" i="26"/>
  <c r="E13" i="26"/>
  <c r="E14" i="26"/>
  <c r="E15" i="26"/>
  <c r="E5" i="26"/>
  <c r="G6" i="25"/>
  <c r="H5" i="21"/>
  <c r="F5" i="24"/>
  <c r="D6" i="23"/>
  <c r="D7" i="23"/>
  <c r="D8" i="23"/>
  <c r="D9" i="23"/>
  <c r="D10" i="23"/>
  <c r="D11" i="23"/>
  <c r="D12" i="23"/>
  <c r="D13" i="23"/>
  <c r="D14" i="23"/>
  <c r="D15" i="23"/>
  <c r="D5" i="23"/>
  <c r="F14" i="19"/>
  <c r="F15" i="19"/>
  <c r="F13" i="19"/>
  <c r="F7" i="19"/>
  <c r="F8" i="19"/>
  <c r="F6" i="19"/>
  <c r="E6" i="31"/>
  <c r="E7" i="31"/>
  <c r="E8" i="31"/>
  <c r="E9" i="31"/>
  <c r="E10" i="31"/>
  <c r="E11" i="31"/>
  <c r="E12" i="31"/>
  <c r="E13" i="31"/>
  <c r="E14" i="31"/>
  <c r="D6" i="31"/>
  <c r="D7" i="31"/>
  <c r="D8" i="31"/>
  <c r="D9" i="31"/>
  <c r="D10" i="31"/>
  <c r="D11" i="31"/>
  <c r="D12" i="31"/>
  <c r="D13" i="31"/>
  <c r="D14" i="31"/>
  <c r="E5" i="31"/>
  <c r="D5" i="31"/>
  <c r="C6" i="31"/>
  <c r="C7" i="31"/>
  <c r="C8" i="31"/>
  <c r="C9" i="31"/>
  <c r="C10" i="31"/>
  <c r="C11" i="31"/>
  <c r="C12" i="31"/>
  <c r="C13" i="31"/>
  <c r="C14" i="31"/>
  <c r="C5" i="31"/>
  <c r="D6" i="20"/>
  <c r="G8" i="16"/>
  <c r="G5" i="16"/>
  <c r="E6" i="30"/>
  <c r="E7" i="30"/>
  <c r="E8" i="30"/>
  <c r="E9" i="30"/>
  <c r="E10" i="30"/>
  <c r="E11" i="30"/>
  <c r="E12" i="30"/>
  <c r="E13" i="30"/>
  <c r="E5" i="30"/>
  <c r="D6" i="30"/>
  <c r="D7" i="30"/>
  <c r="D8" i="30"/>
  <c r="D9" i="30"/>
  <c r="D10" i="30"/>
  <c r="D11" i="30"/>
  <c r="D12" i="30"/>
  <c r="D13" i="30"/>
  <c r="D5" i="30"/>
  <c r="C6" i="30"/>
  <c r="C7" i="30"/>
  <c r="C8" i="30"/>
  <c r="C9" i="30"/>
  <c r="C10" i="30"/>
  <c r="C11" i="30"/>
  <c r="C12" i="30"/>
  <c r="C13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7" i="13" l="1"/>
  <c r="C8" i="13"/>
  <c r="C6" i="13"/>
  <c r="C5" i="13"/>
  <c r="E11" i="4"/>
  <c r="E6" i="4"/>
  <c r="E7" i="4"/>
  <c r="E8" i="4"/>
  <c r="E9" i="4"/>
  <c r="E10" i="4"/>
  <c r="E12" i="4"/>
  <c r="E13" i="4"/>
  <c r="E14" i="4"/>
  <c r="E15" i="4"/>
  <c r="E5" i="4"/>
  <c r="D6" i="4"/>
  <c r="D7" i="4"/>
  <c r="D8" i="4"/>
  <c r="D9" i="4"/>
  <c r="D10" i="4"/>
  <c r="D11" i="4"/>
  <c r="D12" i="4"/>
  <c r="D13" i="4"/>
  <c r="D14" i="4"/>
  <c r="D15" i="4"/>
  <c r="D5" i="4"/>
  <c r="C6" i="11" l="1"/>
  <c r="C7" i="11"/>
  <c r="C8" i="11"/>
  <c r="C9" i="11"/>
  <c r="C10" i="11"/>
  <c r="C11" i="11"/>
  <c r="C5" i="11"/>
  <c r="E10" i="12"/>
  <c r="E6" i="12"/>
  <c r="H5" i="8"/>
  <c r="H6" i="7"/>
  <c r="H7" i="7"/>
  <c r="H5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E6" i="6"/>
  <c r="E7" i="6"/>
  <c r="E8" i="6"/>
  <c r="E9" i="6"/>
  <c r="E10" i="6"/>
  <c r="E11" i="6"/>
  <c r="E12" i="6"/>
  <c r="E13" i="6"/>
  <c r="E14" i="6"/>
  <c r="E15" i="6"/>
  <c r="E5" i="6"/>
  <c r="D6" i="6"/>
  <c r="D7" i="6"/>
  <c r="D8" i="6"/>
  <c r="D9" i="6"/>
  <c r="D10" i="6"/>
  <c r="D11" i="6"/>
  <c r="D12" i="6"/>
  <c r="D13" i="6"/>
  <c r="D14" i="6"/>
  <c r="D15" i="6"/>
  <c r="D5" i="6"/>
  <c r="F13" i="5"/>
  <c r="F14" i="5"/>
  <c r="F12" i="5"/>
  <c r="F11" i="5"/>
  <c r="F10" i="5"/>
  <c r="F9" i="5"/>
  <c r="F6" i="5"/>
  <c r="F7" i="5"/>
  <c r="F8" i="5"/>
  <c r="F5" i="5"/>
  <c r="H12" i="3"/>
  <c r="H13" i="3"/>
  <c r="H11" i="3"/>
  <c r="H10" i="3"/>
  <c r="H9" i="3"/>
  <c r="H8" i="3"/>
  <c r="H6" i="3"/>
  <c r="H7" i="3"/>
  <c r="H5" i="3"/>
  <c r="G6" i="2"/>
  <c r="G7" i="2"/>
  <c r="G8" i="2"/>
  <c r="G9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  <c r="E6" i="2"/>
  <c r="E7" i="2"/>
  <c r="E8" i="2"/>
  <c r="E9" i="2"/>
  <c r="E10" i="2"/>
  <c r="E11" i="2"/>
  <c r="E12" i="2"/>
  <c r="E13" i="2"/>
  <c r="E14" i="2"/>
  <c r="E5" i="2"/>
  <c r="D6" i="2"/>
  <c r="D7" i="2"/>
  <c r="D8" i="2"/>
  <c r="D9" i="2"/>
  <c r="D10" i="2"/>
  <c r="D11" i="2"/>
  <c r="D12" i="2"/>
  <c r="D13" i="2"/>
  <c r="D14" i="2"/>
  <c r="D5" i="2"/>
  <c r="B21" i="28"/>
  <c r="B9" i="28"/>
  <c r="B6" i="28"/>
  <c r="B5" i="28"/>
  <c r="E6" i="29"/>
  <c r="E7" i="29"/>
  <c r="E8" i="29"/>
  <c r="E9" i="29"/>
  <c r="E10" i="29"/>
  <c r="E11" i="29"/>
  <c r="E12" i="29"/>
  <c r="E13" i="29"/>
  <c r="E14" i="29"/>
  <c r="E15" i="29"/>
  <c r="E16" i="29"/>
  <c r="E5" i="29"/>
  <c r="K5" i="29"/>
  <c r="E6" i="9"/>
  <c r="E7" i="9"/>
  <c r="E8" i="9"/>
  <c r="E9" i="9"/>
  <c r="E10" i="9"/>
  <c r="E11" i="9"/>
  <c r="E12" i="9"/>
  <c r="E13" i="9"/>
  <c r="E14" i="9"/>
  <c r="D6" i="9"/>
  <c r="D7" i="9"/>
  <c r="D8" i="9"/>
  <c r="D9" i="9"/>
  <c r="D10" i="9"/>
  <c r="D11" i="9"/>
  <c r="D12" i="9"/>
  <c r="D13" i="9"/>
  <c r="D14" i="9"/>
  <c r="C6" i="9"/>
  <c r="C7" i="9"/>
  <c r="C8" i="9"/>
  <c r="C9" i="9"/>
  <c r="C10" i="9"/>
  <c r="C11" i="9"/>
  <c r="C12" i="9"/>
  <c r="C13" i="9"/>
  <c r="C14" i="9"/>
  <c r="E5" i="9"/>
  <c r="D5" i="9"/>
  <c r="C5" i="9"/>
  <c r="I15" i="1"/>
  <c r="I14" i="1"/>
  <c r="I13" i="1"/>
  <c r="I12" i="1"/>
  <c r="I11" i="1"/>
  <c r="I10" i="1"/>
  <c r="I9" i="1"/>
  <c r="I8" i="1"/>
  <c r="I7" i="1"/>
  <c r="I6" i="1"/>
  <c r="I5" i="1"/>
  <c r="B14" i="31" l="1"/>
  <c r="B13" i="31"/>
  <c r="B8" i="3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D14" i="16" l="1"/>
  <c r="C14" i="16"/>
  <c r="B14" i="16"/>
  <c r="B15" i="16" s="1"/>
  <c r="D15" i="16" s="1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C15" i="16" l="1"/>
  <c r="D14" i="5" l="1"/>
  <c r="E13" i="3" l="1"/>
  <c r="F12" i="3"/>
</calcChain>
</file>

<file path=xl/sharedStrings.xml><?xml version="1.0" encoding="utf-8"?>
<sst xmlns="http://schemas.openxmlformats.org/spreadsheetml/2006/main" count="575" uniqueCount="406">
  <si>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</si>
  <si>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</si>
  <si>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</si>
  <si>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</si>
  <si>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</si>
  <si>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</si>
  <si>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</si>
  <si>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</si>
  <si>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</si>
  <si>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</si>
  <si>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</si>
  <si>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</si>
  <si>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</si>
  <si>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</si>
  <si>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</si>
  <si>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</si>
  <si>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</si>
  <si>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</si>
  <si>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</si>
  <si>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</si>
  <si>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</si>
  <si>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</si>
  <si>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</si>
  <si>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</si>
  <si>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</si>
  <si>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</si>
  <si>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</si>
  <si>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</si>
  <si>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</si>
  <si>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</si>
  <si>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</si>
  <si>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</si>
  <si>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</si>
  <si>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</si>
  <si>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</si>
  <si>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</si>
  <si>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</si>
  <si>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</si>
  <si>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</si>
  <si>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</si>
  <si>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</si>
  <si>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</si>
  <si>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</si>
  <si>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</si>
  <si>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</si>
  <si>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</si>
  <si>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</si>
  <si>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</si>
  <si>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</si>
  <si>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</si>
  <si>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</si>
  <si>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</si>
  <si>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</si>
  <si>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</si>
  <si>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</si>
  <si>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</si>
  <si>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</si>
  <si>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</si>
  <si>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</si>
  <si>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</si>
  <si>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</si>
  <si>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</si>
  <si>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</si>
  <si>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</si>
  <si>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</si>
  <si>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</si>
  <si>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</si>
  <si>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</si>
  <si>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</si>
  <si>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</si>
  <si>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</si>
  <si>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</si>
  <si>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</si>
  <si>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</si>
  <si>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</si>
  <si>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</si>
  <si>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</si>
  <si>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</si>
  <si>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</si>
  <si>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</si>
  <si>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</si>
  <si>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</si>
  <si>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</si>
  <si>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</si>
  <si>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</si>
  <si>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</si>
  <si>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</si>
  <si>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</si>
  <si>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</si>
  <si>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</si>
  <si>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</si>
  <si>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</si>
  <si>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</si>
  <si>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</si>
  <si>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</si>
  <si>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</si>
  <si>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</si>
  <si>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</si>
  <si>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</si>
  <si>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</si>
  <si>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</si>
  <si>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</si>
  <si>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</si>
  <si>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</si>
  <si>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</si>
  <si>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</si>
  <si>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</si>
  <si>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</si>
  <si>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</si>
  <si>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</si>
  <si>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</si>
  <si>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</si>
  <si>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</si>
  <si>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</si>
  <si>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</si>
  <si>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</si>
  <si>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</si>
  <si>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</si>
  <si>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</si>
  <si>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</si>
  <si>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</si>
  <si>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</si>
  <si>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</si>
  <si>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</si>
  <si>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</si>
  <si>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</si>
  <si>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</si>
  <si>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</si>
  <si>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</si>
  <si>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</si>
  <si>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</si>
  <si>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</si>
  <si>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</si>
  <si>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</si>
  <si>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</si>
  <si>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</si>
  <si>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</si>
  <si>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</si>
  <si>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</si>
  <si>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</si>
  <si>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</si>
  <si>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</si>
  <si>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</si>
  <si>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</si>
  <si>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</si>
  <si>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</si>
  <si>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</si>
  <si>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</si>
  <si>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</si>
  <si>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</si>
  <si>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</si>
  <si>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</si>
  <si>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</si>
  <si>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</si>
  <si>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</si>
  <si>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</si>
  <si>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</si>
  <si>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</si>
  <si>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</si>
  <si>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</si>
  <si>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</si>
  <si>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</si>
  <si>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</si>
  <si>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</si>
  <si>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</si>
  <si>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</si>
  <si>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</si>
  <si>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</si>
  <si>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</si>
  <si>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</si>
  <si>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</si>
  <si>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</si>
  <si>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</si>
  <si>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</si>
  <si>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</si>
  <si>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</si>
  <si>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</si>
  <si>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</si>
  <si>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</si>
  <si>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</si>
  <si>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</si>
  <si>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</si>
  <si>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</si>
  <si>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</si>
  <si>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</si>
  <si>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</si>
  <si>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</si>
  <si>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</si>
  <si>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</si>
  <si>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</si>
  <si>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</si>
  <si>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</si>
  <si>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</si>
  <si>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</si>
  <si>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</si>
  <si>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</si>
  <si>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</si>
  <si>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</si>
  <si>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</si>
  <si>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</si>
  <si>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</si>
  <si>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</si>
  <si>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</si>
  <si>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</si>
  <si>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</si>
  <si>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</si>
  <si>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</si>
  <si>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</si>
  <si>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</si>
  <si>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</si>
  <si>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</si>
  <si>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</si>
  <si>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</si>
  <si>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</si>
  <si>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</si>
  <si>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</si>
  <si>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</si>
  <si>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</si>
  <si>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</si>
  <si>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</si>
  <si>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</si>
  <si>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</si>
  <si>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</si>
  <si>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</si>
  <si>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</si>
  <si>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</si>
  <si>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</si>
  <si>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</si>
  <si>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</si>
  <si>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</si>
  <si>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</si>
  <si>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</si>
  <si>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</si>
  <si>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</si>
  <si>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</si>
  <si>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</si>
  <si>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</si>
  <si>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</si>
  <si>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</si>
  <si>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</si>
  <si>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</si>
  <si>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</si>
  <si>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</si>
  <si>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</si>
  <si>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</si>
  <si>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</si>
  <si>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</si>
  <si>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</si>
  <si>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</si>
  <si>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</si>
  <si>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</si>
  <si>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</si>
  <si>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</si>
  <si>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</si>
  <si>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</si>
  <si>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</si>
  <si>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</si>
  <si>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</si>
  <si>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</si>
  <si>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</si>
  <si>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</si>
  <si>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</si>
  <si>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</si>
  <si>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</si>
  <si>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</si>
  <si>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</si>
  <si>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</si>
  <si>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</si>
  <si>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</si>
  <si>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</si>
  <si>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</si>
  <si>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</si>
  <si>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</si>
  <si>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</si>
  <si>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</si>
  <si>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</si>
  <si>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</si>
  <si>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</si>
  <si>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</si>
  <si>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</si>
  <si>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</si>
  <si>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</si>
  <si>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</si>
  <si>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</si>
  <si>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</si>
  <si>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</si>
  <si>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</si>
  <si>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</si>
  <si>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</si>
  <si>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</si>
  <si>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</si>
  <si>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</si>
  <si>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</si>
  <si>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</si>
  <si>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</si>
  <si>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</si>
  <si>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</si>
  <si>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</si>
  <si>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</si>
  <si>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</si>
  <si>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</si>
  <si>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</si>
  <si>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</si>
  <si>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</si>
  <si>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</si>
  <si>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</si>
  <si>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</si>
  <si>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</si>
  <si>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</si>
  <si>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</si>
  <si>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</si>
  <si>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</si>
  <si>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</si>
  <si>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</si>
  <si>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</si>
  <si>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</si>
  <si>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</si>
  <si>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</si>
  <si>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</si>
  <si>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</si>
  <si>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</si>
  <si>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</si>
  <si>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</si>
  <si>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</si>
  <si>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</si>
  <si>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</si>
  <si>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</si>
  <si>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</si>
  <si>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</si>
  <si>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</si>
  <si>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</si>
  <si>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</si>
  <si>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</si>
  <si>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</si>
  <si>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</si>
  <si>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</si>
  <si>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</si>
  <si>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</si>
  <si>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</si>
  <si>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</si>
  <si>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</si>
  <si>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</si>
  <si>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</si>
  <si>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</si>
  <si>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</si>
  <si>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</si>
  <si>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</si>
  <si>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</si>
  <si>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</si>
  <si>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</si>
  <si>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</si>
  <si>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</si>
  <si>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</si>
  <si>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</si>
  <si>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</si>
  <si>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</si>
  <si>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</si>
  <si>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</si>
  <si>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</si>
  <si>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</si>
  <si>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</si>
  <si>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</si>
  <si>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</si>
  <si>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</si>
  <si>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</si>
  <si>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</si>
  <si>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</si>
  <si>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</si>
  <si>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</si>
  <si>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</si>
  <si>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</si>
  <si>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</si>
  <si>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</si>
  <si>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</si>
  <si>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</si>
  <si>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</si>
  <si>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</si>
  <si>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</si>
  <si>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</si>
  <si>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</si>
  <si>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</si>
  <si>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</si>
  <si>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</si>
  <si>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</si>
  <si>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</si>
  <si>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</si>
  <si>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</si>
  <si>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</si>
  <si>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</si>
  <si>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</si>
  <si>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</si>
  <si>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</si>
  <si>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</si>
  <si>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</si>
  <si>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</si>
  <si>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</si>
  <si>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</si>
  <si>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</si>
  <si>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</si>
  <si>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</si>
  <si>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</si>
  <si>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</si>
  <si>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</si>
  <si>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</si>
  <si>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ctrl+f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</si>
  <si>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  <r>
      <rPr>
        <sz val="11"/>
        <color theme="1"/>
        <rFont val="Calibri"/>
        <family val="2"/>
        <scheme val="minor"/>
      </rPr>
      <t xml:space="preserve"> ?ер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</si>
</sst>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  <numFmt numFmtId="173" formatCode="[$-F800]dddd\,/mmmm/dd\,/yyyy"/>
    <numFmt numFmtId="174" formatCode="[$-F400]h:mm:ss/AM/PM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2" fillId="0" borderId="0"/>
  </cellStyleXfs>
  <cellXfs count="105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7" fillId="0" borderId="0" xfId="2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2" fillId="0" borderId="0" xfId="3"/>
    <xf numFmtId="0" fontId="7" fillId="0" borderId="0" xfId="4"/>
    <xf numFmtId="0" fontId="4" fillId="0" borderId="0" xfId="3" applyFont="1"/>
    <xf numFmtId="0" fontId="4" fillId="0" borderId="0" xfId="3" applyFont="1" applyAlignment="1">
      <alignment horizontal="left"/>
    </xf>
    <xf numFmtId="0" fontId="2" fillId="0" borderId="0" xfId="3" quotePrefix="1" applyAlignment="1">
      <alignment horizontal="left"/>
    </xf>
    <xf numFmtId="0" fontId="4" fillId="0" borderId="0" xfId="3" applyFont="1" applyAlignment="1">
      <alignment horizontal="right"/>
    </xf>
    <xf numFmtId="0" fontId="5" fillId="0" borderId="0" xfId="3" applyFont="1"/>
    <xf numFmtId="0" fontId="2" fillId="0" borderId="1" xfId="3" applyBorder="1"/>
    <xf numFmtId="1" fontId="2" fillId="0" borderId="1" xfId="3" applyNumberFormat="1" applyBorder="1"/>
    <xf numFmtId="0" fontId="2" fillId="2" borderId="1" xfId="3" applyFill="1" applyBorder="1"/>
    <xf numFmtId="165" fontId="2" fillId="0" borderId="1" xfId="3" applyNumberFormat="1" applyBorder="1"/>
    <xf numFmtId="14" fontId="8" fillId="0" borderId="1" xfId="3" applyNumberFormat="1" applyFont="1" applyBorder="1"/>
    <xf numFmtId="20" fontId="2" fillId="0" borderId="1" xfId="3" applyNumberFormat="1" applyBorder="1"/>
    <xf numFmtId="166" fontId="3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2" fillId="0" borderId="0" xfId="5"/>
    <xf numFmtId="0" fontId="4" fillId="0" borderId="0" xfId="5" applyFont="1"/>
    <xf numFmtId="0" fontId="4" fillId="0" borderId="0" xfId="5" applyFont="1" applyAlignment="1">
      <alignment horizontal="center"/>
    </xf>
    <xf numFmtId="0" fontId="4" fillId="0" borderId="0" xfId="5" applyFont="1" applyAlignment="1">
      <alignment horizontal="right"/>
    </xf>
    <xf numFmtId="0" fontId="5" fillId="0" borderId="0" xfId="5" applyFont="1"/>
    <xf numFmtId="0" fontId="2" fillId="0" borderId="1" xfId="5" applyBorder="1"/>
    <xf numFmtId="2" fontId="2" fillId="2" borderId="1" xfId="5" applyNumberFormat="1" applyFill="1" applyBorder="1"/>
    <xf numFmtId="1" fontId="2" fillId="0" borderId="1" xfId="5" applyNumberFormat="1" applyBorder="1"/>
    <xf numFmtId="14" fontId="8" fillId="0" borderId="1" xfId="5" applyNumberFormat="1" applyFont="1" applyBorder="1"/>
    <xf numFmtId="20" fontId="2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4" fillId="0" borderId="0" xfId="0" applyFont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6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1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5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5" fillId="0" borderId="0" xfId="0" quotePrefix="1" applyFont="1"/>
    <xf numFmtId="0" fontId="12" fillId="0" borderId="0" xfId="0" applyFont="1"/>
    <xf numFmtId="9" fontId="0" fillId="0" borderId="1" xfId="0" applyNumberFormat="1" applyBorder="1"/>
    <xf numFmtId="0" fontId="10" fillId="0" borderId="0" xfId="0" applyFont="1"/>
    <xf numFmtId="0" fontId="13" fillId="0" borderId="0" xfId="0" applyFont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5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3" fillId="0" borderId="1" xfId="0" applyFont="1" applyBorder="1"/>
    <xf numFmtId="171" fontId="0" fillId="0" borderId="1" xfId="0" quotePrefix="1" applyNumberFormat="1" applyBorder="1"/>
    <xf numFmtId="165" fontId="14" fillId="2" borderId="0" xfId="0" applyNumberFormat="1" applyFont="1" applyFill="1"/>
    <xf numFmtId="0" fontId="0" fillId="2" borderId="1" xfId="0" quotePrefix="1" applyFill="1" applyBorder="1"/>
    <xf numFmtId="0" fontId="3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6" fillId="5" borderId="2" xfId="3" applyFont="1" applyFill="1" applyBorder="1" applyAlignment="1">
      <alignment horizontal="center" vertical="center"/>
    </xf>
    <xf numFmtId="0" fontId="6" fillId="5" borderId="1" xfId="5" applyFont="1" applyFill="1" applyBorder="1" applyAlignment="1">
      <alignment horizontal="center" vertical="center"/>
    </xf>
    <xf numFmtId="0" fontId="6" fillId="5" borderId="2" xfId="5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15" fillId="0" borderId="0" xfId="0" quotePrefix="1" applyFont="1"/>
    <xf numFmtId="0" fontId="16" fillId="0" borderId="0" xfId="0" applyFont="1" applyAlignment="1">
      <alignment horizontal="center" vertical="center"/>
    </xf>
    <xf numFmtId="173" fontId="0" fillId="2" borderId="1" xfId="0" applyNumberFormat="1" applyFill="1" applyBorder="1"/>
    <xf numFmtId="174" fontId="0" fillId="2" borderId="1" xfId="0" applyNumberFormat="1" applyFill="1" applyBorder="1"/>
    <xf numFmtId="0" fontId="1" fillId="0" borderId="0" xfId="5" applyFont="1"/>
    <xf numFmtId="0" fontId="6" fillId="6" borderId="5" xfId="0" applyFont="1" applyFill="1" applyBorder="1" applyAlignment="1">
      <alignment horizontal="center" vertical="center"/>
    </xf>
    <xf numFmtId="0" fontId="0" fillId="6" borderId="0" xfId="0" applyNumberFormat="1" applyFill="1"/>
    <xf numFmtId="166" fontId="0" fillId="0" borderId="1" xfId="0" applyNumberFormat="1" applyFont="1" applyBorder="1"/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6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488950</xdr:colOff>
      <xdr:row>3</xdr:row>
      <xdr:rowOff>0</xdr:rowOff>
    </xdr:from>
    <xdr:to>
      <xdr:col>15</xdr:col>
      <xdr:colOff>38100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7486650" y="635000"/>
          <a:ext cx="3206750" cy="171386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476500"/>
          <a:ext cx="1592580" cy="41148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903220" y="2476500"/>
          <a:ext cx="1569720" cy="66294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135880" y="1013460"/>
          <a:ext cx="1882140" cy="67818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866961"/>
          <a:ext cx="4953000" cy="9448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869239" y="1076522"/>
          <a:ext cx="1264920" cy="103526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170420" y="1088346"/>
          <a:ext cx="1394460" cy="106680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zoomScale="170" zoomScaleNormal="170" workbookViewId="0">
      <selection activeCell="I5" sqref="I5:I15"/>
    </sheetView>
  </sheetViews>
  <sheetFormatPr defaultRowHeight="14.4" x14ac:dyDescent="0.3"/>
  <cols>
    <col min="1" max="1" width="8" customWidth="1"/>
    <col min="2" max="2" width="10.33203125" customWidth="1"/>
    <col min="9" max="9" width="17.88671875" customWidth="1"/>
    <col min="15" max="15" width="9.109375" customWidth="1"/>
  </cols>
  <sheetData>
    <row r="1" spans="2:9" x14ac:dyDescent="0.3">
      <c r="B1" s="96" t="s">
        <v>0</v>
      </c>
    </row>
    <row r="2" spans="2:9" ht="22.2" x14ac:dyDescent="0.5">
      <c r="B2" s="95"/>
      <c r="F2" s="1" t="s">
        <v>1</v>
      </c>
    </row>
    <row r="3" spans="2:9" x14ac:dyDescent="0.3">
      <c r="I3" s="2"/>
    </row>
    <row r="4" spans="2:9" ht="15.6" x14ac:dyDescent="0.3">
      <c r="F4" s="86" t="s">
        <v>2</v>
      </c>
      <c r="G4" s="86" t="s">
        <v>3</v>
      </c>
      <c r="H4" s="86" t="s">
        <v>4</v>
      </c>
      <c r="I4" s="86" t="s">
        <v>5</v>
      </c>
    </row>
    <row r="5" spans="2:9" x14ac:dyDescent="0.3">
      <c r="F5" s="3">
        <v>1999</v>
      </c>
      <c r="G5" s="3">
        <v>1</v>
      </c>
      <c r="H5" s="3">
        <v>1</v>
      </c>
      <c r="I5" s="97">
        <f>DATE(F5,G5,H5)</f>
        <v>36161</v>
      </c>
    </row>
    <row r="6" spans="2:9" x14ac:dyDescent="0.3">
      <c r="F6" s="3">
        <v>2000</v>
      </c>
      <c r="G6" s="3">
        <v>1</v>
      </c>
      <c r="H6" s="3">
        <v>1</v>
      </c>
      <c r="I6" s="97">
        <f t="shared" ref="I6:I15" si="0">DATE(F6,G6,H6)</f>
        <v>36526</v>
      </c>
    </row>
    <row r="7" spans="2:9" x14ac:dyDescent="0.3">
      <c r="F7" s="3">
        <v>2005</v>
      </c>
      <c r="G7" s="3">
        <v>2</v>
      </c>
      <c r="H7" s="3">
        <v>12</v>
      </c>
      <c r="I7" s="97">
        <f t="shared" si="0"/>
        <v>38395</v>
      </c>
    </row>
    <row r="8" spans="2:9" x14ac:dyDescent="0.3">
      <c r="F8" s="3">
        <v>2010</v>
      </c>
      <c r="G8" s="3">
        <v>10</v>
      </c>
      <c r="H8" s="3">
        <v>22</v>
      </c>
      <c r="I8" s="97">
        <f t="shared" si="0"/>
        <v>40473</v>
      </c>
    </row>
    <row r="9" spans="2:9" x14ac:dyDescent="0.3">
      <c r="F9" s="3">
        <v>2018</v>
      </c>
      <c r="G9" s="3">
        <v>6</v>
      </c>
      <c r="H9" s="3">
        <v>18</v>
      </c>
      <c r="I9" s="97">
        <f t="shared" si="0"/>
        <v>43269</v>
      </c>
    </row>
    <row r="10" spans="2:9" x14ac:dyDescent="0.3">
      <c r="F10" s="3">
        <v>2022</v>
      </c>
      <c r="G10" s="3">
        <v>8</v>
      </c>
      <c r="H10" s="3">
        <v>15</v>
      </c>
      <c r="I10" s="97">
        <f t="shared" si="0"/>
        <v>44788</v>
      </c>
    </row>
    <row r="11" spans="2:9" x14ac:dyDescent="0.3">
      <c r="F11" s="3">
        <v>2026</v>
      </c>
      <c r="G11" s="3">
        <v>9</v>
      </c>
      <c r="H11" s="3">
        <v>4</v>
      </c>
      <c r="I11" s="97">
        <f t="shared" si="0"/>
        <v>46269</v>
      </c>
    </row>
    <row r="12" spans="2:9" x14ac:dyDescent="0.3">
      <c r="F12" s="3">
        <v>2030</v>
      </c>
      <c r="G12" s="3">
        <v>12</v>
      </c>
      <c r="H12" s="3">
        <v>30</v>
      </c>
      <c r="I12" s="97">
        <f t="shared" si="0"/>
        <v>47847</v>
      </c>
    </row>
    <row r="13" spans="2:9" x14ac:dyDescent="0.3">
      <c r="F13" s="3">
        <v>2045</v>
      </c>
      <c r="G13" s="3">
        <v>3</v>
      </c>
      <c r="H13" s="3">
        <v>28</v>
      </c>
      <c r="I13" s="97">
        <f t="shared" si="0"/>
        <v>53049</v>
      </c>
    </row>
    <row r="14" spans="2:9" x14ac:dyDescent="0.3">
      <c r="F14" s="3">
        <v>2050</v>
      </c>
      <c r="G14" s="3">
        <v>7</v>
      </c>
      <c r="H14" s="3">
        <v>3</v>
      </c>
      <c r="I14" s="97">
        <f t="shared" si="0"/>
        <v>54972</v>
      </c>
    </row>
    <row r="15" spans="2:9" x14ac:dyDescent="0.3">
      <c r="F15" s="3">
        <v>2099</v>
      </c>
      <c r="G15" s="3">
        <v>11</v>
      </c>
      <c r="H15" s="3">
        <v>10</v>
      </c>
      <c r="I15" s="97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zoomScale="115" zoomScaleNormal="115" workbookViewId="0">
      <selection activeCell="F20" sqref="F20"/>
    </sheetView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2" spans="2:8" ht="21" x14ac:dyDescent="0.4">
      <c r="B2" s="1" t="s">
        <v>125</v>
      </c>
      <c r="C2" s="8" t="s">
        <v>126</v>
      </c>
      <c r="D2" s="44" t="s">
        <v>127</v>
      </c>
    </row>
    <row r="3" spans="2:8" x14ac:dyDescent="0.3">
      <c r="C3" s="2"/>
      <c r="D3" s="2"/>
      <c r="E3" s="2"/>
    </row>
    <row r="4" spans="2:8" ht="15.6" x14ac:dyDescent="0.3">
      <c r="B4" s="87" t="s">
        <v>128</v>
      </c>
      <c r="C4" s="87" t="s">
        <v>4</v>
      </c>
      <c r="D4" s="87" t="s">
        <v>3</v>
      </c>
      <c r="E4" s="87" t="s">
        <v>2</v>
      </c>
    </row>
    <row r="5" spans="2:8" x14ac:dyDescent="0.3">
      <c r="B5" s="40">
        <v>27670</v>
      </c>
      <c r="C5" s="27">
        <f>DAY(B5)</f>
        <v>3</v>
      </c>
      <c r="D5" s="27">
        <f>MONTH(B5)</f>
        <v>10</v>
      </c>
      <c r="E5" s="27">
        <f>YEAR(B5)</f>
        <v>1975</v>
      </c>
      <c r="H5" s="10"/>
    </row>
    <row r="6" spans="2:8" x14ac:dyDescent="0.3">
      <c r="B6" s="40">
        <v>33108</v>
      </c>
      <c r="C6" s="27">
        <f t="shared" ref="C6:C14" si="0">DAY(B6)</f>
        <v>23</v>
      </c>
      <c r="D6" s="27">
        <f t="shared" ref="D6:D14" si="1">MONTH(B6)</f>
        <v>8</v>
      </c>
      <c r="E6" s="27">
        <f t="shared" ref="E6:E14" si="2">YEAR(B6)</f>
        <v>1990</v>
      </c>
      <c r="H6" s="10"/>
    </row>
    <row r="7" spans="2:8" x14ac:dyDescent="0.3">
      <c r="B7" s="40">
        <v>36526</v>
      </c>
      <c r="C7" s="27">
        <f t="shared" si="0"/>
        <v>1</v>
      </c>
      <c r="D7" s="27">
        <f t="shared" si="1"/>
        <v>1</v>
      </c>
      <c r="E7" s="27">
        <f t="shared" si="2"/>
        <v>2000</v>
      </c>
      <c r="H7" s="10"/>
    </row>
    <row r="8" spans="2:8" x14ac:dyDescent="0.3">
      <c r="B8" s="40">
        <v>45285</v>
      </c>
      <c r="C8" s="27">
        <f t="shared" si="0"/>
        <v>25</v>
      </c>
      <c r="D8" s="27">
        <f t="shared" si="1"/>
        <v>12</v>
      </c>
      <c r="E8" s="27">
        <f t="shared" si="2"/>
        <v>2023</v>
      </c>
      <c r="H8" s="10"/>
    </row>
    <row r="9" spans="2:8" x14ac:dyDescent="0.3">
      <c r="B9" s="40">
        <v>45823</v>
      </c>
      <c r="C9" s="27">
        <f t="shared" si="0"/>
        <v>15</v>
      </c>
      <c r="D9" s="27">
        <f t="shared" si="1"/>
        <v>6</v>
      </c>
      <c r="E9" s="27">
        <f t="shared" si="2"/>
        <v>2025</v>
      </c>
      <c r="H9" s="10"/>
    </row>
    <row r="10" spans="2:8" x14ac:dyDescent="0.3">
      <c r="B10" s="40">
        <v>46143</v>
      </c>
      <c r="C10" s="27">
        <f t="shared" si="0"/>
        <v>1</v>
      </c>
      <c r="D10" s="27">
        <f t="shared" si="1"/>
        <v>5</v>
      </c>
      <c r="E10" s="27">
        <f t="shared" si="2"/>
        <v>2026</v>
      </c>
      <c r="H10" s="10"/>
    </row>
    <row r="11" spans="2:8" x14ac:dyDescent="0.3">
      <c r="B11" s="40">
        <v>47027</v>
      </c>
      <c r="C11" s="27">
        <f t="shared" si="0"/>
        <v>1</v>
      </c>
      <c r="D11" s="27">
        <f t="shared" si="1"/>
        <v>10</v>
      </c>
      <c r="E11" s="27">
        <f t="shared" si="2"/>
        <v>2028</v>
      </c>
      <c r="H11" s="10"/>
    </row>
    <row r="12" spans="2:8" x14ac:dyDescent="0.3">
      <c r="B12" s="40">
        <v>45657</v>
      </c>
      <c r="C12" s="27">
        <f t="shared" si="0"/>
        <v>31</v>
      </c>
      <c r="D12" s="27">
        <f t="shared" si="1"/>
        <v>12</v>
      </c>
      <c r="E12" s="27">
        <f t="shared" si="2"/>
        <v>2024</v>
      </c>
      <c r="H12" s="10"/>
    </row>
    <row r="13" spans="2:8" x14ac:dyDescent="0.3">
      <c r="B13" s="40">
        <v>45350</v>
      </c>
      <c r="C13" s="27">
        <f t="shared" si="0"/>
        <v>28</v>
      </c>
      <c r="D13" s="27">
        <f t="shared" si="1"/>
        <v>2</v>
      </c>
      <c r="E13" s="27">
        <f t="shared" si="2"/>
        <v>2024</v>
      </c>
      <c r="H13" s="10"/>
    </row>
    <row r="14" spans="2:8" x14ac:dyDescent="0.3">
      <c r="B14" s="40">
        <v>47738</v>
      </c>
      <c r="C14" s="27">
        <f t="shared" si="0"/>
        <v>12</v>
      </c>
      <c r="D14" s="27">
        <f t="shared" si="1"/>
        <v>9</v>
      </c>
      <c r="E14" s="27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workbookViewId="0">
      <selection activeCell="B25" sqref="B25"/>
    </sheetView>
  </sheetViews>
  <sheetFormatPr defaultRowHeight="14.4" x14ac:dyDescent="0.3"/>
  <cols>
    <col min="2" max="2" width="14.5546875" bestFit="1" customWidth="1"/>
    <col min="3" max="3" width="34.109375" bestFit="1" customWidth="1"/>
    <col min="6" max="6" width="11.21875" bestFit="1" customWidth="1"/>
    <col min="8" max="8" width="11.21875" bestFit="1" customWidth="1"/>
  </cols>
  <sheetData>
    <row r="2" spans="2:8" ht="21" x14ac:dyDescent="0.4">
      <c r="B2" s="1" t="s">
        <v>338</v>
      </c>
    </row>
    <row r="4" spans="2:8" ht="15.6" x14ac:dyDescent="0.3">
      <c r="B4" s="87" t="s">
        <v>128</v>
      </c>
      <c r="C4" s="87" t="s">
        <v>164</v>
      </c>
    </row>
    <row r="5" spans="2:8" x14ac:dyDescent="0.3">
      <c r="B5" s="4">
        <f ca="1">TODAY()</f>
        <v>46288</v>
      </c>
      <c r="C5" s="79" t="s">
        <v>339</v>
      </c>
      <c r="D5" s="2" t="s">
        <v>340</v>
      </c>
      <c r="H5" s="10"/>
    </row>
    <row r="6" spans="2:8" x14ac:dyDescent="0.3">
      <c r="B6" s="4">
        <f ca="1">TODAY()-7</f>
        <v>46281</v>
      </c>
      <c r="C6" s="79" t="s">
        <v>341</v>
      </c>
      <c r="D6" s="2" t="s">
        <v>342</v>
      </c>
      <c r="H6" s="10"/>
    </row>
    <row r="7" spans="2:8" x14ac:dyDescent="0.3">
      <c r="B7" s="4"/>
      <c r="C7" s="79" t="s">
        <v>343</v>
      </c>
      <c r="D7" s="2" t="s">
        <v>344</v>
      </c>
      <c r="H7" s="10"/>
    </row>
    <row r="8" spans="2:8" x14ac:dyDescent="0.3">
      <c r="B8" s="4"/>
      <c r="C8" s="79" t="s">
        <v>345</v>
      </c>
      <c r="D8" s="2" t="s">
        <v>346</v>
      </c>
      <c r="H8" s="10"/>
    </row>
    <row r="9" spans="2:8" x14ac:dyDescent="0.3">
      <c r="B9" s="4">
        <f ca="1">EDATE(TODAY(),3)</f>
        <v>46379</v>
      </c>
      <c r="C9" s="79" t="s">
        <v>347</v>
      </c>
      <c r="D9" s="2" t="s">
        <v>348</v>
      </c>
      <c r="H9" s="10"/>
    </row>
    <row r="10" spans="2:8" x14ac:dyDescent="0.3">
      <c r="B10" s="4"/>
      <c r="C10" s="79" t="s">
        <v>349</v>
      </c>
      <c r="D10" s="2" t="s">
        <v>350</v>
      </c>
      <c r="H10" s="10"/>
    </row>
    <row r="11" spans="2:8" x14ac:dyDescent="0.3">
      <c r="B11" s="4"/>
      <c r="C11" s="79" t="s">
        <v>351</v>
      </c>
      <c r="D11" s="2" t="s">
        <v>352</v>
      </c>
      <c r="H11" s="10"/>
    </row>
    <row r="12" spans="2:8" x14ac:dyDescent="0.3">
      <c r="B12" s="4"/>
      <c r="C12" s="79" t="s">
        <v>353</v>
      </c>
      <c r="D12" s="2" t="s">
        <v>354</v>
      </c>
      <c r="H12" s="10"/>
    </row>
    <row r="13" spans="2:8" x14ac:dyDescent="0.3">
      <c r="B13" s="4"/>
      <c r="C13" s="79" t="s">
        <v>355</v>
      </c>
      <c r="D13" s="2" t="s">
        <v>356</v>
      </c>
      <c r="H13" s="10"/>
    </row>
    <row r="14" spans="2:8" x14ac:dyDescent="0.3">
      <c r="B14" s="80"/>
      <c r="C14" s="81" t="s">
        <v>357</v>
      </c>
      <c r="D14" s="2" t="s">
        <v>358</v>
      </c>
    </row>
    <row r="15" spans="2:8" x14ac:dyDescent="0.3">
      <c r="B15" s="80"/>
      <c r="C15" s="81" t="s">
        <v>359</v>
      </c>
      <c r="D15" s="2" t="s">
        <v>360</v>
      </c>
    </row>
    <row r="19" spans="2:4" ht="21" x14ac:dyDescent="0.4">
      <c r="B19" s="1" t="s">
        <v>375</v>
      </c>
    </row>
    <row r="20" spans="2:4" ht="15.6" x14ac:dyDescent="0.3">
      <c r="B20" s="87" t="s">
        <v>376</v>
      </c>
      <c r="C20" s="87" t="s">
        <v>164</v>
      </c>
    </row>
    <row r="21" spans="2:4" x14ac:dyDescent="0.3">
      <c r="B21" s="98">
        <f ca="1">NOW()</f>
        <v>46288.652003703704</v>
      </c>
      <c r="C21" s="84" t="s">
        <v>377</v>
      </c>
      <c r="D21" t="s">
        <v>378</v>
      </c>
    </row>
    <row r="22" spans="2:4" x14ac:dyDescent="0.3">
      <c r="C22" s="8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6"/>
  <sheetViews>
    <sheetView zoomScale="145" zoomScaleNormal="145" workbookViewId="0">
      <selection activeCell="E18" sqref="E18"/>
    </sheetView>
  </sheetViews>
  <sheetFormatPr defaultRowHeight="14.4" x14ac:dyDescent="0.3"/>
  <cols>
    <col min="2" max="2" width="13.109375" customWidth="1"/>
    <col min="3" max="3" width="12.44140625" customWidth="1"/>
    <col min="4" max="4" width="8" customWidth="1"/>
    <col min="5" max="5" width="14.5546875" customWidth="1"/>
    <col min="8" max="8" width="11.21875" bestFit="1" customWidth="1"/>
    <col min="10" max="10" width="15.21875" bestFit="1" customWidth="1"/>
  </cols>
  <sheetData>
    <row r="2" spans="2:11" ht="21" x14ac:dyDescent="0.4">
      <c r="B2" s="1" t="s">
        <v>361</v>
      </c>
    </row>
    <row r="4" spans="2:11" ht="15.6" x14ac:dyDescent="0.3">
      <c r="B4" s="87" t="s">
        <v>128</v>
      </c>
      <c r="C4" s="87" t="s">
        <v>362</v>
      </c>
      <c r="E4" s="87" t="s">
        <v>5</v>
      </c>
      <c r="J4" s="83"/>
    </row>
    <row r="5" spans="2:11" x14ac:dyDescent="0.3">
      <c r="B5" s="40">
        <v>46784</v>
      </c>
      <c r="C5" s="67">
        <v>1</v>
      </c>
      <c r="E5" s="42">
        <f>EDATE(B5,C5)</f>
        <v>46813</v>
      </c>
      <c r="F5" s="2" t="s">
        <v>363</v>
      </c>
      <c r="J5" s="10">
        <v>46274</v>
      </c>
      <c r="K5" s="10">
        <f>EDATE(J5,5)</f>
        <v>46427</v>
      </c>
    </row>
    <row r="6" spans="2:11" x14ac:dyDescent="0.3">
      <c r="B6" s="40">
        <v>46784</v>
      </c>
      <c r="C6" s="67">
        <v>2</v>
      </c>
      <c r="E6" s="42">
        <f t="shared" ref="E6:E16" si="0">EDATE(B6,C6)</f>
        <v>46844</v>
      </c>
      <c r="F6" s="2" t="s">
        <v>364</v>
      </c>
      <c r="J6" s="10"/>
    </row>
    <row r="7" spans="2:11" x14ac:dyDescent="0.3">
      <c r="B7" s="40">
        <v>46784</v>
      </c>
      <c r="C7" s="67">
        <v>3</v>
      </c>
      <c r="E7" s="42">
        <f t="shared" si="0"/>
        <v>46874</v>
      </c>
      <c r="F7" s="2" t="s">
        <v>365</v>
      </c>
      <c r="J7" s="10"/>
    </row>
    <row r="8" spans="2:11" x14ac:dyDescent="0.3">
      <c r="B8" s="40">
        <v>46784</v>
      </c>
      <c r="C8" s="67">
        <v>-1</v>
      </c>
      <c r="E8" s="42">
        <f t="shared" si="0"/>
        <v>46753</v>
      </c>
      <c r="F8" s="2" t="s">
        <v>366</v>
      </c>
      <c r="J8" s="10"/>
    </row>
    <row r="9" spans="2:11" x14ac:dyDescent="0.3">
      <c r="B9" s="40">
        <v>46784</v>
      </c>
      <c r="C9" s="67">
        <v>-2</v>
      </c>
      <c r="E9" s="42">
        <f t="shared" si="0"/>
        <v>46722</v>
      </c>
      <c r="F9" s="2" t="s">
        <v>367</v>
      </c>
      <c r="J9" s="10"/>
    </row>
    <row r="10" spans="2:11" x14ac:dyDescent="0.3">
      <c r="B10" s="40">
        <v>46784</v>
      </c>
      <c r="C10" s="67">
        <v>-3</v>
      </c>
      <c r="E10" s="42">
        <f t="shared" si="0"/>
        <v>46692</v>
      </c>
      <c r="F10" s="2" t="s">
        <v>368</v>
      </c>
      <c r="J10" s="10"/>
    </row>
    <row r="11" spans="2:11" x14ac:dyDescent="0.3">
      <c r="B11" s="40">
        <v>46783</v>
      </c>
      <c r="C11" s="67">
        <v>1</v>
      </c>
      <c r="E11" s="42">
        <f t="shared" si="0"/>
        <v>46812</v>
      </c>
      <c r="F11" s="2" t="s">
        <v>369</v>
      </c>
      <c r="J11" s="10"/>
    </row>
    <row r="12" spans="2:11" x14ac:dyDescent="0.3">
      <c r="B12" s="40">
        <v>46827</v>
      </c>
      <c r="C12" s="67">
        <v>1.5</v>
      </c>
      <c r="E12" s="42">
        <f t="shared" si="0"/>
        <v>46858</v>
      </c>
      <c r="F12" s="2" t="s">
        <v>370</v>
      </c>
      <c r="J12" s="10"/>
    </row>
    <row r="13" spans="2:11" x14ac:dyDescent="0.3">
      <c r="B13" s="40">
        <v>46827</v>
      </c>
      <c r="C13" s="67">
        <v>12</v>
      </c>
      <c r="E13" s="42">
        <f t="shared" si="0"/>
        <v>47192</v>
      </c>
      <c r="F13" s="2" t="s">
        <v>371</v>
      </c>
      <c r="J13" s="10"/>
    </row>
    <row r="14" spans="2:11" x14ac:dyDescent="0.3">
      <c r="B14" s="40">
        <v>46827</v>
      </c>
      <c r="C14" s="67">
        <v>24</v>
      </c>
      <c r="E14" s="42">
        <f t="shared" si="0"/>
        <v>47557</v>
      </c>
      <c r="F14" s="2" t="s">
        <v>372</v>
      </c>
    </row>
    <row r="15" spans="2:11" x14ac:dyDescent="0.3">
      <c r="B15" s="40">
        <v>46905</v>
      </c>
      <c r="C15" s="67">
        <v>120</v>
      </c>
      <c r="E15" s="42">
        <f t="shared" si="0"/>
        <v>50557</v>
      </c>
      <c r="F15" s="2" t="s">
        <v>373</v>
      </c>
    </row>
    <row r="16" spans="2:11" x14ac:dyDescent="0.3">
      <c r="B16" s="40">
        <v>47011</v>
      </c>
      <c r="C16" s="67">
        <v>-60</v>
      </c>
      <c r="E16" s="42">
        <f t="shared" si="0"/>
        <v>45184</v>
      </c>
      <c r="F16" s="2" t="s">
        <v>374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4"/>
  <sheetViews>
    <sheetView workbookViewId="0">
      <selection activeCell="G5" sqref="G5:G14"/>
    </sheetView>
  </sheetViews>
  <sheetFormatPr defaultRowHeight="14.4" x14ac:dyDescent="0.3"/>
  <cols>
    <col min="1" max="1" width="9.109375" customWidth="1"/>
    <col min="2" max="2" width="14" customWidth="1"/>
    <col min="3" max="3" width="11.5546875" customWidth="1"/>
    <col min="4" max="4" width="14.21875" customWidth="1"/>
    <col min="5" max="5" width="15.88671875" customWidth="1"/>
    <col min="6" max="6" width="16.6640625" customWidth="1"/>
    <col min="7" max="7" width="13.33203125" customWidth="1"/>
    <col min="9" max="9" width="11.21875" bestFit="1" customWidth="1"/>
  </cols>
  <sheetData>
    <row r="1" spans="2:10" x14ac:dyDescent="0.3">
      <c r="J1" s="5"/>
    </row>
    <row r="2" spans="2:10" ht="21" x14ac:dyDescent="0.4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3">
      <c r="D3" s="2"/>
      <c r="E3" s="2"/>
      <c r="F3" s="2"/>
    </row>
    <row r="4" spans="2:10" ht="15.6" x14ac:dyDescent="0.3">
      <c r="B4" s="87" t="s">
        <v>10</v>
      </c>
      <c r="C4" s="87" t="s">
        <v>11</v>
      </c>
      <c r="D4" s="87" t="s">
        <v>6</v>
      </c>
      <c r="E4" s="87" t="s">
        <v>7</v>
      </c>
      <c r="F4" s="87" t="s">
        <v>8</v>
      </c>
      <c r="G4" s="87" t="s">
        <v>9</v>
      </c>
    </row>
    <row r="5" spans="2:10" x14ac:dyDescent="0.3">
      <c r="B5" s="3">
        <v>6.6444999999999999</v>
      </c>
      <c r="C5" s="3">
        <v>0</v>
      </c>
      <c r="D5" s="9">
        <f>ROUND(B5,C5)</f>
        <v>7</v>
      </c>
      <c r="E5" s="9">
        <f>ROUNDUP(B5,C5)</f>
        <v>7</v>
      </c>
      <c r="F5" s="9">
        <f>ROUNDDOWN(B5,C5)</f>
        <v>6</v>
      </c>
      <c r="G5" s="9">
        <f>INT(B5)</f>
        <v>6</v>
      </c>
      <c r="H5" s="2" t="s">
        <v>12</v>
      </c>
      <c r="I5" s="10"/>
    </row>
    <row r="6" spans="2:10" x14ac:dyDescent="0.3">
      <c r="B6" s="3">
        <v>3.1926000000000001</v>
      </c>
      <c r="C6" s="3">
        <v>1</v>
      </c>
      <c r="D6" s="9">
        <f t="shared" ref="D6:D14" si="0">ROUND(B6,C6)</f>
        <v>3.2</v>
      </c>
      <c r="E6" s="9">
        <f t="shared" ref="E6:E14" si="1">ROUNDUP(B6,C6)</f>
        <v>3.2</v>
      </c>
      <c r="F6" s="9">
        <f t="shared" ref="F6:F14" si="2">ROUNDDOWN(B6,C6)</f>
        <v>3.1</v>
      </c>
      <c r="G6" s="9">
        <f t="shared" ref="G6:G14" si="3">INT(B6)</f>
        <v>3</v>
      </c>
      <c r="H6" s="2" t="s">
        <v>13</v>
      </c>
    </row>
    <row r="7" spans="2:10" x14ac:dyDescent="0.3">
      <c r="B7" s="3">
        <v>3.7498</v>
      </c>
      <c r="C7" s="3">
        <v>2</v>
      </c>
      <c r="D7" s="9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2:10" x14ac:dyDescent="0.3">
      <c r="B8" s="3">
        <v>0</v>
      </c>
      <c r="C8" s="3">
        <v>3</v>
      </c>
      <c r="D8" s="9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2:10" x14ac:dyDescent="0.3">
      <c r="B9" s="3">
        <v>-7.4450000000000003</v>
      </c>
      <c r="C9" s="3">
        <v>1</v>
      </c>
      <c r="D9" s="9">
        <f t="shared" si="0"/>
        <v>-7.4</v>
      </c>
      <c r="E9" s="9">
        <f t="shared" si="1"/>
        <v>-7.5</v>
      </c>
      <c r="F9" s="9">
        <f t="shared" si="2"/>
        <v>-7.4</v>
      </c>
      <c r="G9" s="9">
        <f t="shared" si="3"/>
        <v>-8</v>
      </c>
      <c r="H9" s="2" t="s">
        <v>16</v>
      </c>
    </row>
    <row r="10" spans="2:10" x14ac:dyDescent="0.3">
      <c r="B10" s="11">
        <v>-5.3129999999999997</v>
      </c>
      <c r="C10" s="12">
        <v>2</v>
      </c>
      <c r="D10" s="9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2:10" x14ac:dyDescent="0.3">
      <c r="B11" s="3">
        <v>72325.3</v>
      </c>
      <c r="C11" s="3">
        <v>-1</v>
      </c>
      <c r="D11" s="9">
        <f t="shared" si="0"/>
        <v>72330</v>
      </c>
      <c r="E11" s="9">
        <f t="shared" si="1"/>
        <v>72330</v>
      </c>
      <c r="F11" s="9">
        <f t="shared" si="2"/>
        <v>72320</v>
      </c>
      <c r="G11" s="9">
        <f t="shared" si="3"/>
        <v>72325</v>
      </c>
      <c r="H11" s="2" t="s">
        <v>18</v>
      </c>
      <c r="I11" s="10"/>
    </row>
    <row r="12" spans="2:10" x14ac:dyDescent="0.3">
      <c r="B12" s="3">
        <v>88275.5</v>
      </c>
      <c r="C12" s="3">
        <v>-2</v>
      </c>
      <c r="D12" s="9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2:10" x14ac:dyDescent="0.3">
      <c r="B13" s="3">
        <v>81893.8</v>
      </c>
      <c r="C13" s="3">
        <v>-3</v>
      </c>
      <c r="D13" s="9">
        <f t="shared" si="0"/>
        <v>82000</v>
      </c>
      <c r="E13" s="9">
        <f t="shared" si="1"/>
        <v>82000</v>
      </c>
      <c r="F13" s="9">
        <f t="shared" si="2"/>
        <v>81000</v>
      </c>
      <c r="G13" s="9">
        <f t="shared" si="3"/>
        <v>81893</v>
      </c>
      <c r="H13" s="2" t="s">
        <v>20</v>
      </c>
      <c r="I13" s="10"/>
    </row>
    <row r="14" spans="2:10" x14ac:dyDescent="0.3">
      <c r="B14" s="3">
        <v>35901.4</v>
      </c>
      <c r="C14" s="3">
        <v>-4</v>
      </c>
      <c r="D14" s="9">
        <f t="shared" si="0"/>
        <v>40000</v>
      </c>
      <c r="E14" s="9">
        <f t="shared" si="1"/>
        <v>40000</v>
      </c>
      <c r="F14" s="9">
        <f t="shared" si="2"/>
        <v>30000</v>
      </c>
      <c r="G14" s="9">
        <f t="shared" si="3"/>
        <v>35901</v>
      </c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workbookViewId="0">
      <selection activeCell="H11" sqref="H11:H13"/>
    </sheetView>
  </sheetViews>
  <sheetFormatPr defaultRowHeight="14.4" x14ac:dyDescent="0.3"/>
  <cols>
    <col min="1" max="1" width="8.88671875" style="13"/>
    <col min="2" max="2" width="9.21875" style="13" bestFit="1" customWidth="1"/>
    <col min="3" max="5" width="7.33203125" style="13" bestFit="1" customWidth="1"/>
    <col min="6" max="6" width="7.77734375" style="13" bestFit="1" customWidth="1"/>
    <col min="7" max="7" width="4.88671875" style="13" customWidth="1"/>
    <col min="8" max="8" width="10.109375" style="13" bestFit="1" customWidth="1"/>
    <col min="9" max="16384" width="8.88671875" style="13"/>
  </cols>
  <sheetData>
    <row r="1" spans="2:11" x14ac:dyDescent="0.3">
      <c r="J1" s="14"/>
    </row>
    <row r="2" spans="2:11" ht="21" x14ac:dyDescent="0.4">
      <c r="B2" s="15" t="s">
        <v>22</v>
      </c>
      <c r="C2" s="16"/>
      <c r="D2" s="17"/>
      <c r="E2" s="18"/>
    </row>
    <row r="3" spans="2:11" x14ac:dyDescent="0.3">
      <c r="D3" s="19"/>
      <c r="E3" s="19"/>
      <c r="F3" s="19"/>
    </row>
    <row r="4" spans="2:11" ht="15.6" x14ac:dyDescent="0.3">
      <c r="B4" s="88" t="s">
        <v>23</v>
      </c>
      <c r="C4" s="88" t="s">
        <v>24</v>
      </c>
      <c r="D4" s="88" t="s">
        <v>25</v>
      </c>
      <c r="E4" s="88" t="s">
        <v>26</v>
      </c>
      <c r="F4" s="88" t="s">
        <v>27</v>
      </c>
      <c r="H4" s="89" t="s">
        <v>5</v>
      </c>
    </row>
    <row r="5" spans="2:11" x14ac:dyDescent="0.3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22">
        <f>SUM(B5:F5)</f>
        <v>15</v>
      </c>
      <c r="I5" s="19" t="s">
        <v>28</v>
      </c>
      <c r="K5" s="19"/>
    </row>
    <row r="6" spans="2:11" x14ac:dyDescent="0.3">
      <c r="B6" s="20">
        <v>3.1926000000000001</v>
      </c>
      <c r="C6" s="20">
        <v>1.2</v>
      </c>
      <c r="D6" s="20">
        <v>3.2</v>
      </c>
      <c r="E6" s="23">
        <v>3.5</v>
      </c>
      <c r="F6" s="20">
        <v>4.0999999999999996</v>
      </c>
      <c r="H6" s="22">
        <f t="shared" ref="H6:H7" si="0">SUM(B6:F6)</f>
        <v>15.192600000000001</v>
      </c>
      <c r="I6" s="19" t="s">
        <v>29</v>
      </c>
      <c r="K6" s="19"/>
    </row>
    <row r="7" spans="2:11" x14ac:dyDescent="0.3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22">
        <f t="shared" si="0"/>
        <v>-4</v>
      </c>
      <c r="I7" s="19" t="s">
        <v>30</v>
      </c>
      <c r="K7" s="19"/>
    </row>
    <row r="8" spans="2:11" x14ac:dyDescent="0.3">
      <c r="B8" s="24">
        <v>47119</v>
      </c>
      <c r="C8" s="21">
        <v>30</v>
      </c>
      <c r="D8" s="20">
        <v>55.2</v>
      </c>
      <c r="E8" s="21">
        <v>6</v>
      </c>
      <c r="F8" s="20">
        <v>1</v>
      </c>
      <c r="H8" s="22">
        <f>SUM(B8:F8)</f>
        <v>47211.199999999997</v>
      </c>
      <c r="I8" s="19" t="s">
        <v>31</v>
      </c>
      <c r="K8" s="19"/>
    </row>
    <row r="9" spans="2:11" x14ac:dyDescent="0.3">
      <c r="B9" s="25">
        <v>0.78125</v>
      </c>
      <c r="C9" s="21">
        <v>10</v>
      </c>
      <c r="D9" s="20">
        <v>15</v>
      </c>
      <c r="E9" s="21">
        <v>30</v>
      </c>
      <c r="F9" s="20">
        <v>45</v>
      </c>
      <c r="H9" s="22">
        <f>SUM(B9:F9)</f>
        <v>100.78125</v>
      </c>
      <c r="I9" s="19" t="s">
        <v>32</v>
      </c>
      <c r="K9" s="19"/>
    </row>
    <row r="10" spans="2:11" x14ac:dyDescent="0.3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22">
        <f>SUM(B10:F10)</f>
        <v>20</v>
      </c>
      <c r="I10" s="19" t="s">
        <v>35</v>
      </c>
      <c r="K10" s="19"/>
    </row>
    <row r="11" spans="2:11" x14ac:dyDescent="0.3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22">
        <f>SUM(B11:F11)</f>
        <v>0</v>
      </c>
      <c r="I11" s="19" t="s">
        <v>35</v>
      </c>
      <c r="K11" s="19"/>
    </row>
    <row r="12" spans="2:11" x14ac:dyDescent="0.3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22" t="e">
        <f t="shared" ref="H12:H13" si="1">SUM(B12:F12)</f>
        <v>#DIV/0!</v>
      </c>
      <c r="I12" s="19" t="s">
        <v>41</v>
      </c>
      <c r="K12" s="19"/>
    </row>
    <row r="13" spans="2:11" x14ac:dyDescent="0.3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22" t="e">
        <f t="shared" si="1"/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9"/>
  <sheetViews>
    <sheetView workbookViewId="0">
      <selection activeCell="F18" sqref="F18"/>
    </sheetView>
  </sheetViews>
  <sheetFormatPr defaultRowHeight="14.4" x14ac:dyDescent="0.3"/>
  <cols>
    <col min="1" max="1" width="8.88671875" style="30"/>
    <col min="2" max="2" width="9.21875" style="30" bestFit="1" customWidth="1"/>
    <col min="3" max="3" width="7.33203125" style="30" bestFit="1" customWidth="1"/>
    <col min="4" max="4" width="9.88671875" style="30" bestFit="1" customWidth="1"/>
    <col min="5" max="5" width="9.88671875" style="30" customWidth="1"/>
    <col min="6" max="6" width="10.109375" style="30" bestFit="1" customWidth="1"/>
    <col min="7" max="7" width="8.88671875" style="30"/>
    <col min="9" max="16384" width="8.88671875" style="30"/>
  </cols>
  <sheetData>
    <row r="1" spans="2:10" x14ac:dyDescent="0.3">
      <c r="J1" s="14"/>
    </row>
    <row r="2" spans="2:10" ht="21" x14ac:dyDescent="0.4">
      <c r="B2" s="31" t="s">
        <v>73</v>
      </c>
      <c r="C2" s="32"/>
      <c r="D2" s="33"/>
      <c r="E2" s="33"/>
    </row>
    <row r="3" spans="2:10" x14ac:dyDescent="0.3">
      <c r="D3" s="34"/>
      <c r="E3" s="34"/>
    </row>
    <row r="4" spans="2:10" ht="15.6" x14ac:dyDescent="0.3">
      <c r="B4" s="90" t="s">
        <v>23</v>
      </c>
      <c r="C4" s="90" t="s">
        <v>24</v>
      </c>
      <c r="D4" s="90" t="s">
        <v>25</v>
      </c>
      <c r="E4" s="90" t="s">
        <v>26</v>
      </c>
      <c r="F4" s="91" t="s">
        <v>5</v>
      </c>
    </row>
    <row r="5" spans="2:10" x14ac:dyDescent="0.3">
      <c r="B5" s="35">
        <v>1</v>
      </c>
      <c r="C5" s="35">
        <v>2</v>
      </c>
      <c r="D5" s="35">
        <v>3</v>
      </c>
      <c r="E5" s="35">
        <v>4</v>
      </c>
      <c r="F5" s="36">
        <f t="shared" ref="F5:F14" si="0">AVERAGE(B5:E5)</f>
        <v>2.5</v>
      </c>
      <c r="G5" s="34" t="s">
        <v>28</v>
      </c>
      <c r="J5" s="34"/>
    </row>
    <row r="6" spans="2:10" x14ac:dyDescent="0.3">
      <c r="B6" s="35">
        <v>3.1926000000000001</v>
      </c>
      <c r="C6" s="35">
        <v>1.2</v>
      </c>
      <c r="D6" s="35">
        <v>3.2</v>
      </c>
      <c r="E6" s="35">
        <v>4.8</v>
      </c>
      <c r="F6" s="36">
        <f t="shared" si="0"/>
        <v>3.09815</v>
      </c>
      <c r="G6" s="34" t="s">
        <v>29</v>
      </c>
      <c r="J6" s="34"/>
    </row>
    <row r="7" spans="2:10" x14ac:dyDescent="0.3">
      <c r="B7" s="37">
        <v>-1</v>
      </c>
      <c r="C7" s="37">
        <v>-2</v>
      </c>
      <c r="D7" s="35">
        <v>-3</v>
      </c>
      <c r="E7" s="35">
        <v>-4</v>
      </c>
      <c r="F7" s="36">
        <f t="shared" si="0"/>
        <v>-2.5</v>
      </c>
      <c r="G7" s="34" t="s">
        <v>30</v>
      </c>
      <c r="J7" s="34"/>
    </row>
    <row r="8" spans="2:10" x14ac:dyDescent="0.3">
      <c r="B8" s="38">
        <v>47119</v>
      </c>
      <c r="C8" s="37">
        <v>30</v>
      </c>
      <c r="D8" s="35">
        <v>55.2</v>
      </c>
      <c r="E8" s="35">
        <v>8</v>
      </c>
      <c r="F8" s="36">
        <f t="shared" si="0"/>
        <v>11803.05</v>
      </c>
      <c r="G8" s="34" t="s">
        <v>31</v>
      </c>
      <c r="J8" s="34"/>
    </row>
    <row r="9" spans="2:10" x14ac:dyDescent="0.3">
      <c r="B9" s="39">
        <v>0.78125</v>
      </c>
      <c r="C9" s="37">
        <v>10</v>
      </c>
      <c r="D9" s="35">
        <v>15</v>
      </c>
      <c r="E9" s="35">
        <v>3</v>
      </c>
      <c r="F9" s="36">
        <f t="shared" si="0"/>
        <v>7.1953125</v>
      </c>
      <c r="G9" s="34" t="s">
        <v>32</v>
      </c>
      <c r="J9" s="34"/>
    </row>
    <row r="10" spans="2:10" x14ac:dyDescent="0.3">
      <c r="B10" s="37">
        <v>5</v>
      </c>
      <c r="C10" s="37">
        <v>10</v>
      </c>
      <c r="D10" s="35">
        <v>0</v>
      </c>
      <c r="E10" s="35">
        <v>15</v>
      </c>
      <c r="F10" s="36">
        <f t="shared" si="0"/>
        <v>7.5</v>
      </c>
      <c r="G10" s="34" t="s">
        <v>74</v>
      </c>
      <c r="J10" s="34"/>
    </row>
    <row r="11" spans="2:10" x14ac:dyDescent="0.3">
      <c r="B11" s="37">
        <v>5</v>
      </c>
      <c r="C11" s="37">
        <v>10</v>
      </c>
      <c r="D11" s="35">
        <v>0</v>
      </c>
      <c r="E11" s="35">
        <v>15</v>
      </c>
      <c r="F11" s="36">
        <f t="shared" si="0"/>
        <v>7.5</v>
      </c>
      <c r="G11" s="34" t="s">
        <v>75</v>
      </c>
      <c r="J11" s="34"/>
    </row>
    <row r="12" spans="2:10" x14ac:dyDescent="0.3">
      <c r="B12" s="35">
        <v>5</v>
      </c>
      <c r="C12" s="35" t="s">
        <v>33</v>
      </c>
      <c r="D12" s="35">
        <v>1</v>
      </c>
      <c r="E12" s="35">
        <v>1</v>
      </c>
      <c r="F12" s="36">
        <f t="shared" si="0"/>
        <v>2.3333333333333335</v>
      </c>
      <c r="G12" s="34" t="s">
        <v>35</v>
      </c>
    </row>
    <row r="13" spans="2:10" x14ac:dyDescent="0.3">
      <c r="B13" s="35" t="s">
        <v>36</v>
      </c>
      <c r="C13" s="35" t="s">
        <v>37</v>
      </c>
      <c r="D13" s="35" t="s">
        <v>38</v>
      </c>
      <c r="E13" s="35" t="s">
        <v>39</v>
      </c>
      <c r="F13" s="36" t="e">
        <f t="shared" si="0"/>
        <v>#DIV/0!</v>
      </c>
      <c r="G13" s="34" t="s">
        <v>35</v>
      </c>
      <c r="J13" s="34"/>
    </row>
    <row r="14" spans="2:10" x14ac:dyDescent="0.3">
      <c r="B14" s="35">
        <v>1</v>
      </c>
      <c r="C14" s="35">
        <v>2</v>
      </c>
      <c r="D14" s="35" t="e">
        <f>VLOOKUP(F7,F5:F6,1,0)</f>
        <v>#N/A</v>
      </c>
      <c r="E14" s="35">
        <v>3</v>
      </c>
      <c r="F14" s="36" t="e">
        <f t="shared" si="0"/>
        <v>#N/A</v>
      </c>
      <c r="G14" s="34" t="s">
        <v>76</v>
      </c>
      <c r="J14" s="34"/>
    </row>
    <row r="19" spans="2:2" x14ac:dyDescent="0.3">
      <c r="B19" s="99" t="s">
        <v>404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5"/>
  <sheetViews>
    <sheetView zoomScale="120" zoomScaleNormal="120" workbookViewId="0">
      <selection activeCell="G4" sqref="G4"/>
    </sheetView>
  </sheetViews>
  <sheetFormatPr defaultRowHeight="14.4" x14ac:dyDescent="0.3"/>
  <cols>
    <col min="2" max="2" width="14.5546875" bestFit="1" customWidth="1"/>
    <col min="3" max="3" width="15.109375" customWidth="1"/>
    <col min="4" max="4" width="14.44140625" customWidth="1"/>
    <col min="5" max="5" width="11.21875" bestFit="1" customWidth="1"/>
    <col min="7" max="7" width="11.21875" bestFit="1" customWidth="1"/>
  </cols>
  <sheetData>
    <row r="1" spans="2:10" x14ac:dyDescent="0.3">
      <c r="J1" s="5"/>
    </row>
    <row r="2" spans="2:10" ht="21" x14ac:dyDescent="0.4">
      <c r="B2" s="1" t="s">
        <v>77</v>
      </c>
    </row>
    <row r="4" spans="2:10" ht="15.6" x14ac:dyDescent="0.3">
      <c r="B4" s="87" t="s">
        <v>78</v>
      </c>
      <c r="C4" s="87" t="s">
        <v>79</v>
      </c>
      <c r="D4" s="87" t="s">
        <v>80</v>
      </c>
      <c r="E4" s="100" t="s">
        <v>80</v>
      </c>
      <c r="G4" s="101">
        <v>120000</v>
      </c>
    </row>
    <row r="5" spans="2:10" x14ac:dyDescent="0.3">
      <c r="B5" s="40" t="s">
        <v>81</v>
      </c>
      <c r="C5" s="41">
        <v>110000</v>
      </c>
      <c r="D5" s="42" t="str">
        <f>IF(C5&gt;=90000,"да","нет")</f>
        <v>да</v>
      </c>
      <c r="E5" s="42" t="str">
        <f>IF(C5&gt;=$G$4,"да","нет")</f>
        <v>нет</v>
      </c>
      <c r="F5" s="2"/>
    </row>
    <row r="6" spans="2:10" x14ac:dyDescent="0.3">
      <c r="B6" s="40" t="s">
        <v>82</v>
      </c>
      <c r="C6" s="41">
        <v>113000</v>
      </c>
      <c r="D6" s="42" t="str">
        <f t="shared" ref="D6:D15" si="0">IF(C6&gt;=90000,"да","нет")</f>
        <v>да</v>
      </c>
      <c r="E6" s="42" t="str">
        <f t="shared" ref="E6:E15" si="1">IF(C6&gt;=$G$4,"да","нет")</f>
        <v>нет</v>
      </c>
      <c r="F6" s="2"/>
      <c r="G6" s="10"/>
    </row>
    <row r="7" spans="2:10" x14ac:dyDescent="0.3">
      <c r="B7" s="40" t="s">
        <v>83</v>
      </c>
      <c r="C7" s="41">
        <v>106000</v>
      </c>
      <c r="D7" s="42" t="str">
        <f t="shared" si="0"/>
        <v>да</v>
      </c>
      <c r="E7" s="42" t="str">
        <f t="shared" si="1"/>
        <v>нет</v>
      </c>
      <c r="F7" s="2"/>
      <c r="G7" s="10"/>
    </row>
    <row r="8" spans="2:10" x14ac:dyDescent="0.3">
      <c r="B8" s="40" t="s">
        <v>84</v>
      </c>
      <c r="C8" s="41">
        <v>84000</v>
      </c>
      <c r="D8" s="42" t="str">
        <f t="shared" si="0"/>
        <v>нет</v>
      </c>
      <c r="E8" s="42" t="str">
        <f t="shared" si="1"/>
        <v>нет</v>
      </c>
      <c r="F8" s="2"/>
      <c r="G8" s="10"/>
    </row>
    <row r="9" spans="2:10" x14ac:dyDescent="0.3">
      <c r="B9" s="40" t="s">
        <v>85</v>
      </c>
      <c r="C9" s="41">
        <v>134000</v>
      </c>
      <c r="D9" s="42" t="str">
        <f t="shared" si="0"/>
        <v>да</v>
      </c>
      <c r="E9" s="42" t="str">
        <f t="shared" si="1"/>
        <v>да</v>
      </c>
      <c r="F9" s="2"/>
      <c r="G9" s="10"/>
    </row>
    <row r="10" spans="2:10" x14ac:dyDescent="0.3">
      <c r="B10" s="40" t="s">
        <v>86</v>
      </c>
      <c r="C10" s="41">
        <v>51000</v>
      </c>
      <c r="D10" s="42" t="str">
        <f t="shared" si="0"/>
        <v>нет</v>
      </c>
      <c r="E10" s="42" t="str">
        <f t="shared" si="1"/>
        <v>нет</v>
      </c>
      <c r="F10" s="2"/>
      <c r="G10" s="10"/>
    </row>
    <row r="11" spans="2:10" x14ac:dyDescent="0.3">
      <c r="B11" s="40" t="s">
        <v>87</v>
      </c>
      <c r="C11" s="41">
        <v>83000</v>
      </c>
      <c r="D11" s="42" t="str">
        <f t="shared" si="0"/>
        <v>нет</v>
      </c>
      <c r="E11" s="42" t="str">
        <f t="shared" si="1"/>
        <v>нет</v>
      </c>
      <c r="F11" s="2"/>
      <c r="G11" s="10"/>
    </row>
    <row r="12" spans="2:10" x14ac:dyDescent="0.3">
      <c r="B12" s="40" t="s">
        <v>88</v>
      </c>
      <c r="C12" s="41">
        <v>75000</v>
      </c>
      <c r="D12" s="42" t="str">
        <f t="shared" si="0"/>
        <v>нет</v>
      </c>
      <c r="E12" s="42" t="str">
        <f t="shared" si="1"/>
        <v>нет</v>
      </c>
      <c r="F12" s="2"/>
      <c r="G12" s="10"/>
    </row>
    <row r="13" spans="2:10" x14ac:dyDescent="0.3">
      <c r="B13" s="40" t="s">
        <v>89</v>
      </c>
      <c r="C13" s="41">
        <v>92000</v>
      </c>
      <c r="D13" s="42" t="str">
        <f t="shared" si="0"/>
        <v>да</v>
      </c>
      <c r="E13" s="42" t="str">
        <f t="shared" si="1"/>
        <v>нет</v>
      </c>
      <c r="F13" s="2"/>
      <c r="G13" s="10"/>
    </row>
    <row r="14" spans="2:10" x14ac:dyDescent="0.3">
      <c r="B14" s="43" t="s">
        <v>90</v>
      </c>
      <c r="C14" s="41">
        <v>99000</v>
      </c>
      <c r="D14" s="42" t="str">
        <f t="shared" si="0"/>
        <v>да</v>
      </c>
      <c r="E14" s="42" t="str">
        <f t="shared" si="1"/>
        <v>нет</v>
      </c>
      <c r="F14" s="2"/>
    </row>
    <row r="15" spans="2:10" x14ac:dyDescent="0.3">
      <c r="B15" s="43" t="s">
        <v>91</v>
      </c>
      <c r="C15" s="41">
        <v>61000</v>
      </c>
      <c r="D15" s="42" t="str">
        <f t="shared" si="0"/>
        <v>нет</v>
      </c>
      <c r="E15" s="42" t="str">
        <f t="shared" si="1"/>
        <v>нет</v>
      </c>
      <c r="F15" s="2"/>
    </row>
  </sheetData>
  <conditionalFormatting sqref="D5:D15">
    <cfRule type="containsText" dxfId="5" priority="2" operator="containsText" text="да">
      <formula>NOT(ISERROR(SEARCH("да",D5)))</formula>
    </cfRule>
  </conditionalFormatting>
  <conditionalFormatting sqref="E5:E15">
    <cfRule type="containsText" dxfId="4" priority="1" operator="containsText" text="да">
      <formula>NOT(ISERROR(SEARCH("да",E5)))</formula>
    </cfRule>
  </conditionalFormatting>
  <dataValidations count="2">
    <dataValidation type="list" allowBlank="1" showInputMessage="1" showErrorMessage="1" sqref="G4" xr:uid="{612DB83E-7405-4E4C-94E2-349905380A0A}">
      <formula1>"50000,90000,120000,150000"</formula1>
    </dataValidation>
    <dataValidation type="list" allowBlank="1" showInputMessage="1" showErrorMessage="1" sqref="G13" xr:uid="{26A79C01-176C-4EFC-A1FB-4C07FD240B97}">
      <formula1>"юрист, экономист, инженер"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5"/>
  <sheetViews>
    <sheetView workbookViewId="0">
      <selection activeCell="H17" sqref="H16:H17"/>
    </sheetView>
  </sheetViews>
  <sheetFormatPr defaultRowHeight="14.4" x14ac:dyDescent="0.3"/>
  <cols>
    <col min="2" max="2" width="11.109375" customWidth="1"/>
    <col min="3" max="3" width="13.77734375" customWidth="1"/>
    <col min="4" max="4" width="6.33203125" customWidth="1"/>
    <col min="5" max="5" width="11.21875" customWidth="1"/>
    <col min="6" max="6" width="13.77734375" customWidth="1"/>
    <col min="7" max="7" width="11.21875" bestFit="1" customWidth="1"/>
    <col min="9" max="9" width="11.21875" bestFit="1" customWidth="1"/>
  </cols>
  <sheetData>
    <row r="1" spans="2:10" x14ac:dyDescent="0.3">
      <c r="J1" s="5"/>
    </row>
    <row r="2" spans="2:10" ht="21" x14ac:dyDescent="0.4">
      <c r="B2" s="1" t="s">
        <v>129</v>
      </c>
      <c r="D2" s="8"/>
      <c r="E2" s="8" t="s">
        <v>130</v>
      </c>
    </row>
    <row r="3" spans="2:10" x14ac:dyDescent="0.3">
      <c r="C3" s="2"/>
      <c r="D3" s="2"/>
      <c r="E3" s="2"/>
      <c r="F3" s="2"/>
    </row>
    <row r="4" spans="2:10" ht="15.6" x14ac:dyDescent="0.3">
      <c r="B4" s="87" t="s">
        <v>98</v>
      </c>
      <c r="C4" s="87" t="s">
        <v>129</v>
      </c>
      <c r="D4" s="2"/>
      <c r="E4" s="87" t="s">
        <v>131</v>
      </c>
      <c r="F4" s="87" t="s">
        <v>130</v>
      </c>
    </row>
    <row r="5" spans="2:10" x14ac:dyDescent="0.3">
      <c r="B5" s="3">
        <v>80</v>
      </c>
      <c r="C5" s="3" t="str">
        <f>IF(AND(B5&gt;100,B5&lt;130),"Ураа","")</f>
        <v/>
      </c>
      <c r="D5" s="2"/>
      <c r="E5" s="3" t="s">
        <v>132</v>
      </c>
      <c r="F5" s="3" t="b">
        <f>OR(E5="Красный",E5="Синий")</f>
        <v>1</v>
      </c>
      <c r="G5" s="2"/>
      <c r="I5" s="10"/>
    </row>
    <row r="6" spans="2:10" x14ac:dyDescent="0.3">
      <c r="B6" s="3">
        <v>110</v>
      </c>
      <c r="C6" s="3" t="str">
        <f t="shared" ref="C6:C14" si="0">IF(AND(B6&gt;100,B6&lt;130),"Ураа","")</f>
        <v>Ураа</v>
      </c>
      <c r="D6" s="2"/>
      <c r="E6" s="3" t="s">
        <v>133</v>
      </c>
      <c r="F6" s="3" t="b">
        <f t="shared" ref="F6:F14" si="1">OR(E6="Красный",E6="Синий")</f>
        <v>1</v>
      </c>
      <c r="G6" s="2"/>
    </row>
    <row r="7" spans="2:10" x14ac:dyDescent="0.3">
      <c r="B7" s="3">
        <v>80</v>
      </c>
      <c r="C7" s="3" t="str">
        <f t="shared" si="0"/>
        <v/>
      </c>
      <c r="D7" s="2"/>
      <c r="E7" s="3" t="s">
        <v>132</v>
      </c>
      <c r="F7" s="3" t="b">
        <f t="shared" si="1"/>
        <v>1</v>
      </c>
      <c r="G7" s="2"/>
    </row>
    <row r="8" spans="2:10" x14ac:dyDescent="0.3">
      <c r="B8" s="3">
        <v>110</v>
      </c>
      <c r="C8" s="3" t="str">
        <f t="shared" si="0"/>
        <v>Ураа</v>
      </c>
      <c r="D8" s="2"/>
      <c r="E8" s="3" t="s">
        <v>134</v>
      </c>
      <c r="F8" s="3" t="b">
        <f t="shared" si="1"/>
        <v>0</v>
      </c>
      <c r="G8" s="2"/>
    </row>
    <row r="9" spans="2:10" x14ac:dyDescent="0.3">
      <c r="B9" s="3">
        <v>60</v>
      </c>
      <c r="C9" s="3" t="str">
        <f t="shared" si="0"/>
        <v/>
      </c>
      <c r="D9" s="2"/>
      <c r="E9" s="3" t="s">
        <v>133</v>
      </c>
      <c r="F9" s="3" t="b">
        <f t="shared" si="1"/>
        <v>1</v>
      </c>
      <c r="G9" s="2"/>
    </row>
    <row r="10" spans="2:10" x14ac:dyDescent="0.3">
      <c r="B10" s="3">
        <v>80</v>
      </c>
      <c r="C10" s="3" t="str">
        <f t="shared" si="0"/>
        <v/>
      </c>
      <c r="D10" s="2"/>
      <c r="E10" s="3" t="s">
        <v>135</v>
      </c>
      <c r="F10" s="3" t="b">
        <f t="shared" si="1"/>
        <v>0</v>
      </c>
      <c r="G10" s="2"/>
      <c r="I10" s="10"/>
    </row>
    <row r="11" spans="2:10" x14ac:dyDescent="0.3">
      <c r="B11" s="3">
        <v>110</v>
      </c>
      <c r="C11" s="3" t="str">
        <f t="shared" si="0"/>
        <v>Ураа</v>
      </c>
      <c r="D11" s="2"/>
      <c r="E11" s="3" t="s">
        <v>133</v>
      </c>
      <c r="F11" s="3" t="b">
        <f t="shared" si="1"/>
        <v>1</v>
      </c>
      <c r="G11" s="2"/>
      <c r="I11" s="10"/>
    </row>
    <row r="12" spans="2:10" x14ac:dyDescent="0.3">
      <c r="B12" s="3">
        <v>120</v>
      </c>
      <c r="C12" s="3" t="str">
        <f t="shared" si="0"/>
        <v>Ураа</v>
      </c>
      <c r="D12" s="2"/>
      <c r="E12" s="3" t="s">
        <v>133</v>
      </c>
      <c r="F12" s="3" t="b">
        <f t="shared" si="1"/>
        <v>1</v>
      </c>
      <c r="G12" s="2"/>
      <c r="I12" s="10"/>
    </row>
    <row r="13" spans="2:10" x14ac:dyDescent="0.3">
      <c r="B13" s="3">
        <v>70</v>
      </c>
      <c r="C13" s="3" t="str">
        <f t="shared" si="0"/>
        <v/>
      </c>
      <c r="D13" s="2"/>
      <c r="E13" s="3" t="s">
        <v>134</v>
      </c>
      <c r="F13" s="3" t="b">
        <f t="shared" si="1"/>
        <v>0</v>
      </c>
      <c r="G13" s="2"/>
      <c r="I13" s="10"/>
    </row>
    <row r="14" spans="2:10" x14ac:dyDescent="0.3">
      <c r="B14" s="3">
        <v>140</v>
      </c>
      <c r="C14" s="3" t="str">
        <f t="shared" si="0"/>
        <v/>
      </c>
      <c r="D14" s="2"/>
      <c r="E14" s="3" t="s">
        <v>135</v>
      </c>
      <c r="F14" s="3" t="b">
        <f t="shared" si="1"/>
        <v>0</v>
      </c>
      <c r="G14" s="2"/>
    </row>
    <row r="15" spans="2:10" x14ac:dyDescent="0.3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>
      <selection activeCell="I7" sqref="I7"/>
    </sheetView>
  </sheetViews>
  <sheetFormatPr defaultRowHeight="14.4" x14ac:dyDescent="0.3"/>
  <cols>
    <col min="2" max="2" width="17.6640625" bestFit="1" customWidth="1"/>
    <col min="3" max="3" width="10.21875" bestFit="1" customWidth="1"/>
    <col min="4" max="4" width="15.88671875" bestFit="1" customWidth="1"/>
    <col min="5" max="5" width="14.664062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92</v>
      </c>
      <c r="C2" s="8"/>
      <c r="D2" s="44"/>
      <c r="E2" s="44"/>
    </row>
    <row r="3" spans="2:10" x14ac:dyDescent="0.3">
      <c r="D3" s="2"/>
      <c r="E3" s="2"/>
    </row>
    <row r="4" spans="2:10" ht="15.6" x14ac:dyDescent="0.3">
      <c r="B4" s="87" t="s">
        <v>93</v>
      </c>
      <c r="C4" s="87" t="s">
        <v>94</v>
      </c>
      <c r="D4" s="87" t="s">
        <v>95</v>
      </c>
      <c r="E4" s="92" t="s">
        <v>96</v>
      </c>
      <c r="G4" s="45" t="s">
        <v>97</v>
      </c>
      <c r="H4" s="45" t="s">
        <v>98</v>
      </c>
    </row>
    <row r="5" spans="2:10" x14ac:dyDescent="0.3">
      <c r="B5" s="3" t="s">
        <v>99</v>
      </c>
      <c r="C5" s="28">
        <v>5500</v>
      </c>
      <c r="D5" s="46">
        <v>4.5299999999999994</v>
      </c>
      <c r="E5" s="3" t="s">
        <v>100</v>
      </c>
      <c r="G5" s="3" t="s">
        <v>101</v>
      </c>
      <c r="H5" s="27">
        <f>COUNTIF(C5:C13,"&lt;5000")</f>
        <v>6</v>
      </c>
    </row>
    <row r="6" spans="2:10" x14ac:dyDescent="0.3">
      <c r="B6" s="3" t="s">
        <v>102</v>
      </c>
      <c r="C6" s="28">
        <v>1800</v>
      </c>
      <c r="D6" s="46">
        <v>4.84</v>
      </c>
      <c r="E6" s="3" t="s">
        <v>103</v>
      </c>
      <c r="G6" s="3" t="s">
        <v>104</v>
      </c>
      <c r="H6" s="27">
        <f>COUNTIF(D5:D13,"&gt;=4")</f>
        <v>4</v>
      </c>
    </row>
    <row r="7" spans="2:10" x14ac:dyDescent="0.3">
      <c r="B7" s="3" t="s">
        <v>105</v>
      </c>
      <c r="C7" s="28">
        <v>2500</v>
      </c>
      <c r="D7" s="46">
        <v>2.2999999999999998</v>
      </c>
      <c r="E7" s="3" t="s">
        <v>103</v>
      </c>
      <c r="G7" s="3" t="s">
        <v>106</v>
      </c>
      <c r="H7" s="27">
        <f>COUNTIF(E:E,"да")</f>
        <v>3</v>
      </c>
    </row>
    <row r="8" spans="2:10" x14ac:dyDescent="0.3">
      <c r="B8" s="3" t="s">
        <v>107</v>
      </c>
      <c r="C8" s="28">
        <v>4900</v>
      </c>
      <c r="D8" s="46">
        <v>2.1</v>
      </c>
      <c r="E8" s="3" t="s">
        <v>100</v>
      </c>
      <c r="G8" s="2"/>
    </row>
    <row r="9" spans="2:10" x14ac:dyDescent="0.3">
      <c r="B9" s="3" t="s">
        <v>108</v>
      </c>
      <c r="C9" s="28">
        <v>4800</v>
      </c>
      <c r="D9" s="46">
        <v>1.23</v>
      </c>
      <c r="E9" s="3" t="s">
        <v>100</v>
      </c>
      <c r="G9" s="2"/>
    </row>
    <row r="10" spans="2:10" x14ac:dyDescent="0.3">
      <c r="B10" s="12" t="s">
        <v>109</v>
      </c>
      <c r="C10" s="28">
        <v>5700</v>
      </c>
      <c r="D10" s="46">
        <v>4.34</v>
      </c>
      <c r="E10" s="3" t="s">
        <v>103</v>
      </c>
      <c r="G10" s="2"/>
    </row>
    <row r="11" spans="2:10" x14ac:dyDescent="0.3">
      <c r="B11" s="3" t="s">
        <v>110</v>
      </c>
      <c r="C11" s="28">
        <v>2400</v>
      </c>
      <c r="D11" s="46">
        <v>2.2599999999999998</v>
      </c>
      <c r="E11" s="3" t="s">
        <v>103</v>
      </c>
    </row>
    <row r="12" spans="2:10" x14ac:dyDescent="0.3">
      <c r="B12" s="3" t="s">
        <v>111</v>
      </c>
      <c r="C12" s="28">
        <v>3300</v>
      </c>
      <c r="D12" s="46">
        <v>4.8</v>
      </c>
      <c r="E12" s="3" t="s">
        <v>103</v>
      </c>
      <c r="G12" s="2"/>
    </row>
    <row r="13" spans="2:10" x14ac:dyDescent="0.3">
      <c r="B13" s="3" t="s">
        <v>112</v>
      </c>
      <c r="C13" s="28">
        <v>6200</v>
      </c>
      <c r="D13" s="46">
        <v>3.24</v>
      </c>
      <c r="E13" s="3" t="s">
        <v>103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3"/>
  <sheetViews>
    <sheetView workbookViewId="0">
      <selection activeCell="H5" sqref="H5"/>
    </sheetView>
  </sheetViews>
  <sheetFormatPr defaultRowHeight="14.4" x14ac:dyDescent="0.3"/>
  <cols>
    <col min="2" max="2" width="16.77734375" bestFit="1" customWidth="1"/>
    <col min="3" max="3" width="16.5546875" bestFit="1" customWidth="1"/>
    <col min="4" max="4" width="17.33203125" bestFit="1" customWidth="1"/>
    <col min="5" max="5" width="8.109375" bestFit="1" customWidth="1"/>
    <col min="6" max="6" width="8.6640625" bestFit="1" customWidth="1"/>
    <col min="7" max="7" width="14.5546875" customWidth="1"/>
    <col min="8" max="8" width="11.21875" bestFit="1" customWidth="1"/>
  </cols>
  <sheetData>
    <row r="1" spans="2:11" x14ac:dyDescent="0.3">
      <c r="J1" s="5"/>
    </row>
    <row r="2" spans="2:11" ht="21" x14ac:dyDescent="0.4">
      <c r="B2" s="1" t="s">
        <v>113</v>
      </c>
      <c r="C2" s="8"/>
      <c r="D2" s="44"/>
    </row>
    <row r="3" spans="2:11" x14ac:dyDescent="0.3">
      <c r="D3" s="2"/>
    </row>
    <row r="4" spans="2:11" ht="15.6" x14ac:dyDescent="0.3">
      <c r="B4" s="87" t="s">
        <v>114</v>
      </c>
      <c r="C4" s="87" t="s">
        <v>115</v>
      </c>
      <c r="D4" s="87" t="s">
        <v>116</v>
      </c>
      <c r="G4" s="47" t="s">
        <v>114</v>
      </c>
      <c r="H4" s="47" t="s">
        <v>5</v>
      </c>
    </row>
    <row r="5" spans="2:11" x14ac:dyDescent="0.3">
      <c r="B5" s="29" t="s">
        <v>117</v>
      </c>
      <c r="C5" s="3" t="s">
        <v>118</v>
      </c>
      <c r="D5" s="48">
        <v>17000</v>
      </c>
      <c r="G5" s="3" t="s">
        <v>117</v>
      </c>
      <c r="H5" s="49">
        <f>SUMIF(B5:B13,G5,D5:D13)</f>
        <v>33000</v>
      </c>
      <c r="K5" s="2"/>
    </row>
    <row r="6" spans="2:11" x14ac:dyDescent="0.3">
      <c r="B6" s="29" t="s">
        <v>119</v>
      </c>
      <c r="C6" s="3" t="s">
        <v>120</v>
      </c>
      <c r="D6" s="48">
        <v>14000</v>
      </c>
      <c r="K6" s="2"/>
    </row>
    <row r="7" spans="2:11" x14ac:dyDescent="0.3">
      <c r="B7" s="29" t="s">
        <v>117</v>
      </c>
      <c r="C7" s="12" t="s">
        <v>120</v>
      </c>
      <c r="D7" s="48">
        <v>8000</v>
      </c>
      <c r="K7" s="2"/>
    </row>
    <row r="8" spans="2:11" x14ac:dyDescent="0.3">
      <c r="B8" s="29" t="s">
        <v>121</v>
      </c>
      <c r="C8" s="3" t="s">
        <v>118</v>
      </c>
      <c r="D8" s="48">
        <v>13000</v>
      </c>
      <c r="K8" s="2"/>
    </row>
    <row r="9" spans="2:11" x14ac:dyDescent="0.3">
      <c r="B9" s="29" t="s">
        <v>122</v>
      </c>
      <c r="C9" s="3" t="s">
        <v>118</v>
      </c>
      <c r="D9" s="48">
        <v>9000</v>
      </c>
      <c r="K9" s="2"/>
    </row>
    <row r="10" spans="2:11" x14ac:dyDescent="0.3">
      <c r="B10" s="50" t="s">
        <v>123</v>
      </c>
      <c r="C10" s="12" t="s">
        <v>120</v>
      </c>
      <c r="D10" s="48">
        <v>22000</v>
      </c>
      <c r="K10" s="2"/>
    </row>
    <row r="11" spans="2:11" x14ac:dyDescent="0.3">
      <c r="B11" s="29" t="s">
        <v>117</v>
      </c>
      <c r="C11" s="3" t="s">
        <v>120</v>
      </c>
      <c r="D11" s="48">
        <v>8000</v>
      </c>
    </row>
    <row r="12" spans="2:11" x14ac:dyDescent="0.3">
      <c r="B12" s="29" t="s">
        <v>121</v>
      </c>
      <c r="C12" s="3" t="s">
        <v>118</v>
      </c>
      <c r="D12" s="48">
        <v>14000</v>
      </c>
      <c r="K12" s="2"/>
    </row>
    <row r="13" spans="2:11" x14ac:dyDescent="0.3">
      <c r="B13" s="29" t="s">
        <v>123</v>
      </c>
      <c r="C13" s="3" t="s">
        <v>124</v>
      </c>
      <c r="D13" s="48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3"/>
  <sheetViews>
    <sheetView workbookViewId="0">
      <selection activeCell="H5" sqref="H5"/>
    </sheetView>
  </sheetViews>
  <sheetFormatPr defaultRowHeight="14.4" x14ac:dyDescent="0.3"/>
  <cols>
    <col min="2" max="3" width="10.21875" bestFit="1" customWidth="1"/>
    <col min="4" max="4" width="11" bestFit="1" customWidth="1"/>
    <col min="5" max="5" width="13.6640625" bestFit="1" customWidth="1"/>
    <col min="6" max="6" width="5.44140625" customWidth="1"/>
    <col min="7" max="7" width="14.664062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225</v>
      </c>
      <c r="C2" s="8"/>
      <c r="D2" s="44"/>
      <c r="E2" s="44"/>
    </row>
    <row r="3" spans="2:10" x14ac:dyDescent="0.3">
      <c r="D3" s="2"/>
      <c r="E3" s="2"/>
    </row>
    <row r="4" spans="2:10" ht="15.6" x14ac:dyDescent="0.3">
      <c r="B4" s="87" t="s">
        <v>226</v>
      </c>
      <c r="C4" s="87" t="s">
        <v>227</v>
      </c>
      <c r="D4" s="87" t="s">
        <v>228</v>
      </c>
      <c r="E4" s="92" t="s">
        <v>229</v>
      </c>
      <c r="G4" s="45" t="s">
        <v>97</v>
      </c>
      <c r="H4" s="45" t="s">
        <v>230</v>
      </c>
    </row>
    <row r="5" spans="2:10" x14ac:dyDescent="0.3">
      <c r="B5" s="3" t="s">
        <v>231</v>
      </c>
      <c r="C5" s="28">
        <v>6500</v>
      </c>
      <c r="D5" s="3" t="s">
        <v>100</v>
      </c>
      <c r="E5" s="3">
        <v>3</v>
      </c>
      <c r="G5" s="3" t="s">
        <v>232</v>
      </c>
      <c r="H5" s="53"/>
    </row>
    <row r="6" spans="2:10" x14ac:dyDescent="0.3">
      <c r="B6" s="3" t="s">
        <v>233</v>
      </c>
      <c r="C6" s="28">
        <v>4500</v>
      </c>
      <c r="D6" s="3" t="s">
        <v>103</v>
      </c>
      <c r="E6" s="3">
        <v>2</v>
      </c>
      <c r="G6" s="3" t="s">
        <v>234</v>
      </c>
      <c r="H6" s="53"/>
    </row>
    <row r="7" spans="2:10" x14ac:dyDescent="0.3">
      <c r="B7" s="3" t="s">
        <v>235</v>
      </c>
      <c r="C7" s="28">
        <v>4300</v>
      </c>
      <c r="D7" s="3" t="s">
        <v>103</v>
      </c>
      <c r="E7" s="3">
        <v>2</v>
      </c>
      <c r="G7" s="3" t="s">
        <v>236</v>
      </c>
      <c r="H7" s="53"/>
    </row>
    <row r="8" spans="2:10" x14ac:dyDescent="0.3">
      <c r="B8" s="3" t="s">
        <v>237</v>
      </c>
      <c r="C8" s="28">
        <v>6400</v>
      </c>
      <c r="D8" s="3" t="s">
        <v>100</v>
      </c>
      <c r="E8" s="3">
        <v>1</v>
      </c>
      <c r="G8" s="2"/>
    </row>
    <row r="9" spans="2:10" x14ac:dyDescent="0.3">
      <c r="B9" s="3" t="s">
        <v>238</v>
      </c>
      <c r="C9" s="28">
        <v>7300</v>
      </c>
      <c r="D9" s="3" t="s">
        <v>100</v>
      </c>
      <c r="E9" s="3">
        <v>1</v>
      </c>
      <c r="G9" s="2"/>
    </row>
    <row r="10" spans="2:10" x14ac:dyDescent="0.3">
      <c r="B10" s="12" t="s">
        <v>239</v>
      </c>
      <c r="C10" s="28">
        <v>3800</v>
      </c>
      <c r="D10" s="3" t="s">
        <v>103</v>
      </c>
      <c r="E10" s="3">
        <v>3</v>
      </c>
      <c r="G10" s="2"/>
    </row>
    <row r="11" spans="2:10" x14ac:dyDescent="0.3">
      <c r="B11" s="3" t="s">
        <v>240</v>
      </c>
      <c r="C11" s="28">
        <v>4300</v>
      </c>
      <c r="D11" s="3" t="s">
        <v>100</v>
      </c>
      <c r="E11" s="3">
        <v>4</v>
      </c>
    </row>
    <row r="12" spans="2:10" x14ac:dyDescent="0.3">
      <c r="B12" s="3" t="s">
        <v>241</v>
      </c>
      <c r="C12" s="28">
        <v>3700</v>
      </c>
      <c r="D12" s="3" t="s">
        <v>103</v>
      </c>
      <c r="E12" s="3">
        <v>2</v>
      </c>
      <c r="G12" s="2"/>
    </row>
    <row r="13" spans="2:10" x14ac:dyDescent="0.3">
      <c r="B13" s="3" t="s">
        <v>242</v>
      </c>
      <c r="C13" s="28">
        <v>1500</v>
      </c>
      <c r="D13" s="3" t="s">
        <v>103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5"/>
  <sheetViews>
    <sheetView workbookViewId="0">
      <selection activeCell="E11" sqref="E11"/>
    </sheetView>
  </sheetViews>
  <sheetFormatPr defaultRowHeight="14.4" x14ac:dyDescent="0.3"/>
  <cols>
    <col min="2" max="2" width="11.21875" bestFit="1" customWidth="1"/>
    <col min="3" max="3" width="11.21875" customWidth="1"/>
    <col min="4" max="4" width="6.44140625" customWidth="1"/>
    <col min="5" max="5" width="17.44140625" customWidth="1"/>
  </cols>
  <sheetData>
    <row r="2" spans="1:6" ht="21" x14ac:dyDescent="0.4">
      <c r="B2" s="1" t="s">
        <v>144</v>
      </c>
      <c r="C2" s="1"/>
      <c r="D2" s="7" t="s">
        <v>145</v>
      </c>
      <c r="E2" s="44"/>
    </row>
    <row r="3" spans="1:6" x14ac:dyDescent="0.3">
      <c r="E3" s="2"/>
    </row>
    <row r="4" spans="1:6" ht="15.6" x14ac:dyDescent="0.3">
      <c r="B4" s="87" t="s">
        <v>146</v>
      </c>
      <c r="C4" s="87" t="s">
        <v>147</v>
      </c>
      <c r="E4" s="103" t="s">
        <v>148</v>
      </c>
    </row>
    <row r="5" spans="1:6" x14ac:dyDescent="0.3">
      <c r="B5" s="3" t="s">
        <v>149</v>
      </c>
      <c r="C5" s="3">
        <v>58</v>
      </c>
      <c r="E5" s="104"/>
      <c r="F5" s="2"/>
    </row>
    <row r="6" spans="1:6" x14ac:dyDescent="0.3">
      <c r="B6" s="3" t="s">
        <v>150</v>
      </c>
      <c r="C6" s="3">
        <v>30</v>
      </c>
      <c r="E6" s="27">
        <f>MIN(C5:C15,24)</f>
        <v>24</v>
      </c>
      <c r="F6" s="2"/>
    </row>
    <row r="7" spans="1:6" ht="15.6" x14ac:dyDescent="0.3">
      <c r="A7" s="51"/>
      <c r="B7" s="3" t="s">
        <v>151</v>
      </c>
      <c r="C7" s="3">
        <v>37</v>
      </c>
      <c r="F7" s="2"/>
    </row>
    <row r="8" spans="1:6" ht="15.6" x14ac:dyDescent="0.3">
      <c r="A8" s="51"/>
      <c r="B8" s="52" t="s">
        <v>152</v>
      </c>
      <c r="C8" s="3">
        <v>96</v>
      </c>
      <c r="E8" s="103" t="s">
        <v>153</v>
      </c>
      <c r="F8" s="2"/>
    </row>
    <row r="9" spans="1:6" ht="15.6" x14ac:dyDescent="0.3">
      <c r="A9" s="51"/>
      <c r="B9" s="40" t="s">
        <v>154</v>
      </c>
      <c r="C9" s="3">
        <v>84</v>
      </c>
      <c r="E9" s="104"/>
      <c r="F9" s="2"/>
    </row>
    <row r="10" spans="1:6" ht="15.6" x14ac:dyDescent="0.3">
      <c r="A10" s="51"/>
      <c r="B10" s="40" t="s">
        <v>155</v>
      </c>
      <c r="C10" s="3">
        <v>89</v>
      </c>
      <c r="E10" s="27">
        <f>MAX(C5:C15,96)</f>
        <v>96</v>
      </c>
      <c r="F10" s="2"/>
    </row>
    <row r="11" spans="1:6" ht="15.6" x14ac:dyDescent="0.3">
      <c r="A11" s="51"/>
      <c r="B11" s="40" t="s">
        <v>156</v>
      </c>
      <c r="C11" s="3">
        <v>70</v>
      </c>
      <c r="D11" s="2"/>
    </row>
    <row r="12" spans="1:6" ht="15.6" x14ac:dyDescent="0.3">
      <c r="A12" s="51"/>
      <c r="B12" s="40" t="s">
        <v>157</v>
      </c>
      <c r="C12" s="3">
        <v>24</v>
      </c>
      <c r="D12" s="2"/>
      <c r="F12" s="2"/>
    </row>
    <row r="13" spans="1:6" ht="15.6" x14ac:dyDescent="0.3">
      <c r="A13" s="51"/>
      <c r="B13" s="43" t="s">
        <v>158</v>
      </c>
      <c r="C13" s="3">
        <v>62</v>
      </c>
      <c r="D13" s="2"/>
      <c r="F13" s="2"/>
    </row>
    <row r="14" spans="1:6" x14ac:dyDescent="0.3">
      <c r="B14" s="3" t="s">
        <v>159</v>
      </c>
      <c r="C14" s="3">
        <v>78</v>
      </c>
      <c r="D14" s="2"/>
    </row>
    <row r="15" spans="1:6" x14ac:dyDescent="0.3">
      <c r="B15" s="3" t="s">
        <v>160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1"/>
  <sheetViews>
    <sheetView workbookViewId="0">
      <selection activeCell="D10" sqref="D10"/>
    </sheetView>
  </sheetViews>
  <sheetFormatPr defaultRowHeight="14.4" x14ac:dyDescent="0.3"/>
  <cols>
    <col min="2" max="2" width="37.33203125" customWidth="1"/>
    <col min="3" max="3" width="35.109375" customWidth="1"/>
    <col min="4" max="4" width="26.5546875" bestFit="1" customWidth="1"/>
    <col min="5" max="5" width="10.44140625" bestFit="1" customWidth="1"/>
  </cols>
  <sheetData>
    <row r="1" spans="2:10" x14ac:dyDescent="0.3">
      <c r="J1" s="5"/>
    </row>
    <row r="2" spans="2:10" ht="21" x14ac:dyDescent="0.4">
      <c r="B2" s="1" t="s">
        <v>136</v>
      </c>
    </row>
    <row r="3" spans="2:10" x14ac:dyDescent="0.3">
      <c r="C3" s="2"/>
    </row>
    <row r="4" spans="2:10" ht="15.6" x14ac:dyDescent="0.3">
      <c r="B4" s="87" t="s">
        <v>44</v>
      </c>
      <c r="C4" s="87" t="s">
        <v>5</v>
      </c>
    </row>
    <row r="5" spans="2:10" x14ac:dyDescent="0.3">
      <c r="B5" s="3" t="s">
        <v>137</v>
      </c>
      <c r="C5" s="27" t="str">
        <f>TRIM(B5)</f>
        <v>Лучшее - враг хорошего</v>
      </c>
    </row>
    <row r="6" spans="2:10" x14ac:dyDescent="0.3">
      <c r="B6" s="3" t="s">
        <v>138</v>
      </c>
      <c r="C6" s="27" t="str">
        <f t="shared" ref="C6:C11" si="0">TRIM(B6)</f>
        <v>Семь раз отмерь - один раз отрежь</v>
      </c>
    </row>
    <row r="7" spans="2:10" x14ac:dyDescent="0.3">
      <c r="B7" s="3" t="s">
        <v>139</v>
      </c>
      <c r="C7" s="27" t="str">
        <f t="shared" si="0"/>
        <v>Слово - не воробей</v>
      </c>
    </row>
    <row r="8" spans="2:10" x14ac:dyDescent="0.3">
      <c r="B8" s="3" t="s">
        <v>140</v>
      </c>
      <c r="C8" s="27" t="str">
        <f t="shared" si="0"/>
        <v>Сделал дело - гуляй смело</v>
      </c>
    </row>
    <row r="9" spans="2:10" x14ac:dyDescent="0.3">
      <c r="B9" s="3" t="s">
        <v>141</v>
      </c>
      <c r="C9" s="27" t="str">
        <f t="shared" si="0"/>
        <v>Цыплят по осени считают</v>
      </c>
    </row>
    <row r="10" spans="2:10" x14ac:dyDescent="0.3">
      <c r="B10" s="12" t="s">
        <v>142</v>
      </c>
      <c r="C10" s="27" t="str">
        <f t="shared" si="0"/>
        <v>Береги честь смолоду</v>
      </c>
    </row>
    <row r="11" spans="2:10" x14ac:dyDescent="0.3">
      <c r="B11" s="12" t="s">
        <v>143</v>
      </c>
      <c r="C11" s="27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C93D-9EB6-439C-AA57-0074375E2D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>
      <selection activeCell="C22" sqref="C22"/>
    </sheetView>
  </sheetViews>
  <sheetFormatPr defaultRowHeight="14.4" x14ac:dyDescent="0.3"/>
  <cols>
    <col min="2" max="2" width="10.109375" customWidth="1"/>
    <col min="3" max="3" width="30" customWidth="1"/>
    <col min="4" max="5" width="15.5546875" customWidth="1"/>
    <col min="6" max="6" width="5.44140625" customWidth="1"/>
    <col min="7" max="7" width="26.554687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42</v>
      </c>
      <c r="D2" s="7"/>
    </row>
    <row r="3" spans="2:10" x14ac:dyDescent="0.3">
      <c r="D3" s="2"/>
      <c r="E3" s="2"/>
    </row>
    <row r="4" spans="2:10" ht="31.2" x14ac:dyDescent="0.3">
      <c r="B4" s="87" t="s">
        <v>43</v>
      </c>
      <c r="C4" s="87" t="s">
        <v>44</v>
      </c>
      <c r="D4" s="93" t="s">
        <v>45</v>
      </c>
      <c r="E4" s="93" t="s">
        <v>46</v>
      </c>
    </row>
    <row r="5" spans="2:10" x14ac:dyDescent="0.3">
      <c r="B5" s="3" t="s">
        <v>47</v>
      </c>
      <c r="C5" s="26" t="s">
        <v>48</v>
      </c>
      <c r="D5" s="27">
        <f>SEARCH(B5,C5)</f>
        <v>1</v>
      </c>
      <c r="E5" s="27">
        <f>FIND(B5,C5)</f>
        <v>1</v>
      </c>
      <c r="F5" s="2" t="s">
        <v>49</v>
      </c>
    </row>
    <row r="6" spans="2:10" x14ac:dyDescent="0.3">
      <c r="B6" s="3" t="s">
        <v>50</v>
      </c>
      <c r="C6" s="28" t="s">
        <v>51</v>
      </c>
      <c r="D6" s="27">
        <f t="shared" ref="D6:D15" si="0">SEARCH(B6,C6)</f>
        <v>3</v>
      </c>
      <c r="E6" s="27">
        <f t="shared" ref="E6:E15" si="1">FIND(B6,C6)</f>
        <v>3</v>
      </c>
      <c r="F6" s="2" t="s">
        <v>52</v>
      </c>
    </row>
    <row r="7" spans="2:10" x14ac:dyDescent="0.3">
      <c r="B7" s="3" t="s">
        <v>53</v>
      </c>
      <c r="C7" s="28" t="s">
        <v>54</v>
      </c>
      <c r="D7" s="27">
        <f t="shared" si="0"/>
        <v>6</v>
      </c>
      <c r="E7" s="27">
        <f t="shared" si="1"/>
        <v>6</v>
      </c>
      <c r="F7" s="2" t="s">
        <v>55</v>
      </c>
    </row>
    <row r="8" spans="2:10" x14ac:dyDescent="0.3">
      <c r="B8" s="3" t="s">
        <v>56</v>
      </c>
      <c r="C8" s="26" t="s">
        <v>57</v>
      </c>
      <c r="D8" s="27">
        <f t="shared" si="0"/>
        <v>1</v>
      </c>
      <c r="E8" s="27">
        <f t="shared" si="1"/>
        <v>12</v>
      </c>
      <c r="F8" s="2" t="s">
        <v>58</v>
      </c>
    </row>
    <row r="9" spans="2:10" x14ac:dyDescent="0.3">
      <c r="B9" s="3" t="s">
        <v>59</v>
      </c>
      <c r="C9" s="26" t="s">
        <v>60</v>
      </c>
      <c r="D9" s="27">
        <f t="shared" si="0"/>
        <v>1</v>
      </c>
      <c r="E9" s="27">
        <f t="shared" si="1"/>
        <v>1</v>
      </c>
      <c r="F9" s="2" t="s">
        <v>58</v>
      </c>
    </row>
    <row r="10" spans="2:10" x14ac:dyDescent="0.3">
      <c r="B10" s="12" t="s">
        <v>50</v>
      </c>
      <c r="C10" s="28" t="s">
        <v>61</v>
      </c>
      <c r="D10" s="27" t="e">
        <f t="shared" si="0"/>
        <v>#VALUE!</v>
      </c>
      <c r="E10" s="27" t="e">
        <f t="shared" si="1"/>
        <v>#VALUE!</v>
      </c>
      <c r="F10" s="2" t="s">
        <v>62</v>
      </c>
    </row>
    <row r="11" spans="2:10" x14ac:dyDescent="0.3">
      <c r="B11" s="12" t="s">
        <v>63</v>
      </c>
      <c r="C11" s="102" t="s">
        <v>405</v>
      </c>
      <c r="D11" s="27">
        <f t="shared" si="0"/>
        <v>1</v>
      </c>
      <c r="E11" s="27">
        <f>FIND(B11,C11)</f>
        <v>30</v>
      </c>
      <c r="F11" s="2" t="s">
        <v>64</v>
      </c>
    </row>
    <row r="12" spans="2:10" x14ac:dyDescent="0.3">
      <c r="B12" s="3"/>
      <c r="C12" s="28" t="s">
        <v>61</v>
      </c>
      <c r="D12" s="27">
        <f t="shared" si="0"/>
        <v>1</v>
      </c>
      <c r="E12" s="27">
        <f t="shared" si="1"/>
        <v>1</v>
      </c>
      <c r="F12" s="2" t="s">
        <v>65</v>
      </c>
    </row>
    <row r="13" spans="2:10" x14ac:dyDescent="0.3">
      <c r="B13" s="3" t="s">
        <v>66</v>
      </c>
      <c r="C13" s="28" t="s">
        <v>67</v>
      </c>
      <c r="D13" s="27">
        <f t="shared" si="0"/>
        <v>7</v>
      </c>
      <c r="E13" s="27">
        <f t="shared" si="1"/>
        <v>7</v>
      </c>
      <c r="F13" s="2" t="s">
        <v>68</v>
      </c>
    </row>
    <row r="14" spans="2:10" x14ac:dyDescent="0.3">
      <c r="B14" s="3" t="s">
        <v>69</v>
      </c>
      <c r="C14" s="28" t="s">
        <v>70</v>
      </c>
      <c r="D14" s="27">
        <f t="shared" si="0"/>
        <v>4</v>
      </c>
      <c r="E14" s="27">
        <f t="shared" si="1"/>
        <v>4</v>
      </c>
      <c r="F14" s="2" t="s">
        <v>71</v>
      </c>
    </row>
    <row r="15" spans="2:10" x14ac:dyDescent="0.3">
      <c r="B15" s="12">
        <v>3</v>
      </c>
      <c r="C15" s="3">
        <v>131111</v>
      </c>
      <c r="D15" s="27">
        <f t="shared" si="0"/>
        <v>2</v>
      </c>
      <c r="E15" s="27">
        <f t="shared" si="1"/>
        <v>2</v>
      </c>
      <c r="F15" s="2" t="s">
        <v>72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8"/>
  <sheetViews>
    <sheetView workbookViewId="0">
      <selection activeCell="C8" sqref="C8"/>
    </sheetView>
  </sheetViews>
  <sheetFormatPr defaultRowHeight="14.4" x14ac:dyDescent="0.3"/>
  <cols>
    <col min="2" max="2" width="19.33203125" customWidth="1"/>
    <col min="3" max="3" width="15.77734375" bestFit="1" customWidth="1"/>
    <col min="4" max="4" width="29.5546875" bestFit="1" customWidth="1"/>
    <col min="5" max="5" width="25.21875" customWidth="1"/>
    <col min="6" max="6" width="26.5546875" bestFit="1" customWidth="1"/>
    <col min="7" max="7" width="10.44140625" bestFit="1" customWidth="1"/>
  </cols>
  <sheetData>
    <row r="2" spans="2:5" ht="21" x14ac:dyDescent="0.4">
      <c r="B2" s="7" t="s">
        <v>161</v>
      </c>
      <c r="C2" s="7"/>
      <c r="D2" s="1"/>
    </row>
    <row r="3" spans="2:5" x14ac:dyDescent="0.3">
      <c r="D3" s="2"/>
    </row>
    <row r="4" spans="2:5" ht="15.6" x14ac:dyDescent="0.3">
      <c r="B4" s="87" t="s">
        <v>162</v>
      </c>
      <c r="C4" s="87" t="s">
        <v>163</v>
      </c>
      <c r="D4" s="87" t="s">
        <v>164</v>
      </c>
      <c r="E4" s="87" t="s">
        <v>165</v>
      </c>
    </row>
    <row r="5" spans="2:5" x14ac:dyDescent="0.3">
      <c r="B5" s="3" t="s">
        <v>166</v>
      </c>
      <c r="C5" s="53" t="str">
        <f>SUBSTITUTE(B5,"у","о")</f>
        <v>Стол</v>
      </c>
      <c r="D5" s="54" t="s">
        <v>167</v>
      </c>
      <c r="E5" s="28" t="s">
        <v>168</v>
      </c>
    </row>
    <row r="6" spans="2:5" x14ac:dyDescent="0.3">
      <c r="B6" s="3" t="s">
        <v>169</v>
      </c>
      <c r="C6" s="53" t="str">
        <f>SUBSTITUTE(B6,"о","и",2)</f>
        <v>Помидор</v>
      </c>
      <c r="D6" s="54" t="s">
        <v>170</v>
      </c>
      <c r="E6" s="28" t="s">
        <v>171</v>
      </c>
    </row>
    <row r="7" spans="2:5" x14ac:dyDescent="0.3">
      <c r="B7" s="3" t="s">
        <v>172</v>
      </c>
      <c r="C7" s="53" t="str">
        <f>SUBSTITUTE(B7,"кот","тигр")</f>
        <v>Кот, тигр</v>
      </c>
      <c r="D7" s="54" t="s">
        <v>173</v>
      </c>
      <c r="E7" s="28" t="s">
        <v>174</v>
      </c>
    </row>
    <row r="8" spans="2:5" x14ac:dyDescent="0.3">
      <c r="B8" s="3" t="s">
        <v>175</v>
      </c>
      <c r="C8" s="53" t="str">
        <f>SUBSTITUTE(B8,"#","")</f>
        <v>1825</v>
      </c>
      <c r="D8" s="54" t="s">
        <v>176</v>
      </c>
      <c r="E8" s="28" t="s">
        <v>177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6"/>
  <sheetViews>
    <sheetView workbookViewId="0">
      <selection activeCell="E13" sqref="E13"/>
    </sheetView>
  </sheetViews>
  <sheetFormatPr defaultRowHeight="14.4" x14ac:dyDescent="0.3"/>
  <cols>
    <col min="2" max="2" width="20" customWidth="1"/>
    <col min="3" max="3" width="20.33203125" customWidth="1"/>
    <col min="4" max="4" width="8" customWidth="1"/>
    <col min="6" max="6" width="11.21875" bestFit="1" customWidth="1"/>
    <col min="8" max="8" width="11.21875" bestFit="1" customWidth="1"/>
  </cols>
  <sheetData>
    <row r="2" spans="2:8" ht="21" customHeight="1" x14ac:dyDescent="0.4">
      <c r="B2" s="1" t="s">
        <v>323</v>
      </c>
    </row>
    <row r="4" spans="2:8" ht="15.6" x14ac:dyDescent="0.3">
      <c r="B4" s="87" t="s">
        <v>324</v>
      </c>
      <c r="C4" s="87" t="s">
        <v>325</v>
      </c>
    </row>
    <row r="5" spans="2:8" x14ac:dyDescent="0.3">
      <c r="B5" s="40" t="s">
        <v>326</v>
      </c>
      <c r="C5" s="77" t="str">
        <f>REPLACE(B5,5,4,"2026")</f>
        <v>ФГС-2026-01</v>
      </c>
      <c r="F5" s="78"/>
      <c r="H5" s="10"/>
    </row>
    <row r="6" spans="2:8" x14ac:dyDescent="0.3">
      <c r="B6" s="40" t="s">
        <v>327</v>
      </c>
      <c r="C6" s="77" t="str">
        <f t="shared" ref="C6:C16" si="0">REPLACE(B6,5,4,"2026")</f>
        <v>ФГС-2026-02</v>
      </c>
      <c r="H6" s="10"/>
    </row>
    <row r="7" spans="2:8" x14ac:dyDescent="0.3">
      <c r="B7" s="40" t="s">
        <v>328</v>
      </c>
      <c r="C7" s="77" t="str">
        <f t="shared" si="0"/>
        <v>ФГС-2026-03</v>
      </c>
      <c r="H7" s="10"/>
    </row>
    <row r="8" spans="2:8" x14ac:dyDescent="0.3">
      <c r="B8" s="40" t="s">
        <v>329</v>
      </c>
      <c r="C8" s="77" t="str">
        <f t="shared" si="0"/>
        <v>ААБ-2026-001</v>
      </c>
      <c r="H8" s="10"/>
    </row>
    <row r="9" spans="2:8" x14ac:dyDescent="0.3">
      <c r="B9" s="40" t="s">
        <v>330</v>
      </c>
      <c r="C9" s="77" t="str">
        <f t="shared" si="0"/>
        <v>ААБ-2026-002</v>
      </c>
      <c r="H9" s="10"/>
    </row>
    <row r="10" spans="2:8" x14ac:dyDescent="0.3">
      <c r="B10" s="40" t="s">
        <v>331</v>
      </c>
      <c r="C10" s="77" t="str">
        <f t="shared" si="0"/>
        <v>ААБ-2026-003</v>
      </c>
      <c r="H10" s="10"/>
    </row>
    <row r="11" spans="2:8" x14ac:dyDescent="0.3">
      <c r="B11" s="40" t="s">
        <v>332</v>
      </c>
      <c r="C11" s="77" t="str">
        <f t="shared" si="0"/>
        <v>ААБ-2026-004</v>
      </c>
      <c r="H11" s="10"/>
    </row>
    <row r="12" spans="2:8" x14ac:dyDescent="0.3">
      <c r="B12" s="40" t="s">
        <v>333</v>
      </c>
      <c r="C12" s="77" t="str">
        <f t="shared" si="0"/>
        <v>НАР-2026-875</v>
      </c>
      <c r="H12" s="10"/>
    </row>
    <row r="13" spans="2:8" x14ac:dyDescent="0.3">
      <c r="B13" s="40" t="s">
        <v>334</v>
      </c>
      <c r="C13" s="77" t="str">
        <f t="shared" si="0"/>
        <v>НАР-2026-876</v>
      </c>
      <c r="H13" s="10"/>
    </row>
    <row r="14" spans="2:8" x14ac:dyDescent="0.3">
      <c r="B14" s="40" t="s">
        <v>335</v>
      </c>
      <c r="C14" s="77" t="str">
        <f t="shared" si="0"/>
        <v>НАР-2026-877</v>
      </c>
    </row>
    <row r="15" spans="2:8" x14ac:dyDescent="0.3">
      <c r="B15" s="40" t="s">
        <v>336</v>
      </c>
      <c r="C15" s="77" t="str">
        <f t="shared" si="0"/>
        <v>ПУИ-2026-003</v>
      </c>
    </row>
    <row r="16" spans="2:8" x14ac:dyDescent="0.3">
      <c r="B16" s="40" t="s">
        <v>337</v>
      </c>
      <c r="C16" s="77" t="str">
        <f t="shared" si="0"/>
        <v>ПУИ-2026-004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15"/>
  <sheetViews>
    <sheetView workbookViewId="0">
      <selection activeCell="C16" sqref="C16"/>
    </sheetView>
  </sheetViews>
  <sheetFormatPr defaultRowHeight="14.4" x14ac:dyDescent="0.3"/>
  <cols>
    <col min="2" max="2" width="19.33203125" customWidth="1"/>
    <col min="3" max="3" width="12.6640625" customWidth="1"/>
    <col min="4" max="4" width="19.6640625" bestFit="1" customWidth="1"/>
    <col min="5" max="5" width="5.44140625" customWidth="1"/>
    <col min="6" max="6" width="26.5546875" bestFit="1" customWidth="1"/>
    <col min="7" max="7" width="10.44140625" bestFit="1" customWidth="1"/>
  </cols>
  <sheetData>
    <row r="2" spans="2:5" ht="21" x14ac:dyDescent="0.4">
      <c r="B2" s="7" t="s">
        <v>178</v>
      </c>
      <c r="C2" s="7" t="s">
        <v>179</v>
      </c>
      <c r="D2" s="1"/>
    </row>
    <row r="3" spans="2:5" x14ac:dyDescent="0.3">
      <c r="D3" s="2"/>
    </row>
    <row r="4" spans="2:5" ht="15.6" x14ac:dyDescent="0.3">
      <c r="B4" s="87" t="s">
        <v>43</v>
      </c>
      <c r="C4" s="87" t="s">
        <v>5</v>
      </c>
      <c r="D4" s="87" t="s">
        <v>164</v>
      </c>
    </row>
    <row r="5" spans="2:5" x14ac:dyDescent="0.3">
      <c r="B5" s="3" t="s">
        <v>180</v>
      </c>
      <c r="C5" s="53" t="str">
        <f>LEFT(B5)</f>
        <v>А</v>
      </c>
      <c r="D5" s="54" t="s">
        <v>181</v>
      </c>
      <c r="E5" s="2"/>
    </row>
    <row r="6" spans="2:5" x14ac:dyDescent="0.3">
      <c r="B6" s="3" t="s">
        <v>180</v>
      </c>
      <c r="C6" s="53" t="str">
        <f>RIGHT(B6)</f>
        <v>В</v>
      </c>
      <c r="D6" s="54" t="s">
        <v>182</v>
      </c>
      <c r="E6" s="2"/>
    </row>
    <row r="7" spans="2:5" x14ac:dyDescent="0.3">
      <c r="E7" s="2"/>
    </row>
    <row r="8" spans="2:5" x14ac:dyDescent="0.3">
      <c r="B8" s="3" t="s">
        <v>183</v>
      </c>
      <c r="C8" s="53" t="str">
        <f>LEFT(B8,4)</f>
        <v>Мама</v>
      </c>
      <c r="D8" s="54" t="s">
        <v>184</v>
      </c>
      <c r="E8" s="2"/>
    </row>
    <row r="9" spans="2:5" x14ac:dyDescent="0.3">
      <c r="B9" s="3" t="s">
        <v>183</v>
      </c>
      <c r="C9" s="53" t="str">
        <f>RIGHT(B9,4)</f>
        <v>раму</v>
      </c>
      <c r="D9" s="54" t="s">
        <v>185</v>
      </c>
      <c r="E9" s="2"/>
    </row>
    <row r="10" spans="2:5" x14ac:dyDescent="0.3">
      <c r="E10" s="2"/>
    </row>
    <row r="11" spans="2:5" x14ac:dyDescent="0.3">
      <c r="B11" s="12" t="s">
        <v>186</v>
      </c>
      <c r="C11" s="53" t="str">
        <f>LEFT(B11,3)</f>
        <v>909</v>
      </c>
      <c r="D11" s="54" t="s">
        <v>187</v>
      </c>
      <c r="E11" s="2"/>
    </row>
    <row r="12" spans="2:5" x14ac:dyDescent="0.3">
      <c r="B12" s="12" t="s">
        <v>186</v>
      </c>
      <c r="C12" s="53" t="str">
        <f>RIGHT(B12,5)</f>
        <v>66-55</v>
      </c>
      <c r="D12" s="54" t="s">
        <v>188</v>
      </c>
      <c r="E12" s="2"/>
    </row>
    <row r="14" spans="2:5" x14ac:dyDescent="0.3">
      <c r="B14" s="55" t="s">
        <v>189</v>
      </c>
      <c r="C14" s="53" t="str">
        <f>LEFT(B14,4)</f>
        <v>7500</v>
      </c>
      <c r="D14" s="54" t="s">
        <v>190</v>
      </c>
    </row>
    <row r="15" spans="2:5" x14ac:dyDescent="0.3">
      <c r="B15" s="55" t="s">
        <v>189</v>
      </c>
      <c r="C15" s="53" t="str">
        <f>RIGHT(B15,6)</f>
        <v>221155</v>
      </c>
      <c r="D15" s="54" t="s">
        <v>191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15"/>
  <sheetViews>
    <sheetView workbookViewId="0">
      <selection activeCell="C12" sqref="C12"/>
    </sheetView>
  </sheetViews>
  <sheetFormatPr defaultRowHeight="14.4" x14ac:dyDescent="0.3"/>
  <cols>
    <col min="2" max="2" width="14.44140625" customWidth="1"/>
    <col min="3" max="3" width="21.33203125" customWidth="1"/>
    <col min="4" max="4" width="16.21875" customWidth="1"/>
    <col min="5" max="5" width="26.5546875" bestFit="1" customWidth="1"/>
    <col min="6" max="6" width="10.44140625" bestFit="1" customWidth="1"/>
  </cols>
  <sheetData>
    <row r="2" spans="2:5" ht="21" x14ac:dyDescent="0.4">
      <c r="B2" s="1" t="s">
        <v>192</v>
      </c>
      <c r="E2" s="56"/>
    </row>
    <row r="3" spans="2:5" x14ac:dyDescent="0.3">
      <c r="C3" s="2"/>
    </row>
    <row r="4" spans="2:5" ht="15.6" x14ac:dyDescent="0.3">
      <c r="B4" s="87" t="s">
        <v>44</v>
      </c>
      <c r="C4" s="87" t="s">
        <v>5</v>
      </c>
    </row>
    <row r="5" spans="2:5" x14ac:dyDescent="0.3">
      <c r="B5" s="3" t="s">
        <v>193</v>
      </c>
      <c r="C5" s="27">
        <f>LEN(B5)</f>
        <v>3</v>
      </c>
      <c r="D5" s="2" t="s">
        <v>194</v>
      </c>
    </row>
    <row r="6" spans="2:5" x14ac:dyDescent="0.3">
      <c r="B6" s="3" t="s">
        <v>195</v>
      </c>
      <c r="C6" s="27">
        <f t="shared" ref="C6:C15" si="0">LEN(B6)</f>
        <v>4</v>
      </c>
      <c r="D6" s="2" t="s">
        <v>196</v>
      </c>
    </row>
    <row r="7" spans="2:5" x14ac:dyDescent="0.3">
      <c r="B7" s="3" t="s">
        <v>197</v>
      </c>
      <c r="C7" s="27">
        <f t="shared" si="0"/>
        <v>3</v>
      </c>
      <c r="D7" s="2" t="s">
        <v>198</v>
      </c>
    </row>
    <row r="8" spans="2:5" x14ac:dyDescent="0.3">
      <c r="B8" s="3" t="s">
        <v>199</v>
      </c>
      <c r="C8" s="27">
        <f t="shared" si="0"/>
        <v>11</v>
      </c>
      <c r="D8" s="2" t="s">
        <v>200</v>
      </c>
    </row>
    <row r="9" spans="2:5" x14ac:dyDescent="0.3">
      <c r="B9" s="3"/>
      <c r="C9" s="27">
        <f t="shared" si="0"/>
        <v>0</v>
      </c>
      <c r="D9" s="2" t="s">
        <v>201</v>
      </c>
    </row>
    <row r="10" spans="2:5" x14ac:dyDescent="0.3">
      <c r="B10" s="12">
        <v>1000</v>
      </c>
      <c r="C10" s="27">
        <f t="shared" si="0"/>
        <v>4</v>
      </c>
      <c r="D10" s="2" t="s">
        <v>202</v>
      </c>
    </row>
    <row r="11" spans="2:5" x14ac:dyDescent="0.3">
      <c r="B11" s="57">
        <v>1000</v>
      </c>
      <c r="C11" s="27">
        <f t="shared" si="0"/>
        <v>4</v>
      </c>
      <c r="D11" s="2" t="s">
        <v>203</v>
      </c>
    </row>
    <row r="12" spans="2:5" x14ac:dyDescent="0.3">
      <c r="B12" s="40">
        <v>47112</v>
      </c>
      <c r="C12" s="27">
        <f t="shared" si="0"/>
        <v>5</v>
      </c>
      <c r="D12" s="2" t="s">
        <v>204</v>
      </c>
    </row>
    <row r="13" spans="2:5" x14ac:dyDescent="0.3">
      <c r="B13" s="3">
        <v>106.99</v>
      </c>
      <c r="C13" s="27">
        <f t="shared" si="0"/>
        <v>6</v>
      </c>
      <c r="D13" s="2" t="s">
        <v>205</v>
      </c>
    </row>
    <row r="14" spans="2:5" x14ac:dyDescent="0.3">
      <c r="B14" s="58">
        <v>3.14159265358979</v>
      </c>
      <c r="C14" s="27">
        <f t="shared" si="0"/>
        <v>16</v>
      </c>
      <c r="D14" s="2" t="s">
        <v>206</v>
      </c>
    </row>
    <row r="15" spans="2:5" x14ac:dyDescent="0.3">
      <c r="B15" s="46">
        <v>-1.75</v>
      </c>
      <c r="C15" s="27">
        <f t="shared" si="0"/>
        <v>5</v>
      </c>
      <c r="D15" s="2" t="s">
        <v>207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5"/>
  <sheetViews>
    <sheetView workbookViewId="0">
      <selection activeCell="E16" sqref="E16"/>
    </sheetView>
  </sheetViews>
  <sheetFormatPr defaultRowHeight="14.4" x14ac:dyDescent="0.3"/>
  <cols>
    <col min="2" max="3" width="12.44140625" customWidth="1"/>
    <col min="4" max="4" width="13.109375" customWidth="1"/>
    <col min="5" max="5" width="29.33203125" customWidth="1"/>
  </cols>
  <sheetData>
    <row r="1" spans="2:9" x14ac:dyDescent="0.3">
      <c r="I1" s="5"/>
    </row>
    <row r="2" spans="2:9" ht="21" x14ac:dyDescent="0.4">
      <c r="B2" s="1" t="s">
        <v>243</v>
      </c>
      <c r="C2" s="8"/>
      <c r="D2" s="7"/>
      <c r="E2" s="44"/>
    </row>
    <row r="3" spans="2:9" x14ac:dyDescent="0.3">
      <c r="D3" s="2"/>
      <c r="E3" s="61" t="s">
        <v>244</v>
      </c>
    </row>
    <row r="4" spans="2:9" ht="15.6" x14ac:dyDescent="0.3">
      <c r="B4" s="87" t="s">
        <v>23</v>
      </c>
      <c r="C4" s="87" t="s">
        <v>24</v>
      </c>
      <c r="D4" s="87" t="s">
        <v>25</v>
      </c>
      <c r="E4" s="92" t="s">
        <v>245</v>
      </c>
    </row>
    <row r="5" spans="2:9" x14ac:dyDescent="0.3">
      <c r="B5" s="3" t="s">
        <v>246</v>
      </c>
      <c r="C5" s="28" t="s">
        <v>247</v>
      </c>
      <c r="D5" s="46" t="s">
        <v>248</v>
      </c>
      <c r="E5" s="27" t="str">
        <f>CONCATENATE(B5,", ",C5,", ",D5)</f>
        <v>А, Б, В</v>
      </c>
    </row>
    <row r="6" spans="2:9" x14ac:dyDescent="0.3">
      <c r="B6" s="3">
        <v>1</v>
      </c>
      <c r="C6" s="3">
        <v>2</v>
      </c>
      <c r="D6" s="46">
        <v>3</v>
      </c>
      <c r="E6" s="27" t="str">
        <f t="shared" ref="E6:E8" si="0">CONCATENATE(B6,", ",C6,", ",D6)</f>
        <v>1, 2, 3</v>
      </c>
    </row>
    <row r="7" spans="2:9" x14ac:dyDescent="0.3">
      <c r="B7" s="3" t="s">
        <v>249</v>
      </c>
      <c r="C7" s="28" t="s">
        <v>250</v>
      </c>
      <c r="D7" s="46" t="s">
        <v>251</v>
      </c>
      <c r="E7" s="27" t="str">
        <f t="shared" si="0"/>
        <v>сливы, яблоки, груши</v>
      </c>
    </row>
    <row r="8" spans="2:9" x14ac:dyDescent="0.3">
      <c r="B8" s="3" t="s">
        <v>252</v>
      </c>
      <c r="C8" s="28" t="s">
        <v>253</v>
      </c>
      <c r="D8" s="46" t="s">
        <v>254</v>
      </c>
      <c r="E8" s="27" t="str">
        <f t="shared" si="0"/>
        <v>красный, синий, зеленый</v>
      </c>
    </row>
    <row r="10" spans="2:9" x14ac:dyDescent="0.3">
      <c r="E10" s="61" t="s">
        <v>255</v>
      </c>
    </row>
    <row r="11" spans="2:9" x14ac:dyDescent="0.3">
      <c r="B11" s="3" t="s">
        <v>252</v>
      </c>
      <c r="C11" s="28" t="s">
        <v>253</v>
      </c>
      <c r="D11" s="46"/>
      <c r="E11" s="27" t="str">
        <f>CONCATENATE(B11," и ",C11)</f>
        <v>красный и синий</v>
      </c>
    </row>
    <row r="13" spans="2:9" x14ac:dyDescent="0.3">
      <c r="E13" s="61" t="s">
        <v>256</v>
      </c>
    </row>
    <row r="14" spans="2:9" ht="15.6" x14ac:dyDescent="0.3">
      <c r="B14" s="87" t="s">
        <v>257</v>
      </c>
      <c r="C14" s="87" t="s">
        <v>258</v>
      </c>
      <c r="D14" s="87" t="s">
        <v>259</v>
      </c>
      <c r="E14" s="92" t="s">
        <v>245</v>
      </c>
    </row>
    <row r="15" spans="2:9" x14ac:dyDescent="0.3">
      <c r="B15" s="3" t="s">
        <v>260</v>
      </c>
      <c r="C15" s="28" t="s">
        <v>261</v>
      </c>
      <c r="D15" s="46" t="s">
        <v>262</v>
      </c>
      <c r="E15" s="27" t="str">
        <f>CONCATENATE(D15,", ",B15," ",C15)</f>
        <v>Уважаемый, Петр Петрович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G13"/>
  <sheetViews>
    <sheetView workbookViewId="0">
      <selection activeCell="E18" sqref="E18"/>
    </sheetView>
  </sheetViews>
  <sheetFormatPr defaultRowHeight="14.4" x14ac:dyDescent="0.3"/>
  <cols>
    <col min="2" max="2" width="18.88671875" bestFit="1" customWidth="1"/>
    <col min="3" max="3" width="16.44140625" bestFit="1" customWidth="1"/>
    <col min="4" max="4" width="15.33203125" bestFit="1" customWidth="1"/>
    <col min="5" max="5" width="16.7773437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2" spans="2:7" ht="21" x14ac:dyDescent="0.4">
      <c r="B2" s="1" t="s">
        <v>379</v>
      </c>
      <c r="C2" s="7" t="s">
        <v>380</v>
      </c>
      <c r="D2" s="44"/>
      <c r="E2" s="44" t="s">
        <v>381</v>
      </c>
    </row>
    <row r="3" spans="2:7" x14ac:dyDescent="0.3">
      <c r="D3" s="2"/>
      <c r="E3" s="2"/>
    </row>
    <row r="4" spans="2:7" ht="15.6" x14ac:dyDescent="0.3">
      <c r="B4" s="87" t="s">
        <v>93</v>
      </c>
      <c r="C4" s="87" t="s">
        <v>379</v>
      </c>
      <c r="D4" s="87" t="s">
        <v>380</v>
      </c>
      <c r="E4" s="92" t="s">
        <v>382</v>
      </c>
    </row>
    <row r="5" spans="2:7" x14ac:dyDescent="0.3">
      <c r="B5" s="3" t="s">
        <v>383</v>
      </c>
      <c r="C5" s="53" t="str">
        <f>LOWER(B5)</f>
        <v>книга</v>
      </c>
      <c r="D5" s="9" t="str">
        <f>PROPER(B5)</f>
        <v>Книга</v>
      </c>
      <c r="E5" s="27" t="str">
        <f>UPPER(B5)</f>
        <v>КНИГА</v>
      </c>
    </row>
    <row r="6" spans="2:7" x14ac:dyDescent="0.3">
      <c r="B6" s="3" t="s">
        <v>384</v>
      </c>
      <c r="C6" s="53" t="str">
        <f t="shared" ref="C6:C13" si="0">LOWER(B6)</f>
        <v>книга</v>
      </c>
      <c r="D6" s="9" t="str">
        <f t="shared" ref="D6:D13" si="1">PROPER(B6)</f>
        <v>Книга</v>
      </c>
      <c r="E6" s="27" t="str">
        <f t="shared" ref="E6:E13" si="2">UPPER(B6)</f>
        <v>КНИГА</v>
      </c>
    </row>
    <row r="7" spans="2:7" x14ac:dyDescent="0.3">
      <c r="B7" s="3" t="s">
        <v>385</v>
      </c>
      <c r="C7" s="53" t="str">
        <f t="shared" si="0"/>
        <v>а.с. пушкин</v>
      </c>
      <c r="D7" s="9" t="str">
        <f t="shared" si="1"/>
        <v>А.С. Пушкин</v>
      </c>
      <c r="E7" s="27" t="str">
        <f t="shared" si="2"/>
        <v>А.С. ПУШКИН</v>
      </c>
    </row>
    <row r="8" spans="2:7" x14ac:dyDescent="0.3">
      <c r="B8" s="3" t="s">
        <v>386</v>
      </c>
      <c r="C8" s="53" t="str">
        <f t="shared" si="0"/>
        <v>яблоки, груши</v>
      </c>
      <c r="D8" s="9" t="str">
        <f t="shared" si="1"/>
        <v>Яблоки, Груши</v>
      </c>
      <c r="E8" s="27" t="str">
        <f t="shared" si="2"/>
        <v>ЯБЛОКИ, ГРУШИ</v>
      </c>
    </row>
    <row r="9" spans="2:7" x14ac:dyDescent="0.3">
      <c r="B9" s="3" t="s">
        <v>387</v>
      </c>
      <c r="C9" s="53" t="str">
        <f t="shared" si="0"/>
        <v>ик-0002536</v>
      </c>
      <c r="D9" s="9" t="str">
        <f t="shared" si="1"/>
        <v>Ик-0002536</v>
      </c>
      <c r="E9" s="27" t="str">
        <f t="shared" si="2"/>
        <v>ИК-0002536</v>
      </c>
    </row>
    <row r="10" spans="2:7" x14ac:dyDescent="0.3">
      <c r="B10" s="3" t="s">
        <v>388</v>
      </c>
      <c r="C10" s="53" t="str">
        <f t="shared" si="0"/>
        <v>ик-0002536-чб</v>
      </c>
      <c r="D10" s="9" t="str">
        <f t="shared" si="1"/>
        <v>Ик-0002536-Чб</v>
      </c>
      <c r="E10" s="27" t="str">
        <f t="shared" si="2"/>
        <v>ИК-0002536-ЧБ</v>
      </c>
      <c r="F10" s="2"/>
    </row>
    <row r="11" spans="2:7" x14ac:dyDescent="0.3">
      <c r="B11" s="3">
        <v>12345</v>
      </c>
      <c r="C11" s="53" t="str">
        <f t="shared" si="0"/>
        <v>12345</v>
      </c>
      <c r="D11" s="9" t="str">
        <f t="shared" si="1"/>
        <v>12345</v>
      </c>
      <c r="E11" s="27" t="str">
        <f t="shared" si="2"/>
        <v>12345</v>
      </c>
      <c r="F11" s="2" t="s">
        <v>389</v>
      </c>
    </row>
    <row r="12" spans="2:7" x14ac:dyDescent="0.3">
      <c r="B12" s="57">
        <v>10000</v>
      </c>
      <c r="C12" s="53" t="str">
        <f t="shared" si="0"/>
        <v>10000</v>
      </c>
      <c r="D12" s="9" t="str">
        <f t="shared" si="1"/>
        <v>10000</v>
      </c>
      <c r="E12" s="27" t="str">
        <f t="shared" si="2"/>
        <v>10000</v>
      </c>
      <c r="F12" s="2" t="s">
        <v>390</v>
      </c>
      <c r="G12" s="2"/>
    </row>
    <row r="13" spans="2:7" x14ac:dyDescent="0.3">
      <c r="B13" s="40">
        <v>47112</v>
      </c>
      <c r="C13" s="53" t="str">
        <f t="shared" si="0"/>
        <v>47112</v>
      </c>
      <c r="D13" s="9" t="str">
        <f t="shared" si="1"/>
        <v>47112</v>
      </c>
      <c r="E13" s="27" t="str">
        <f t="shared" si="2"/>
        <v>47112</v>
      </c>
      <c r="F13" s="2" t="s">
        <v>390</v>
      </c>
      <c r="G13" s="2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G9" sqref="G9"/>
    </sheetView>
  </sheetViews>
  <sheetFormatPr defaultRowHeight="14.4" x14ac:dyDescent="0.3"/>
  <cols>
    <col min="2" max="2" width="11.21875" bestFit="1" customWidth="1"/>
    <col min="3" max="4" width="13.33203125" customWidth="1"/>
    <col min="5" max="5" width="4" customWidth="1"/>
    <col min="6" max="6" width="12" customWidth="1"/>
  </cols>
  <sheetData>
    <row r="1" spans="1:10" x14ac:dyDescent="0.3">
      <c r="J1" s="5"/>
    </row>
    <row r="2" spans="1:10" ht="21" x14ac:dyDescent="0.4">
      <c r="B2" s="1" t="s">
        <v>208</v>
      </c>
      <c r="C2" s="1"/>
      <c r="D2" s="7" t="s">
        <v>209</v>
      </c>
    </row>
    <row r="4" spans="1:10" ht="31.2" x14ac:dyDescent="0.3">
      <c r="B4" s="87" t="s">
        <v>210</v>
      </c>
      <c r="C4" s="93" t="s">
        <v>211</v>
      </c>
      <c r="D4" s="93" t="s">
        <v>212</v>
      </c>
      <c r="G4" s="45" t="s">
        <v>213</v>
      </c>
    </row>
    <row r="5" spans="1:10" x14ac:dyDescent="0.3">
      <c r="B5" s="3" t="s">
        <v>132</v>
      </c>
      <c r="C5" s="59" t="str">
        <f>IF(COUNT(B5)&gt;0,"да","")</f>
        <v/>
      </c>
      <c r="D5" s="3" t="str">
        <f>IF(COUNTA(B5)&gt;0,"да","")</f>
        <v>да</v>
      </c>
      <c r="E5" s="2" t="s">
        <v>214</v>
      </c>
      <c r="G5" s="27">
        <f>COUNT(B5:B15)</f>
        <v>6</v>
      </c>
    </row>
    <row r="6" spans="1:10" x14ac:dyDescent="0.3">
      <c r="B6" s="3">
        <v>18</v>
      </c>
      <c r="C6" s="59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215</v>
      </c>
    </row>
    <row r="7" spans="1:10" ht="15.6" x14ac:dyDescent="0.3">
      <c r="A7" s="51"/>
      <c r="B7" s="52">
        <v>0.73</v>
      </c>
      <c r="C7" s="59" t="str">
        <f t="shared" si="0"/>
        <v>да</v>
      </c>
      <c r="D7" s="3" t="str">
        <f t="shared" si="1"/>
        <v>да</v>
      </c>
      <c r="E7" s="2" t="s">
        <v>216</v>
      </c>
      <c r="G7" s="45" t="s">
        <v>209</v>
      </c>
    </row>
    <row r="8" spans="1:10" ht="15.6" x14ac:dyDescent="0.3">
      <c r="A8" s="51"/>
      <c r="B8" s="3">
        <v>4.4000000000000004</v>
      </c>
      <c r="C8" s="59" t="str">
        <f t="shared" si="0"/>
        <v>да</v>
      </c>
      <c r="D8" s="3" t="str">
        <f t="shared" si="1"/>
        <v>да</v>
      </c>
      <c r="E8" s="2" t="s">
        <v>217</v>
      </c>
      <c r="G8" s="27">
        <f>COUNTA(B5:B15)</f>
        <v>10</v>
      </c>
    </row>
    <row r="9" spans="1:10" ht="15.6" x14ac:dyDescent="0.3">
      <c r="A9" s="51"/>
      <c r="B9" s="12">
        <v>-1</v>
      </c>
      <c r="C9" s="59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6" x14ac:dyDescent="0.3">
      <c r="A10" s="51"/>
      <c r="B10" s="3" t="s">
        <v>218</v>
      </c>
      <c r="C10" s="59" t="str">
        <f t="shared" si="0"/>
        <v/>
      </c>
      <c r="D10" s="3" t="str">
        <f t="shared" si="1"/>
        <v>да</v>
      </c>
      <c r="E10" s="2" t="s">
        <v>219</v>
      </c>
      <c r="G10" s="2"/>
    </row>
    <row r="11" spans="1:10" ht="15.6" x14ac:dyDescent="0.3">
      <c r="A11" s="51"/>
      <c r="B11" s="12"/>
      <c r="C11" s="59" t="str">
        <f t="shared" si="0"/>
        <v/>
      </c>
      <c r="D11" s="3" t="str">
        <f t="shared" si="1"/>
        <v/>
      </c>
      <c r="E11" s="2" t="s">
        <v>220</v>
      </c>
      <c r="I11" s="2"/>
    </row>
    <row r="12" spans="1:10" ht="15.6" x14ac:dyDescent="0.3">
      <c r="A12" s="51"/>
      <c r="B12" s="40">
        <v>46798</v>
      </c>
      <c r="C12" s="59" t="str">
        <f t="shared" si="0"/>
        <v>да</v>
      </c>
      <c r="D12" s="3" t="str">
        <f t="shared" si="1"/>
        <v>да</v>
      </c>
      <c r="E12" s="2" t="s">
        <v>221</v>
      </c>
      <c r="G12" s="2"/>
    </row>
    <row r="13" spans="1:10" ht="15.6" x14ac:dyDescent="0.3">
      <c r="A13" s="51"/>
      <c r="B13" s="60">
        <v>0.76388888888888884</v>
      </c>
      <c r="C13" s="59" t="str">
        <f t="shared" si="0"/>
        <v>да</v>
      </c>
      <c r="D13" s="3" t="str">
        <f t="shared" si="1"/>
        <v>да</v>
      </c>
      <c r="E13" s="2" t="s">
        <v>222</v>
      </c>
      <c r="G13" s="2"/>
    </row>
    <row r="14" spans="1:10" x14ac:dyDescent="0.3">
      <c r="B14" s="3" t="str">
        <f>"0024"</f>
        <v>0024</v>
      </c>
      <c r="C14" s="59" t="str">
        <f t="shared" si="0"/>
        <v/>
      </c>
      <c r="D14" s="3" t="str">
        <f t="shared" si="1"/>
        <v>да</v>
      </c>
      <c r="E14" s="2" t="s">
        <v>223</v>
      </c>
    </row>
    <row r="15" spans="1:10" x14ac:dyDescent="0.3">
      <c r="B15" s="3" t="e">
        <f>VLOOKUP(B14,B5:B6,1,0)</f>
        <v>#N/A</v>
      </c>
      <c r="C15" s="59" t="str">
        <f t="shared" si="0"/>
        <v/>
      </c>
      <c r="D15" s="3" t="str">
        <f t="shared" si="1"/>
        <v>да</v>
      </c>
      <c r="E15" s="2" t="s">
        <v>224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15"/>
  <sheetViews>
    <sheetView workbookViewId="0">
      <selection activeCell="D7" sqref="D7"/>
    </sheetView>
  </sheetViews>
  <sheetFormatPr defaultRowHeight="14.4" x14ac:dyDescent="0.3"/>
  <cols>
    <col min="2" max="2" width="14" customWidth="1"/>
    <col min="3" max="3" width="9.33203125" customWidth="1"/>
    <col min="4" max="4" width="17.44140625" customWidth="1"/>
  </cols>
  <sheetData>
    <row r="2" spans="1:5" ht="21" x14ac:dyDescent="0.4">
      <c r="B2" s="1" t="s">
        <v>268</v>
      </c>
      <c r="D2" s="44"/>
    </row>
    <row r="3" spans="1:5" x14ac:dyDescent="0.3">
      <c r="D3" s="2"/>
    </row>
    <row r="4" spans="1:5" ht="15.6" x14ac:dyDescent="0.3">
      <c r="B4" s="87" t="s">
        <v>210</v>
      </c>
      <c r="D4" s="103" t="s">
        <v>269</v>
      </c>
    </row>
    <row r="5" spans="1:5" x14ac:dyDescent="0.3">
      <c r="B5" s="3" t="s">
        <v>270</v>
      </c>
      <c r="D5" s="104"/>
      <c r="E5" s="2"/>
    </row>
    <row r="6" spans="1:5" x14ac:dyDescent="0.3">
      <c r="B6" s="3" t="s">
        <v>271</v>
      </c>
      <c r="D6" s="27">
        <f>COUNTBLANK(B5:B15)</f>
        <v>3</v>
      </c>
      <c r="E6" s="2"/>
    </row>
    <row r="7" spans="1:5" ht="15.6" x14ac:dyDescent="0.3">
      <c r="A7" s="51"/>
      <c r="B7" s="3">
        <v>100</v>
      </c>
      <c r="E7" s="2"/>
    </row>
    <row r="8" spans="1:5" ht="15.6" x14ac:dyDescent="0.3">
      <c r="A8" s="62">
        <v>1</v>
      </c>
      <c r="B8" s="52"/>
      <c r="C8" s="2" t="s">
        <v>220</v>
      </c>
    </row>
    <row r="9" spans="1:5" ht="15.6" x14ac:dyDescent="0.3">
      <c r="A9" s="62"/>
      <c r="B9" s="63">
        <v>0.3</v>
      </c>
      <c r="C9" s="2"/>
    </row>
    <row r="10" spans="1:5" ht="15.6" x14ac:dyDescent="0.3">
      <c r="A10" s="62">
        <v>2</v>
      </c>
      <c r="B10" s="40"/>
      <c r="C10" s="2" t="s">
        <v>220</v>
      </c>
    </row>
    <row r="11" spans="1:5" ht="15.6" x14ac:dyDescent="0.3">
      <c r="A11" s="62"/>
      <c r="B11" s="3">
        <v>0.5</v>
      </c>
      <c r="C11" s="2"/>
    </row>
    <row r="12" spans="1:5" ht="15.6" x14ac:dyDescent="0.3">
      <c r="A12" s="62"/>
      <c r="B12" s="40" t="s">
        <v>272</v>
      </c>
      <c r="C12" s="2" t="s">
        <v>273</v>
      </c>
      <c r="E12" s="2"/>
    </row>
    <row r="13" spans="1:5" ht="15.6" x14ac:dyDescent="0.3">
      <c r="A13" s="62">
        <v>3</v>
      </c>
      <c r="B13" s="43" t="str">
        <f>""</f>
        <v/>
      </c>
      <c r="C13" s="2" t="s">
        <v>274</v>
      </c>
      <c r="E13" s="2"/>
    </row>
    <row r="14" spans="1:5" x14ac:dyDescent="0.3">
      <c r="A14" s="64"/>
      <c r="B14" s="40">
        <v>47044</v>
      </c>
    </row>
    <row r="15" spans="1:5" x14ac:dyDescent="0.3">
      <c r="A15" s="64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4"/>
  <sheetViews>
    <sheetView workbookViewId="0">
      <selection activeCell="G19" sqref="G19"/>
    </sheetView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1" spans="2:10" x14ac:dyDescent="0.3">
      <c r="J1" s="5"/>
    </row>
    <row r="2" spans="2:10" ht="21" x14ac:dyDescent="0.4">
      <c r="B2" s="1" t="s">
        <v>391</v>
      </c>
      <c r="C2" s="8" t="s">
        <v>392</v>
      </c>
      <c r="D2" s="44" t="s">
        <v>393</v>
      </c>
    </row>
    <row r="3" spans="2:10" x14ac:dyDescent="0.3">
      <c r="C3" s="2"/>
      <c r="D3" s="2"/>
      <c r="E3" s="2"/>
    </row>
    <row r="4" spans="2:10" ht="15.6" x14ac:dyDescent="0.3">
      <c r="B4" s="87" t="s">
        <v>210</v>
      </c>
      <c r="C4" s="87" t="s">
        <v>391</v>
      </c>
      <c r="D4" s="87" t="s">
        <v>392</v>
      </c>
      <c r="E4" s="87" t="s">
        <v>393</v>
      </c>
    </row>
    <row r="5" spans="2:10" x14ac:dyDescent="0.3">
      <c r="B5" s="40" t="s">
        <v>270</v>
      </c>
      <c r="C5" s="27" t="b">
        <f>ISBLANK(B5)</f>
        <v>0</v>
      </c>
      <c r="D5" s="27" t="b">
        <f>ISTEXT(B5)</f>
        <v>1</v>
      </c>
      <c r="E5" s="27" t="b">
        <f>ISNUMBER(B5)</f>
        <v>0</v>
      </c>
      <c r="F5" s="2" t="s">
        <v>394</v>
      </c>
      <c r="H5" s="10"/>
    </row>
    <row r="6" spans="2:10" x14ac:dyDescent="0.3">
      <c r="B6" s="40"/>
      <c r="C6" s="27" t="b">
        <f t="shared" ref="C6:C14" si="0">ISBLANK(B6)</f>
        <v>1</v>
      </c>
      <c r="D6" s="27" t="b">
        <f t="shared" ref="D6:D14" si="1">ISTEXT(B6)</f>
        <v>0</v>
      </c>
      <c r="E6" s="27" t="b">
        <f t="shared" ref="E6:E14" si="2">ISNUMBER(B6)</f>
        <v>0</v>
      </c>
      <c r="F6" s="2" t="s">
        <v>395</v>
      </c>
      <c r="H6" s="10"/>
    </row>
    <row r="7" spans="2:10" x14ac:dyDescent="0.3">
      <c r="B7" s="40" t="s">
        <v>272</v>
      </c>
      <c r="C7" s="27" t="b">
        <f t="shared" si="0"/>
        <v>0</v>
      </c>
      <c r="D7" s="27" t="b">
        <f t="shared" si="1"/>
        <v>1</v>
      </c>
      <c r="E7" s="27" t="b">
        <f t="shared" si="2"/>
        <v>0</v>
      </c>
      <c r="F7" s="2" t="s">
        <v>396</v>
      </c>
      <c r="H7" s="10"/>
    </row>
    <row r="8" spans="2:10" x14ac:dyDescent="0.3">
      <c r="B8" s="85" t="str">
        <f>IF($C$5=FALSE,"",1)</f>
        <v/>
      </c>
      <c r="C8" s="27" t="b">
        <f t="shared" si="0"/>
        <v>0</v>
      </c>
      <c r="D8" s="27" t="b">
        <f t="shared" si="1"/>
        <v>1</v>
      </c>
      <c r="E8" s="27" t="b">
        <f t="shared" si="2"/>
        <v>0</v>
      </c>
      <c r="F8" s="2" t="s">
        <v>397</v>
      </c>
      <c r="H8" s="10"/>
    </row>
    <row r="9" spans="2:10" x14ac:dyDescent="0.3">
      <c r="B9" s="85">
        <v>100</v>
      </c>
      <c r="C9" s="27" t="b">
        <f t="shared" si="0"/>
        <v>0</v>
      </c>
      <c r="D9" s="27" t="b">
        <f t="shared" si="1"/>
        <v>0</v>
      </c>
      <c r="E9" s="27" t="b">
        <f t="shared" si="2"/>
        <v>1</v>
      </c>
      <c r="F9" s="2" t="s">
        <v>398</v>
      </c>
      <c r="H9" s="10"/>
    </row>
    <row r="10" spans="2:10" x14ac:dyDescent="0.3">
      <c r="B10" s="79" t="s">
        <v>399</v>
      </c>
      <c r="C10" s="27" t="b">
        <f t="shared" si="0"/>
        <v>0</v>
      </c>
      <c r="D10" s="27" t="b">
        <f t="shared" si="1"/>
        <v>1</v>
      </c>
      <c r="E10" s="27" t="b">
        <f t="shared" si="2"/>
        <v>0</v>
      </c>
      <c r="F10" s="2" t="s">
        <v>400</v>
      </c>
      <c r="H10" s="10"/>
    </row>
    <row r="11" spans="2:10" x14ac:dyDescent="0.3">
      <c r="B11" s="40">
        <v>45657</v>
      </c>
      <c r="C11" s="27" t="b">
        <f t="shared" si="0"/>
        <v>0</v>
      </c>
      <c r="D11" s="27" t="b">
        <f t="shared" si="1"/>
        <v>0</v>
      </c>
      <c r="E11" s="27" t="b">
        <f t="shared" si="2"/>
        <v>1</v>
      </c>
      <c r="F11" s="2" t="s">
        <v>401</v>
      </c>
      <c r="H11" s="10"/>
    </row>
    <row r="12" spans="2:10" x14ac:dyDescent="0.3">
      <c r="B12" s="60">
        <v>0.39604166666666668</v>
      </c>
      <c r="C12" s="27" t="b">
        <f t="shared" si="0"/>
        <v>0</v>
      </c>
      <c r="D12" s="27" t="b">
        <f t="shared" si="1"/>
        <v>0</v>
      </c>
      <c r="E12" s="27" t="b">
        <f t="shared" si="2"/>
        <v>1</v>
      </c>
      <c r="F12" s="2" t="s">
        <v>402</v>
      </c>
      <c r="H12" s="10"/>
    </row>
    <row r="13" spans="2:10" x14ac:dyDescent="0.3">
      <c r="B13" s="40" t="e">
        <f>VLOOKUP("утюг",$B$5:$B$8,1,0)</f>
        <v>#N/A</v>
      </c>
      <c r="C13" s="27" t="b">
        <f t="shared" si="0"/>
        <v>0</v>
      </c>
      <c r="D13" s="27" t="b">
        <f t="shared" si="1"/>
        <v>0</v>
      </c>
      <c r="E13" s="27" t="b">
        <f t="shared" si="2"/>
        <v>0</v>
      </c>
      <c r="F13" s="2" t="s">
        <v>403</v>
      </c>
      <c r="H13" s="10"/>
    </row>
    <row r="14" spans="2:10" x14ac:dyDescent="0.3">
      <c r="B14" s="40" t="e">
        <f>6/0</f>
        <v>#DIV/0!</v>
      </c>
      <c r="C14" s="27" t="b">
        <f t="shared" si="0"/>
        <v>0</v>
      </c>
      <c r="D14" s="27" t="b">
        <f t="shared" si="1"/>
        <v>0</v>
      </c>
      <c r="E14" s="27" t="b">
        <f t="shared" si="2"/>
        <v>0</v>
      </c>
      <c r="F14" s="2" t="s">
        <v>403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>
      <selection activeCell="F13" sqref="F13:F15"/>
    </sheetView>
  </sheetViews>
  <sheetFormatPr defaultRowHeight="14.4" x14ac:dyDescent="0.3"/>
  <cols>
    <col min="2" max="2" width="11.21875" bestFit="1" customWidth="1"/>
    <col min="3" max="3" width="11.21875" customWidth="1"/>
    <col min="4" max="5" width="6.44140625" customWidth="1"/>
    <col min="6" max="6" width="17.44140625" customWidth="1"/>
  </cols>
  <sheetData>
    <row r="1" spans="1:10" x14ac:dyDescent="0.3">
      <c r="J1" s="5"/>
    </row>
    <row r="2" spans="1:10" ht="21" x14ac:dyDescent="0.4">
      <c r="B2" s="1" t="s">
        <v>263</v>
      </c>
      <c r="C2" s="1"/>
      <c r="F2" s="7" t="s">
        <v>264</v>
      </c>
    </row>
    <row r="3" spans="1:10" x14ac:dyDescent="0.3">
      <c r="F3" s="2"/>
    </row>
    <row r="4" spans="1:10" ht="15.6" x14ac:dyDescent="0.3">
      <c r="B4" s="87" t="s">
        <v>146</v>
      </c>
      <c r="C4" s="87" t="s">
        <v>147</v>
      </c>
      <c r="E4" s="103" t="s">
        <v>265</v>
      </c>
      <c r="F4" s="103" t="s">
        <v>266</v>
      </c>
    </row>
    <row r="5" spans="1:10" x14ac:dyDescent="0.3">
      <c r="B5" s="3" t="s">
        <v>149</v>
      </c>
      <c r="C5" s="3">
        <v>58</v>
      </c>
      <c r="E5" s="104"/>
      <c r="F5" s="104"/>
      <c r="G5" s="2"/>
    </row>
    <row r="6" spans="1:10" x14ac:dyDescent="0.3">
      <c r="B6" s="3" t="s">
        <v>150</v>
      </c>
      <c r="C6" s="3">
        <v>30</v>
      </c>
      <c r="E6" s="3">
        <v>1</v>
      </c>
      <c r="F6" s="27">
        <f>LARGE($C$5:$C$15,E6)</f>
        <v>96</v>
      </c>
      <c r="G6" s="2"/>
    </row>
    <row r="7" spans="1:10" ht="15.6" x14ac:dyDescent="0.3">
      <c r="A7" s="51"/>
      <c r="B7" s="3" t="s">
        <v>151</v>
      </c>
      <c r="C7" s="3">
        <v>37</v>
      </c>
      <c r="E7" s="3">
        <v>2</v>
      </c>
      <c r="F7" s="27">
        <f t="shared" ref="F7:F8" si="0">LARGE($C$5:$C$15,E7)</f>
        <v>89</v>
      </c>
      <c r="G7" s="2"/>
    </row>
    <row r="8" spans="1:10" ht="15.6" x14ac:dyDescent="0.3">
      <c r="A8" s="51"/>
      <c r="B8" s="52" t="s">
        <v>152</v>
      </c>
      <c r="C8" s="3">
        <v>96</v>
      </c>
      <c r="E8" s="3">
        <v>3</v>
      </c>
      <c r="F8" s="27">
        <f t="shared" si="0"/>
        <v>84</v>
      </c>
      <c r="G8" s="2"/>
    </row>
    <row r="9" spans="1:10" ht="15.6" x14ac:dyDescent="0.3">
      <c r="A9" s="51"/>
      <c r="B9" s="40" t="s">
        <v>154</v>
      </c>
      <c r="C9" s="3">
        <v>84</v>
      </c>
      <c r="G9" s="2"/>
    </row>
    <row r="10" spans="1:10" ht="15.6" x14ac:dyDescent="0.3">
      <c r="A10" s="51"/>
      <c r="B10" s="40" t="s">
        <v>155</v>
      </c>
      <c r="C10" s="3">
        <v>89</v>
      </c>
      <c r="G10" s="2"/>
    </row>
    <row r="11" spans="1:10" ht="15.6" x14ac:dyDescent="0.3">
      <c r="A11" s="51"/>
      <c r="B11" s="40" t="s">
        <v>156</v>
      </c>
      <c r="C11" s="3">
        <v>70</v>
      </c>
      <c r="D11" s="2"/>
      <c r="E11" s="103" t="s">
        <v>265</v>
      </c>
      <c r="F11" s="103" t="s">
        <v>267</v>
      </c>
    </row>
    <row r="12" spans="1:10" ht="15.6" x14ac:dyDescent="0.3">
      <c r="A12" s="51"/>
      <c r="B12" s="40" t="s">
        <v>157</v>
      </c>
      <c r="C12" s="3">
        <v>24</v>
      </c>
      <c r="D12" s="2"/>
      <c r="E12" s="104"/>
      <c r="F12" s="104"/>
      <c r="G12" s="2"/>
    </row>
    <row r="13" spans="1:10" ht="15.6" x14ac:dyDescent="0.3">
      <c r="A13" s="51"/>
      <c r="B13" s="43" t="s">
        <v>158</v>
      </c>
      <c r="C13" s="3">
        <v>62</v>
      </c>
      <c r="D13" s="2"/>
      <c r="E13" s="3">
        <v>1</v>
      </c>
      <c r="F13" s="27">
        <f>SMALL($C$5:$C$15,E13)</f>
        <v>24</v>
      </c>
      <c r="G13" s="2"/>
    </row>
    <row r="14" spans="1:10" x14ac:dyDescent="0.3">
      <c r="B14" s="3" t="s">
        <v>159</v>
      </c>
      <c r="C14" s="3">
        <v>78</v>
      </c>
      <c r="D14" s="2"/>
      <c r="E14" s="3">
        <v>2</v>
      </c>
      <c r="F14" s="27">
        <f t="shared" ref="F14:F15" si="1">SMALL($C$5:$C$15,E14)</f>
        <v>30</v>
      </c>
    </row>
    <row r="15" spans="1:10" x14ac:dyDescent="0.3">
      <c r="B15" s="3" t="s">
        <v>160</v>
      </c>
      <c r="C15" s="3">
        <v>72</v>
      </c>
      <c r="E15" s="3">
        <v>3</v>
      </c>
      <c r="F15" s="27">
        <f t="shared" si="1"/>
        <v>37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5"/>
  <sheetViews>
    <sheetView workbookViewId="0">
      <selection activeCell="H6" sqref="H6"/>
    </sheetView>
  </sheetViews>
  <sheetFormatPr defaultRowHeight="14.4" x14ac:dyDescent="0.3"/>
  <cols>
    <col min="2" max="2" width="14.5546875" bestFit="1" customWidth="1"/>
    <col min="3" max="3" width="19.5546875" bestFit="1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2:10" x14ac:dyDescent="0.3">
      <c r="J1" s="5"/>
    </row>
    <row r="2" spans="2:10" ht="21" customHeight="1" x14ac:dyDescent="0.4">
      <c r="B2" s="1" t="s">
        <v>275</v>
      </c>
    </row>
    <row r="3" spans="2:10" x14ac:dyDescent="0.3">
      <c r="B3" s="65">
        <v>1</v>
      </c>
      <c r="C3" s="65">
        <v>2</v>
      </c>
      <c r="D3" s="65">
        <v>3</v>
      </c>
      <c r="E3" s="65">
        <v>4</v>
      </c>
    </row>
    <row r="4" spans="2:10" ht="15.6" x14ac:dyDescent="0.3">
      <c r="B4" s="87" t="s">
        <v>276</v>
      </c>
      <c r="C4" s="87" t="s">
        <v>277</v>
      </c>
      <c r="D4" s="87" t="s">
        <v>278</v>
      </c>
      <c r="E4" s="94" t="s">
        <v>279</v>
      </c>
      <c r="G4" s="45" t="s">
        <v>276</v>
      </c>
      <c r="H4" s="66" t="s">
        <v>279</v>
      </c>
    </row>
    <row r="5" spans="2:10" x14ac:dyDescent="0.3">
      <c r="B5" s="29">
        <v>2683</v>
      </c>
      <c r="C5" s="41" t="s">
        <v>280</v>
      </c>
      <c r="D5" s="67">
        <v>72</v>
      </c>
      <c r="E5" s="68">
        <v>6500</v>
      </c>
      <c r="F5" s="2"/>
      <c r="G5" s="3">
        <v>2378</v>
      </c>
      <c r="H5" s="69">
        <f>VLOOKUP(G5,B5:E15,4, 0)</f>
        <v>3000</v>
      </c>
    </row>
    <row r="6" spans="2:10" x14ac:dyDescent="0.3">
      <c r="B6" s="29">
        <v>6483</v>
      </c>
      <c r="C6" s="41" t="s">
        <v>281</v>
      </c>
      <c r="D6" s="67">
        <v>97</v>
      </c>
      <c r="E6" s="68">
        <v>15000</v>
      </c>
      <c r="F6" s="2"/>
      <c r="G6" s="10"/>
    </row>
    <row r="7" spans="2:10" x14ac:dyDescent="0.3">
      <c r="B7" s="29">
        <v>6110</v>
      </c>
      <c r="C7" s="41" t="s">
        <v>282</v>
      </c>
      <c r="D7" s="67">
        <v>61</v>
      </c>
      <c r="E7" s="68">
        <v>500</v>
      </c>
      <c r="F7" s="2"/>
      <c r="G7" s="10"/>
    </row>
    <row r="8" spans="2:10" x14ac:dyDescent="0.3">
      <c r="B8" s="29">
        <v>5711</v>
      </c>
      <c r="C8" s="41" t="s">
        <v>283</v>
      </c>
      <c r="D8" s="67">
        <v>101</v>
      </c>
      <c r="E8" s="68">
        <v>1500</v>
      </c>
      <c r="F8" s="2"/>
      <c r="G8" s="10"/>
    </row>
    <row r="9" spans="2:10" x14ac:dyDescent="0.3">
      <c r="B9" s="29">
        <v>3506</v>
      </c>
      <c r="C9" s="41" t="s">
        <v>284</v>
      </c>
      <c r="D9" s="67">
        <v>70</v>
      </c>
      <c r="E9" s="68">
        <v>8900</v>
      </c>
      <c r="F9" s="2"/>
      <c r="G9" s="10"/>
    </row>
    <row r="10" spans="2:10" x14ac:dyDescent="0.3">
      <c r="B10" s="29">
        <v>9139</v>
      </c>
      <c r="C10" s="41" t="s">
        <v>285</v>
      </c>
      <c r="D10" s="67">
        <v>90</v>
      </c>
      <c r="E10" s="68">
        <v>150</v>
      </c>
      <c r="F10" s="2"/>
      <c r="G10" s="10"/>
    </row>
    <row r="11" spans="2:10" x14ac:dyDescent="0.3">
      <c r="B11" s="29">
        <v>1546</v>
      </c>
      <c r="C11" s="41" t="s">
        <v>286</v>
      </c>
      <c r="D11" s="67">
        <v>73</v>
      </c>
      <c r="E11" s="68">
        <v>30000</v>
      </c>
      <c r="F11" s="2"/>
      <c r="G11" s="10"/>
    </row>
    <row r="12" spans="2:10" x14ac:dyDescent="0.3">
      <c r="B12" s="29">
        <v>5897</v>
      </c>
      <c r="C12" s="41" t="s">
        <v>287</v>
      </c>
      <c r="D12" s="67">
        <v>95</v>
      </c>
      <c r="E12" s="68">
        <v>8000</v>
      </c>
      <c r="F12" s="2"/>
      <c r="G12" s="10"/>
    </row>
    <row r="13" spans="2:10" x14ac:dyDescent="0.3">
      <c r="B13" s="29">
        <v>2378</v>
      </c>
      <c r="C13" s="41" t="s">
        <v>288</v>
      </c>
      <c r="D13" s="67">
        <v>93</v>
      </c>
      <c r="E13" s="68">
        <v>3000</v>
      </c>
      <c r="F13" s="2"/>
      <c r="G13" s="10"/>
    </row>
    <row r="14" spans="2:10" x14ac:dyDescent="0.3">
      <c r="B14" s="29">
        <v>1345</v>
      </c>
      <c r="C14" s="41" t="s">
        <v>289</v>
      </c>
      <c r="D14" s="67">
        <v>71</v>
      </c>
      <c r="E14" s="68">
        <v>2900</v>
      </c>
      <c r="F14" s="2"/>
    </row>
    <row r="15" spans="2:10" x14ac:dyDescent="0.3">
      <c r="B15" s="29">
        <v>9215</v>
      </c>
      <c r="C15" s="41" t="s">
        <v>290</v>
      </c>
      <c r="D15" s="67">
        <v>57</v>
      </c>
      <c r="E15" s="68">
        <v>12000</v>
      </c>
      <c r="F15" s="2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workbookViewId="0">
      <selection activeCell="D6" sqref="D6"/>
    </sheetView>
  </sheetViews>
  <sheetFormatPr defaultRowHeight="14.4" x14ac:dyDescent="0.3"/>
  <cols>
    <col min="2" max="2" width="14.44140625" customWidth="1"/>
    <col min="3" max="3" width="15.5546875" customWidth="1"/>
    <col min="4" max="4" width="17.6640625" customWidth="1"/>
    <col min="5" max="5" width="16.21875" customWidth="1"/>
    <col min="6" max="6" width="26.5546875" bestFit="1" customWidth="1"/>
    <col min="7" max="7" width="10.44140625" bestFit="1" customWidth="1"/>
  </cols>
  <sheetData>
    <row r="1" spans="2:10" x14ac:dyDescent="0.3">
      <c r="F1" s="70"/>
      <c r="J1" s="5"/>
    </row>
    <row r="2" spans="2:10" ht="21" x14ac:dyDescent="0.4">
      <c r="B2" s="1" t="s">
        <v>291</v>
      </c>
    </row>
    <row r="3" spans="2:10" x14ac:dyDescent="0.3">
      <c r="C3" s="2"/>
      <c r="D3" s="2"/>
    </row>
    <row r="4" spans="2:10" ht="15.6" x14ac:dyDescent="0.3">
      <c r="B4" s="87" t="s">
        <v>292</v>
      </c>
      <c r="C4" s="87" t="s">
        <v>293</v>
      </c>
      <c r="D4" s="92" t="s">
        <v>294</v>
      </c>
    </row>
    <row r="5" spans="2:10" x14ac:dyDescent="0.3">
      <c r="B5" s="28">
        <v>7600</v>
      </c>
      <c r="C5" s="3">
        <v>4</v>
      </c>
      <c r="D5" s="53">
        <f>IFERROR(B5/C5,0)</f>
        <v>1900</v>
      </c>
      <c r="E5" s="2"/>
    </row>
    <row r="6" spans="2:10" x14ac:dyDescent="0.3">
      <c r="B6" s="28">
        <v>10300</v>
      </c>
      <c r="C6" s="3">
        <v>0</v>
      </c>
      <c r="D6" s="53">
        <f t="shared" ref="D6:D15" si="0">IFERROR(B6/C6,0)</f>
        <v>0</v>
      </c>
      <c r="E6" s="2" t="s">
        <v>295</v>
      </c>
    </row>
    <row r="7" spans="2:10" x14ac:dyDescent="0.3">
      <c r="B7" s="28">
        <v>9800</v>
      </c>
      <c r="C7" s="3">
        <v>5</v>
      </c>
      <c r="D7" s="53">
        <f t="shared" si="0"/>
        <v>1960</v>
      </c>
      <c r="E7" s="2"/>
    </row>
    <row r="8" spans="2:10" x14ac:dyDescent="0.3">
      <c r="B8" s="28">
        <v>7300</v>
      </c>
      <c r="C8" s="3">
        <v>10</v>
      </c>
      <c r="D8" s="53">
        <f t="shared" si="0"/>
        <v>730</v>
      </c>
      <c r="E8" s="2"/>
    </row>
    <row r="9" spans="2:10" x14ac:dyDescent="0.3">
      <c r="B9" s="28">
        <v>14300</v>
      </c>
      <c r="C9" s="3">
        <v>6</v>
      </c>
      <c r="D9" s="53">
        <f t="shared" si="0"/>
        <v>2383.3333333333335</v>
      </c>
      <c r="E9" s="2"/>
    </row>
    <row r="10" spans="2:10" x14ac:dyDescent="0.3">
      <c r="B10" s="28">
        <v>9700</v>
      </c>
      <c r="C10" s="3">
        <v>7</v>
      </c>
      <c r="D10" s="53">
        <f t="shared" si="0"/>
        <v>1385.7142857142858</v>
      </c>
      <c r="E10" s="2"/>
    </row>
    <row r="11" spans="2:10" x14ac:dyDescent="0.3">
      <c r="B11" s="28">
        <v>7700</v>
      </c>
      <c r="C11" s="3">
        <v>14</v>
      </c>
      <c r="D11" s="53">
        <f t="shared" si="0"/>
        <v>550</v>
      </c>
      <c r="E11" s="2"/>
    </row>
    <row r="12" spans="2:10" x14ac:dyDescent="0.3">
      <c r="B12" s="28">
        <v>5500</v>
      </c>
      <c r="C12" s="3">
        <v>15</v>
      </c>
      <c r="D12" s="53">
        <f t="shared" si="0"/>
        <v>366.66666666666669</v>
      </c>
      <c r="E12" s="2"/>
    </row>
    <row r="13" spans="2:10" x14ac:dyDescent="0.3">
      <c r="B13" s="28">
        <v>7700</v>
      </c>
      <c r="C13" s="3">
        <v>9</v>
      </c>
      <c r="D13" s="53">
        <f t="shared" si="0"/>
        <v>855.55555555555554</v>
      </c>
      <c r="E13" s="2"/>
    </row>
    <row r="14" spans="2:10" x14ac:dyDescent="0.3">
      <c r="B14" s="28">
        <v>6100</v>
      </c>
      <c r="C14" s="3">
        <v>0</v>
      </c>
      <c r="D14" s="53">
        <f t="shared" si="0"/>
        <v>0</v>
      </c>
      <c r="E14" s="2" t="s">
        <v>295</v>
      </c>
    </row>
    <row r="15" spans="2:10" x14ac:dyDescent="0.3">
      <c r="B15" s="28">
        <v>12500</v>
      </c>
      <c r="C15" s="3">
        <v>7</v>
      </c>
      <c r="D15" s="53">
        <f t="shared" si="0"/>
        <v>1785.7142857142858</v>
      </c>
      <c r="E15" s="2"/>
    </row>
    <row r="16" spans="2:10" x14ac:dyDescent="0.3">
      <c r="D16" s="71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6" sqref="F6"/>
    </sheetView>
  </sheetViews>
  <sheetFormatPr defaultRowHeight="14.4" x14ac:dyDescent="0.3"/>
  <cols>
    <col min="2" max="2" width="19.5546875" bestFit="1" customWidth="1"/>
    <col min="3" max="4" width="12.88671875" customWidth="1"/>
    <col min="5" max="5" width="19.5546875" bestFit="1" customWidth="1"/>
    <col min="6" max="6" width="18" customWidth="1"/>
  </cols>
  <sheetData>
    <row r="1" spans="2:10" x14ac:dyDescent="0.3">
      <c r="J1" s="5"/>
    </row>
    <row r="2" spans="2:10" ht="21" x14ac:dyDescent="0.4">
      <c r="B2" s="1" t="s">
        <v>296</v>
      </c>
      <c r="C2" s="1"/>
    </row>
    <row r="4" spans="2:10" ht="15.6" x14ac:dyDescent="0.3">
      <c r="B4" s="87" t="s">
        <v>277</v>
      </c>
      <c r="E4" s="45" t="s">
        <v>277</v>
      </c>
      <c r="F4" s="66" t="s">
        <v>5</v>
      </c>
    </row>
    <row r="5" spans="2:10" x14ac:dyDescent="0.3">
      <c r="B5" s="41" t="s">
        <v>280</v>
      </c>
      <c r="C5" s="72">
        <v>1</v>
      </c>
      <c r="D5" s="2"/>
      <c r="E5" s="3" t="s">
        <v>284</v>
      </c>
      <c r="F5" s="69">
        <f>MATCH(E5,B5:B15,0)</f>
        <v>5</v>
      </c>
    </row>
    <row r="6" spans="2:10" x14ac:dyDescent="0.3">
      <c r="B6" s="41" t="s">
        <v>281</v>
      </c>
      <c r="C6" s="72">
        <v>2</v>
      </c>
      <c r="D6" s="2"/>
      <c r="E6" s="10"/>
    </row>
    <row r="7" spans="2:10" x14ac:dyDescent="0.3">
      <c r="B7" s="41" t="s">
        <v>282</v>
      </c>
      <c r="C7" s="72">
        <v>3</v>
      </c>
      <c r="D7" s="2"/>
      <c r="E7" s="10"/>
    </row>
    <row r="8" spans="2:10" x14ac:dyDescent="0.3">
      <c r="B8" s="41" t="s">
        <v>283</v>
      </c>
      <c r="C8" s="72">
        <v>4</v>
      </c>
      <c r="D8" s="2"/>
      <c r="E8" s="10"/>
    </row>
    <row r="9" spans="2:10" x14ac:dyDescent="0.3">
      <c r="B9" s="41" t="s">
        <v>284</v>
      </c>
      <c r="C9" s="72">
        <v>5</v>
      </c>
      <c r="D9" s="2"/>
      <c r="E9" s="10"/>
    </row>
    <row r="10" spans="2:10" x14ac:dyDescent="0.3">
      <c r="B10" s="41" t="s">
        <v>285</v>
      </c>
      <c r="C10" s="72">
        <v>6</v>
      </c>
      <c r="D10" s="2"/>
      <c r="E10" s="10"/>
    </row>
    <row r="11" spans="2:10" x14ac:dyDescent="0.3">
      <c r="B11" s="41" t="s">
        <v>286</v>
      </c>
      <c r="C11" s="72">
        <v>7</v>
      </c>
      <c r="D11" s="2"/>
      <c r="E11" s="10"/>
    </row>
    <row r="12" spans="2:10" x14ac:dyDescent="0.3">
      <c r="B12" s="41" t="s">
        <v>287</v>
      </c>
      <c r="C12" s="72">
        <v>8</v>
      </c>
      <c r="D12" s="2"/>
      <c r="E12" s="10"/>
    </row>
    <row r="13" spans="2:10" x14ac:dyDescent="0.3">
      <c r="B13" s="41" t="s">
        <v>288</v>
      </c>
      <c r="C13" s="72">
        <v>9</v>
      </c>
      <c r="D13" s="2"/>
      <c r="E13" s="10"/>
    </row>
    <row r="14" spans="2:10" x14ac:dyDescent="0.3">
      <c r="B14" s="41" t="s">
        <v>289</v>
      </c>
      <c r="C14" s="72">
        <v>10</v>
      </c>
      <c r="D14" s="2"/>
    </row>
    <row r="15" spans="2:10" x14ac:dyDescent="0.3">
      <c r="B15" s="41" t="s">
        <v>290</v>
      </c>
      <c r="C15" s="72">
        <v>11</v>
      </c>
      <c r="D15" s="2"/>
      <c r="F15" s="73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>
      <selection activeCell="G7" sqref="G7"/>
    </sheetView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J1" s="5"/>
    </row>
    <row r="2" spans="1:10" ht="21" x14ac:dyDescent="0.4">
      <c r="B2" s="1" t="s">
        <v>297</v>
      </c>
    </row>
    <row r="3" spans="1:10" x14ac:dyDescent="0.3">
      <c r="B3" s="65">
        <v>1</v>
      </c>
      <c r="C3" s="65">
        <v>2</v>
      </c>
      <c r="D3" s="65">
        <v>3</v>
      </c>
      <c r="E3" s="65">
        <v>4</v>
      </c>
    </row>
    <row r="4" spans="1:10" ht="15.6" x14ac:dyDescent="0.3">
      <c r="B4" s="87" t="s">
        <v>298</v>
      </c>
      <c r="C4" s="87" t="s">
        <v>299</v>
      </c>
      <c r="D4" s="87" t="s">
        <v>114</v>
      </c>
      <c r="E4" s="87" t="s">
        <v>300</v>
      </c>
    </row>
    <row r="5" spans="1:10" ht="15.6" x14ac:dyDescent="0.3">
      <c r="A5" s="62">
        <v>1</v>
      </c>
      <c r="B5" s="74" t="s">
        <v>301</v>
      </c>
      <c r="C5" s="75">
        <v>829.8</v>
      </c>
      <c r="D5" s="67" t="s">
        <v>302</v>
      </c>
      <c r="E5" s="55">
        <f>RANK(C5,$C$5:$C$15)</f>
        <v>1</v>
      </c>
      <c r="F5" s="2"/>
    </row>
    <row r="6" spans="1:10" ht="15.6" x14ac:dyDescent="0.3">
      <c r="A6" s="62">
        <v>2</v>
      </c>
      <c r="B6" s="67" t="s">
        <v>303</v>
      </c>
      <c r="C6" s="75">
        <v>678.9</v>
      </c>
      <c r="D6" s="67" t="s">
        <v>304</v>
      </c>
      <c r="E6" s="55">
        <f t="shared" ref="E6:E15" si="0">RANK(C6,$C$5:$C$15)</f>
        <v>2</v>
      </c>
      <c r="F6" s="2"/>
      <c r="G6" s="76">
        <f>INDEX(B5:E15,4,2)</f>
        <v>632</v>
      </c>
    </row>
    <row r="7" spans="1:10" ht="15.6" x14ac:dyDescent="0.3">
      <c r="A7" s="62">
        <v>3</v>
      </c>
      <c r="B7" s="3" t="s">
        <v>305</v>
      </c>
      <c r="C7" s="75">
        <v>634</v>
      </c>
      <c r="D7" s="67" t="s">
        <v>306</v>
      </c>
      <c r="E7" s="55">
        <f t="shared" si="0"/>
        <v>3</v>
      </c>
      <c r="F7" s="2"/>
    </row>
    <row r="8" spans="1:10" ht="15.6" x14ac:dyDescent="0.3">
      <c r="A8" s="62">
        <v>4</v>
      </c>
      <c r="B8" s="3" t="s">
        <v>307</v>
      </c>
      <c r="C8" s="75">
        <v>632</v>
      </c>
      <c r="D8" s="67" t="s">
        <v>308</v>
      </c>
      <c r="E8" s="55">
        <f t="shared" si="0"/>
        <v>4</v>
      </c>
      <c r="F8" s="2"/>
      <c r="G8" s="10"/>
    </row>
    <row r="9" spans="1:10" ht="15.6" x14ac:dyDescent="0.3">
      <c r="A9" s="62">
        <v>5</v>
      </c>
      <c r="B9" s="3" t="s">
        <v>309</v>
      </c>
      <c r="C9" s="75">
        <v>627.79999999999995</v>
      </c>
      <c r="D9" s="67" t="s">
        <v>310</v>
      </c>
      <c r="E9" s="55">
        <f t="shared" si="0"/>
        <v>5</v>
      </c>
      <c r="F9" s="2"/>
      <c r="G9" s="10"/>
    </row>
    <row r="10" spans="1:10" ht="15.6" x14ac:dyDescent="0.3">
      <c r="A10" s="62">
        <v>6</v>
      </c>
      <c r="B10" s="3" t="s">
        <v>311</v>
      </c>
      <c r="C10" s="75">
        <v>604</v>
      </c>
      <c r="D10" s="67" t="s">
        <v>312</v>
      </c>
      <c r="E10" s="55">
        <f t="shared" si="0"/>
        <v>6</v>
      </c>
      <c r="F10" s="2"/>
      <c r="G10" s="10"/>
    </row>
    <row r="11" spans="1:10" ht="15.6" x14ac:dyDescent="0.3">
      <c r="A11" s="62">
        <v>7</v>
      </c>
      <c r="B11" s="3" t="s">
        <v>313</v>
      </c>
      <c r="C11" s="75">
        <v>601</v>
      </c>
      <c r="D11" s="67" t="s">
        <v>314</v>
      </c>
      <c r="E11" s="55">
        <f t="shared" si="0"/>
        <v>7</v>
      </c>
      <c r="F11" s="2"/>
      <c r="G11" s="10"/>
    </row>
    <row r="12" spans="1:10" ht="15.6" x14ac:dyDescent="0.3">
      <c r="A12" s="62">
        <v>8</v>
      </c>
      <c r="B12" s="3" t="s">
        <v>315</v>
      </c>
      <c r="C12" s="75">
        <v>596.6</v>
      </c>
      <c r="D12" s="67" t="s">
        <v>316</v>
      </c>
      <c r="E12" s="55">
        <f t="shared" si="0"/>
        <v>8</v>
      </c>
      <c r="F12" s="2"/>
    </row>
    <row r="13" spans="1:10" ht="15.6" x14ac:dyDescent="0.3">
      <c r="A13" s="62">
        <v>9</v>
      </c>
      <c r="B13" s="3" t="s">
        <v>317</v>
      </c>
      <c r="C13" s="75">
        <v>555.70000000000005</v>
      </c>
      <c r="D13" s="67" t="s">
        <v>318</v>
      </c>
      <c r="E13" s="55">
        <f t="shared" si="0"/>
        <v>9</v>
      </c>
      <c r="F13" s="2"/>
    </row>
    <row r="14" spans="1:10" ht="15.6" x14ac:dyDescent="0.3">
      <c r="A14" s="62">
        <v>10</v>
      </c>
      <c r="B14" s="3" t="s">
        <v>319</v>
      </c>
      <c r="C14" s="75">
        <v>553.29999999999995</v>
      </c>
      <c r="D14" s="67" t="s">
        <v>320</v>
      </c>
      <c r="E14" s="55">
        <f t="shared" si="0"/>
        <v>10</v>
      </c>
    </row>
    <row r="15" spans="1:10" ht="15.6" x14ac:dyDescent="0.3">
      <c r="A15" s="62">
        <v>11</v>
      </c>
      <c r="B15" s="3" t="s">
        <v>321</v>
      </c>
      <c r="C15" s="75">
        <v>540</v>
      </c>
      <c r="D15" s="67" t="s">
        <v>117</v>
      </c>
      <c r="E15" s="55">
        <f t="shared" si="0"/>
        <v>11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tabSelected="1" workbookViewId="0">
      <selection activeCell="G25" sqref="G24:G25"/>
    </sheetView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J1" s="5"/>
    </row>
    <row r="2" spans="1:10" ht="21" x14ac:dyDescent="0.4">
      <c r="B2" s="1" t="s">
        <v>322</v>
      </c>
    </row>
    <row r="4" spans="1:10" ht="15.6" x14ac:dyDescent="0.3">
      <c r="B4" s="87" t="s">
        <v>298</v>
      </c>
      <c r="C4" s="87" t="s">
        <v>299</v>
      </c>
      <c r="D4" s="87" t="s">
        <v>114</v>
      </c>
      <c r="E4" s="87" t="s">
        <v>300</v>
      </c>
    </row>
    <row r="5" spans="1:10" ht="15.6" x14ac:dyDescent="0.3">
      <c r="A5" s="62"/>
      <c r="B5" s="3" t="s">
        <v>315</v>
      </c>
      <c r="C5" s="75">
        <v>596.6</v>
      </c>
      <c r="D5" s="67" t="s">
        <v>316</v>
      </c>
      <c r="E5" s="69">
        <f>RANK(C5,$C$5:$C$15,0)</f>
        <v>8</v>
      </c>
      <c r="F5" s="2"/>
    </row>
    <row r="6" spans="1:10" ht="15.6" x14ac:dyDescent="0.3">
      <c r="A6" s="62"/>
      <c r="B6" s="67" t="s">
        <v>303</v>
      </c>
      <c r="C6" s="75">
        <v>678.9</v>
      </c>
      <c r="D6" s="67" t="s">
        <v>304</v>
      </c>
      <c r="E6" s="69">
        <f t="shared" ref="E6:E15" si="0">RANK(C6,$C$5:$C$15,0)</f>
        <v>2</v>
      </c>
      <c r="F6" s="2"/>
    </row>
    <row r="7" spans="1:10" ht="15.6" x14ac:dyDescent="0.3">
      <c r="A7" s="62"/>
      <c r="B7" s="3" t="s">
        <v>305</v>
      </c>
      <c r="C7" s="75">
        <v>634</v>
      </c>
      <c r="D7" s="67" t="s">
        <v>306</v>
      </c>
      <c r="E7" s="69">
        <f t="shared" si="0"/>
        <v>3</v>
      </c>
      <c r="F7" s="2"/>
    </row>
    <row r="8" spans="1:10" ht="15.6" x14ac:dyDescent="0.3">
      <c r="A8" s="62"/>
      <c r="B8" s="3" t="s">
        <v>317</v>
      </c>
      <c r="C8" s="75">
        <v>555.70000000000005</v>
      </c>
      <c r="D8" s="67" t="s">
        <v>318</v>
      </c>
      <c r="E8" s="69">
        <f t="shared" si="0"/>
        <v>9</v>
      </c>
      <c r="F8" s="2"/>
    </row>
    <row r="9" spans="1:10" ht="15.6" x14ac:dyDescent="0.3">
      <c r="A9" s="62"/>
      <c r="B9" s="74" t="s">
        <v>301</v>
      </c>
      <c r="C9" s="75">
        <v>829.8</v>
      </c>
      <c r="D9" s="67" t="s">
        <v>302</v>
      </c>
      <c r="E9" s="69">
        <f t="shared" si="0"/>
        <v>1</v>
      </c>
      <c r="F9" s="2"/>
      <c r="G9" s="10"/>
    </row>
    <row r="10" spans="1:10" ht="15.6" x14ac:dyDescent="0.3">
      <c r="A10" s="62"/>
      <c r="B10" s="3" t="s">
        <v>313</v>
      </c>
      <c r="C10" s="75">
        <v>601</v>
      </c>
      <c r="D10" s="67" t="s">
        <v>314</v>
      </c>
      <c r="E10" s="69">
        <f t="shared" si="0"/>
        <v>7</v>
      </c>
      <c r="F10" s="2"/>
      <c r="G10" s="10"/>
    </row>
    <row r="11" spans="1:10" ht="15.6" x14ac:dyDescent="0.3">
      <c r="A11" s="62"/>
      <c r="B11" s="3" t="s">
        <v>321</v>
      </c>
      <c r="C11" s="75">
        <v>540</v>
      </c>
      <c r="D11" s="67" t="s">
        <v>117</v>
      </c>
      <c r="E11" s="69">
        <f t="shared" si="0"/>
        <v>11</v>
      </c>
      <c r="F11" s="2"/>
      <c r="G11" s="10"/>
    </row>
    <row r="12" spans="1:10" ht="15.6" x14ac:dyDescent="0.3">
      <c r="A12" s="62"/>
      <c r="B12" s="3" t="s">
        <v>319</v>
      </c>
      <c r="C12" s="75">
        <v>553.29999999999995</v>
      </c>
      <c r="D12" s="67" t="s">
        <v>320</v>
      </c>
      <c r="E12" s="69">
        <f t="shared" si="0"/>
        <v>10</v>
      </c>
      <c r="F12" s="2"/>
    </row>
    <row r="13" spans="1:10" ht="15.6" x14ac:dyDescent="0.3">
      <c r="A13" s="62"/>
      <c r="B13" s="3" t="s">
        <v>311</v>
      </c>
      <c r="C13" s="75">
        <v>604</v>
      </c>
      <c r="D13" s="67" t="s">
        <v>312</v>
      </c>
      <c r="E13" s="69">
        <f t="shared" si="0"/>
        <v>6</v>
      </c>
      <c r="F13" s="2"/>
    </row>
    <row r="14" spans="1:10" ht="15.6" x14ac:dyDescent="0.3">
      <c r="A14" s="62"/>
      <c r="B14" s="3" t="s">
        <v>309</v>
      </c>
      <c r="C14" s="75">
        <v>627.79999999999995</v>
      </c>
      <c r="D14" s="67" t="s">
        <v>310</v>
      </c>
      <c r="E14" s="69">
        <f t="shared" si="0"/>
        <v>5</v>
      </c>
    </row>
    <row r="15" spans="1:10" ht="15.6" x14ac:dyDescent="0.3">
      <c r="A15" s="62"/>
      <c r="B15" s="3" t="s">
        <v>307</v>
      </c>
      <c r="C15" s="75">
        <v>632</v>
      </c>
      <c r="D15" s="67" t="s">
        <v>308</v>
      </c>
      <c r="E15" s="69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Лист1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2026-09-23T12:41:09Z</dcterms:modified>
</cp:coreProperties>
</file>