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Vefa\Desktop\Факультатив\"/>
    </mc:Choice>
  </mc:AlternateContent>
  <xr:revisionPtr revIDLastSave="0" documentId="8_{EA7AE486-BCDD-408C-BCDF-35BB90080E54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Данные" sheetId="1" r:id="rId1"/>
    <sheet name="результат" sheetId="2" r:id="rId2"/>
    <sheet name="Лист2" sheetId="7" r:id="rId3"/>
    <sheet name="Задача 1" sheetId="3" r:id="rId4"/>
    <sheet name="Задача 1.2" sheetId="5" r:id="rId5"/>
    <sheet name="Задача 2" sheetId="6" r:id="rId6"/>
    <sheet name="Задача 3.1" sheetId="9" r:id="rId7"/>
    <sheet name="Задача 3" sheetId="10" r:id="rId8"/>
  </sheets>
  <definedNames>
    <definedName name="_xlnm._FilterDatabase" localSheetId="5" hidden="1">'Задача 2'!$G$1:$G$1003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3" i="10" l="1"/>
  <c r="D33" i="10"/>
  <c r="E33" i="10"/>
  <c r="F33" i="10"/>
  <c r="G33" i="10"/>
  <c r="H33" i="10"/>
  <c r="I33" i="10"/>
  <c r="J33" i="10"/>
  <c r="K33" i="10"/>
  <c r="L33" i="10"/>
  <c r="M33" i="10"/>
  <c r="N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B33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B18" i="10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D2" i="10"/>
  <c r="E2" i="10"/>
  <c r="F2" i="10"/>
  <c r="G2" i="10"/>
  <c r="H2" i="10"/>
  <c r="I2" i="10"/>
  <c r="J2" i="10"/>
  <c r="K2" i="10"/>
  <c r="L2" i="10"/>
  <c r="M2" i="10"/>
  <c r="N2" i="10"/>
  <c r="C2" i="10"/>
  <c r="B2" i="10"/>
  <c r="V3" i="10"/>
  <c r="X3" i="10" s="1"/>
  <c r="W3" i="10"/>
  <c r="V4" i="10"/>
  <c r="X4" i="10" s="1"/>
  <c r="W4" i="10"/>
  <c r="V5" i="10"/>
  <c r="W5" i="10"/>
  <c r="X5" i="10" s="1"/>
  <c r="V6" i="10"/>
  <c r="W6" i="10"/>
  <c r="X6" i="10"/>
  <c r="V7" i="10"/>
  <c r="X7" i="10" s="1"/>
  <c r="W7" i="10"/>
  <c r="V8" i="10"/>
  <c r="X8" i="10" s="1"/>
  <c r="W8" i="10"/>
  <c r="V9" i="10"/>
  <c r="W9" i="10"/>
  <c r="X9" i="10" s="1"/>
  <c r="V10" i="10"/>
  <c r="W10" i="10"/>
  <c r="X10" i="10"/>
  <c r="V11" i="10"/>
  <c r="X11" i="10" s="1"/>
  <c r="W11" i="10"/>
  <c r="V12" i="10"/>
  <c r="X12" i="10" s="1"/>
  <c r="W12" i="10"/>
  <c r="V13" i="10"/>
  <c r="W13" i="10"/>
  <c r="X13" i="10" s="1"/>
  <c r="V14" i="10"/>
  <c r="W14" i="10"/>
  <c r="X14" i="10"/>
  <c r="V15" i="10"/>
  <c r="X15" i="10" s="1"/>
  <c r="W15" i="10"/>
  <c r="V16" i="10"/>
  <c r="X16" i="10" s="1"/>
  <c r="W16" i="10"/>
  <c r="V17" i="10"/>
  <c r="W17" i="10"/>
  <c r="X17" i="10" s="1"/>
  <c r="V18" i="10"/>
  <c r="W18" i="10"/>
  <c r="X18" i="10"/>
  <c r="V19" i="10"/>
  <c r="X19" i="10" s="1"/>
  <c r="W19" i="10"/>
  <c r="V20" i="10"/>
  <c r="X20" i="10" s="1"/>
  <c r="W20" i="10"/>
  <c r="V21" i="10"/>
  <c r="W21" i="10"/>
  <c r="X21" i="10" s="1"/>
  <c r="V22" i="10"/>
  <c r="W22" i="10"/>
  <c r="X22" i="10"/>
  <c r="V23" i="10"/>
  <c r="X23" i="10" s="1"/>
  <c r="W23" i="10"/>
  <c r="V24" i="10"/>
  <c r="X24" i="10" s="1"/>
  <c r="W24" i="10"/>
  <c r="V25" i="10"/>
  <c r="W25" i="10"/>
  <c r="X25" i="10" s="1"/>
  <c r="V26" i="10"/>
  <c r="W26" i="10"/>
  <c r="X26" i="10"/>
  <c r="V27" i="10"/>
  <c r="X27" i="10" s="1"/>
  <c r="W27" i="10"/>
  <c r="V28" i="10"/>
  <c r="X28" i="10" s="1"/>
  <c r="W28" i="10"/>
  <c r="V29" i="10"/>
  <c r="W29" i="10"/>
  <c r="X29" i="10" s="1"/>
  <c r="V30" i="10"/>
  <c r="W30" i="10"/>
  <c r="X30" i="10"/>
  <c r="V31" i="10"/>
  <c r="X31" i="10" s="1"/>
  <c r="W31" i="10"/>
  <c r="V32" i="10"/>
  <c r="X32" i="10" s="1"/>
  <c r="W32" i="10"/>
  <c r="V33" i="10"/>
  <c r="W33" i="10"/>
  <c r="X33" i="10" s="1"/>
  <c r="V34" i="10"/>
  <c r="W34" i="10"/>
  <c r="X34" i="10"/>
  <c r="V35" i="10"/>
  <c r="X35" i="10" s="1"/>
  <c r="W35" i="10"/>
  <c r="V36" i="10"/>
  <c r="X36" i="10" s="1"/>
  <c r="W36" i="10"/>
  <c r="V37" i="10"/>
  <c r="W37" i="10"/>
  <c r="X37" i="10" s="1"/>
  <c r="V38" i="10"/>
  <c r="W38" i="10"/>
  <c r="X38" i="10"/>
  <c r="V39" i="10"/>
  <c r="X39" i="10" s="1"/>
  <c r="W39" i="10"/>
  <c r="V40" i="10"/>
  <c r="X40" i="10" s="1"/>
  <c r="W40" i="10"/>
  <c r="V41" i="10"/>
  <c r="W41" i="10"/>
  <c r="X41" i="10" s="1"/>
  <c r="V42" i="10"/>
  <c r="W42" i="10"/>
  <c r="X42" i="10"/>
  <c r="V43" i="10"/>
  <c r="X43" i="10" s="1"/>
  <c r="W43" i="10"/>
  <c r="V44" i="10"/>
  <c r="X44" i="10" s="1"/>
  <c r="W44" i="10"/>
  <c r="V45" i="10"/>
  <c r="W45" i="10"/>
  <c r="X45" i="10" s="1"/>
  <c r="V46" i="10"/>
  <c r="W46" i="10"/>
  <c r="X46" i="10"/>
  <c r="V47" i="10"/>
  <c r="X47" i="10" s="1"/>
  <c r="W47" i="10"/>
  <c r="V48" i="10"/>
  <c r="X48" i="10" s="1"/>
  <c r="W48" i="10"/>
  <c r="V49" i="10"/>
  <c r="W49" i="10"/>
  <c r="X49" i="10" s="1"/>
  <c r="V50" i="10"/>
  <c r="W50" i="10"/>
  <c r="X50" i="10"/>
  <c r="V51" i="10"/>
  <c r="X51" i="10" s="1"/>
  <c r="W51" i="10"/>
  <c r="V52" i="10"/>
  <c r="X52" i="10" s="1"/>
  <c r="W52" i="10"/>
  <c r="V53" i="10"/>
  <c r="W53" i="10"/>
  <c r="X53" i="10" s="1"/>
  <c r="V54" i="10"/>
  <c r="W54" i="10"/>
  <c r="X54" i="10"/>
  <c r="V55" i="10"/>
  <c r="X55" i="10" s="1"/>
  <c r="W55" i="10"/>
  <c r="V56" i="10"/>
  <c r="X56" i="10" s="1"/>
  <c r="W56" i="10"/>
  <c r="V57" i="10"/>
  <c r="W57" i="10"/>
  <c r="X57" i="10" s="1"/>
  <c r="V58" i="10"/>
  <c r="W58" i="10"/>
  <c r="X58" i="10"/>
  <c r="V59" i="10"/>
  <c r="X59" i="10" s="1"/>
  <c r="W59" i="10"/>
  <c r="V60" i="10"/>
  <c r="X60" i="10" s="1"/>
  <c r="W60" i="10"/>
  <c r="V61" i="10"/>
  <c r="W61" i="10"/>
  <c r="X61" i="10" s="1"/>
  <c r="V62" i="10"/>
  <c r="W62" i="10"/>
  <c r="X62" i="10"/>
  <c r="V63" i="10"/>
  <c r="X63" i="10" s="1"/>
  <c r="W63" i="10"/>
  <c r="V64" i="10"/>
  <c r="X64" i="10" s="1"/>
  <c r="W64" i="10"/>
  <c r="V65" i="10"/>
  <c r="W65" i="10"/>
  <c r="X65" i="10" s="1"/>
  <c r="V66" i="10"/>
  <c r="W66" i="10"/>
  <c r="X66" i="10"/>
  <c r="V67" i="10"/>
  <c r="X67" i="10" s="1"/>
  <c r="W67" i="10"/>
  <c r="V68" i="10"/>
  <c r="X68" i="10" s="1"/>
  <c r="W68" i="10"/>
  <c r="V69" i="10"/>
  <c r="W69" i="10"/>
  <c r="X69" i="10" s="1"/>
  <c r="V70" i="10"/>
  <c r="W70" i="10"/>
  <c r="X70" i="10"/>
  <c r="V71" i="10"/>
  <c r="X71" i="10" s="1"/>
  <c r="W71" i="10"/>
  <c r="V72" i="10"/>
  <c r="X72" i="10" s="1"/>
  <c r="W72" i="10"/>
  <c r="V73" i="10"/>
  <c r="W73" i="10"/>
  <c r="X73" i="10" s="1"/>
  <c r="V74" i="10"/>
  <c r="W74" i="10"/>
  <c r="X74" i="10"/>
  <c r="V75" i="10"/>
  <c r="X75" i="10" s="1"/>
  <c r="W75" i="10"/>
  <c r="V76" i="10"/>
  <c r="X76" i="10" s="1"/>
  <c r="W76" i="10"/>
  <c r="V77" i="10"/>
  <c r="W77" i="10"/>
  <c r="X77" i="10" s="1"/>
  <c r="V78" i="10"/>
  <c r="W78" i="10"/>
  <c r="X78" i="10"/>
  <c r="V79" i="10"/>
  <c r="X79" i="10" s="1"/>
  <c r="W79" i="10"/>
  <c r="V80" i="10"/>
  <c r="X80" i="10" s="1"/>
  <c r="W80" i="10"/>
  <c r="V81" i="10"/>
  <c r="W81" i="10"/>
  <c r="X81" i="10" s="1"/>
  <c r="V82" i="10"/>
  <c r="W82" i="10"/>
  <c r="X82" i="10"/>
  <c r="V83" i="10"/>
  <c r="X83" i="10" s="1"/>
  <c r="W83" i="10"/>
  <c r="V84" i="10"/>
  <c r="X84" i="10" s="1"/>
  <c r="W84" i="10"/>
  <c r="V85" i="10"/>
  <c r="W85" i="10"/>
  <c r="X85" i="10" s="1"/>
  <c r="V86" i="10"/>
  <c r="W86" i="10"/>
  <c r="X86" i="10"/>
  <c r="V87" i="10"/>
  <c r="X87" i="10" s="1"/>
  <c r="W87" i="10"/>
  <c r="V88" i="10"/>
  <c r="X88" i="10" s="1"/>
  <c r="W88" i="10"/>
  <c r="V89" i="10"/>
  <c r="W89" i="10"/>
  <c r="X89" i="10" s="1"/>
  <c r="V90" i="10"/>
  <c r="W90" i="10"/>
  <c r="X90" i="10"/>
  <c r="V91" i="10"/>
  <c r="X91" i="10" s="1"/>
  <c r="W91" i="10"/>
  <c r="V92" i="10"/>
  <c r="X92" i="10" s="1"/>
  <c r="W92" i="10"/>
  <c r="V93" i="10"/>
  <c r="W93" i="10"/>
  <c r="X93" i="10" s="1"/>
  <c r="V94" i="10"/>
  <c r="W94" i="10"/>
  <c r="X94" i="10"/>
  <c r="V95" i="10"/>
  <c r="X95" i="10" s="1"/>
  <c r="W95" i="10"/>
  <c r="V96" i="10"/>
  <c r="X96" i="10" s="1"/>
  <c r="W96" i="10"/>
  <c r="V97" i="10"/>
  <c r="W97" i="10"/>
  <c r="X97" i="10" s="1"/>
  <c r="V98" i="10"/>
  <c r="W98" i="10"/>
  <c r="X98" i="10"/>
  <c r="V99" i="10"/>
  <c r="X99" i="10" s="1"/>
  <c r="W99" i="10"/>
  <c r="V100" i="10"/>
  <c r="X100" i="10" s="1"/>
  <c r="W100" i="10"/>
  <c r="V101" i="10"/>
  <c r="W101" i="10"/>
  <c r="X101" i="10" s="1"/>
  <c r="V102" i="10"/>
  <c r="W102" i="10"/>
  <c r="X102" i="10"/>
  <c r="V103" i="10"/>
  <c r="X103" i="10" s="1"/>
  <c r="W103" i="10"/>
  <c r="V104" i="10"/>
  <c r="X104" i="10" s="1"/>
  <c r="W104" i="10"/>
  <c r="V105" i="10"/>
  <c r="W105" i="10"/>
  <c r="X105" i="10" s="1"/>
  <c r="V106" i="10"/>
  <c r="W106" i="10"/>
  <c r="X106" i="10"/>
  <c r="V107" i="10"/>
  <c r="X107" i="10" s="1"/>
  <c r="W107" i="10"/>
  <c r="V108" i="10"/>
  <c r="X108" i="10" s="1"/>
  <c r="W108" i="10"/>
  <c r="V109" i="10"/>
  <c r="W109" i="10"/>
  <c r="X109" i="10" s="1"/>
  <c r="V110" i="10"/>
  <c r="W110" i="10"/>
  <c r="X110" i="10"/>
  <c r="V111" i="10"/>
  <c r="X111" i="10" s="1"/>
  <c r="W111" i="10"/>
  <c r="V112" i="10"/>
  <c r="X112" i="10" s="1"/>
  <c r="W112" i="10"/>
  <c r="V113" i="10"/>
  <c r="W113" i="10"/>
  <c r="X113" i="10" s="1"/>
  <c r="V114" i="10"/>
  <c r="W114" i="10"/>
  <c r="X114" i="10"/>
  <c r="V115" i="10"/>
  <c r="X115" i="10" s="1"/>
  <c r="W115" i="10"/>
  <c r="V116" i="10"/>
  <c r="X116" i="10" s="1"/>
  <c r="W116" i="10"/>
  <c r="V117" i="10"/>
  <c r="W117" i="10"/>
  <c r="X117" i="10" s="1"/>
  <c r="V118" i="10"/>
  <c r="W118" i="10"/>
  <c r="X118" i="10"/>
  <c r="V119" i="10"/>
  <c r="X119" i="10" s="1"/>
  <c r="W119" i="10"/>
  <c r="V120" i="10"/>
  <c r="X120" i="10" s="1"/>
  <c r="W120" i="10"/>
  <c r="V121" i="10"/>
  <c r="W121" i="10"/>
  <c r="X121" i="10" s="1"/>
  <c r="V122" i="10"/>
  <c r="W122" i="10"/>
  <c r="X122" i="10"/>
  <c r="V123" i="10"/>
  <c r="X123" i="10" s="1"/>
  <c r="W123" i="10"/>
  <c r="V124" i="10"/>
  <c r="X124" i="10" s="1"/>
  <c r="W124" i="10"/>
  <c r="V125" i="10"/>
  <c r="W125" i="10"/>
  <c r="X125" i="10" s="1"/>
  <c r="V126" i="10"/>
  <c r="W126" i="10"/>
  <c r="X126" i="10"/>
  <c r="V127" i="10"/>
  <c r="X127" i="10" s="1"/>
  <c r="W127" i="10"/>
  <c r="V128" i="10"/>
  <c r="X128" i="10" s="1"/>
  <c r="W128" i="10"/>
  <c r="V129" i="10"/>
  <c r="W129" i="10"/>
  <c r="X129" i="10" s="1"/>
  <c r="V130" i="10"/>
  <c r="W130" i="10"/>
  <c r="X130" i="10"/>
  <c r="V131" i="10"/>
  <c r="X131" i="10" s="1"/>
  <c r="W131" i="10"/>
  <c r="V132" i="10"/>
  <c r="X132" i="10" s="1"/>
  <c r="W132" i="10"/>
  <c r="V133" i="10"/>
  <c r="W133" i="10"/>
  <c r="X133" i="10" s="1"/>
  <c r="V134" i="10"/>
  <c r="W134" i="10"/>
  <c r="X134" i="10"/>
  <c r="V135" i="10"/>
  <c r="X135" i="10" s="1"/>
  <c r="W135" i="10"/>
  <c r="V136" i="10"/>
  <c r="X136" i="10" s="1"/>
  <c r="W136" i="10"/>
  <c r="V137" i="10"/>
  <c r="W137" i="10"/>
  <c r="X137" i="10" s="1"/>
  <c r="V138" i="10"/>
  <c r="W138" i="10"/>
  <c r="X138" i="10"/>
  <c r="V139" i="10"/>
  <c r="X139" i="10" s="1"/>
  <c r="W139" i="10"/>
  <c r="V140" i="10"/>
  <c r="X140" i="10" s="1"/>
  <c r="W140" i="10"/>
  <c r="V141" i="10"/>
  <c r="W141" i="10"/>
  <c r="X141" i="10" s="1"/>
  <c r="V142" i="10"/>
  <c r="W142" i="10"/>
  <c r="X142" i="10"/>
  <c r="V143" i="10"/>
  <c r="X143" i="10" s="1"/>
  <c r="W143" i="10"/>
  <c r="V144" i="10"/>
  <c r="X144" i="10" s="1"/>
  <c r="W144" i="10"/>
  <c r="V145" i="10"/>
  <c r="W145" i="10"/>
  <c r="X145" i="10" s="1"/>
  <c r="V146" i="10"/>
  <c r="W146" i="10"/>
  <c r="X146" i="10"/>
  <c r="V147" i="10"/>
  <c r="X147" i="10" s="1"/>
  <c r="W147" i="10"/>
  <c r="V148" i="10"/>
  <c r="X148" i="10" s="1"/>
  <c r="W148" i="10"/>
  <c r="V149" i="10"/>
  <c r="W149" i="10"/>
  <c r="X149" i="10" s="1"/>
  <c r="V150" i="10"/>
  <c r="W150" i="10"/>
  <c r="X150" i="10"/>
  <c r="V151" i="10"/>
  <c r="X151" i="10" s="1"/>
  <c r="W151" i="10"/>
  <c r="V152" i="10"/>
  <c r="X152" i="10" s="1"/>
  <c r="W152" i="10"/>
  <c r="V153" i="10"/>
  <c r="W153" i="10"/>
  <c r="X153" i="10" s="1"/>
  <c r="V154" i="10"/>
  <c r="W154" i="10"/>
  <c r="X154" i="10"/>
  <c r="V155" i="10"/>
  <c r="X155" i="10" s="1"/>
  <c r="W155" i="10"/>
  <c r="V156" i="10"/>
  <c r="X156" i="10" s="1"/>
  <c r="W156" i="10"/>
  <c r="V157" i="10"/>
  <c r="W157" i="10"/>
  <c r="X157" i="10" s="1"/>
  <c r="V158" i="10"/>
  <c r="W158" i="10"/>
  <c r="X158" i="10"/>
  <c r="V159" i="10"/>
  <c r="X159" i="10" s="1"/>
  <c r="W159" i="10"/>
  <c r="V160" i="10"/>
  <c r="X160" i="10" s="1"/>
  <c r="W160" i="10"/>
  <c r="V161" i="10"/>
  <c r="W161" i="10"/>
  <c r="X161" i="10" s="1"/>
  <c r="V162" i="10"/>
  <c r="W162" i="10"/>
  <c r="X162" i="10"/>
  <c r="V163" i="10"/>
  <c r="X163" i="10" s="1"/>
  <c r="W163" i="10"/>
  <c r="V164" i="10"/>
  <c r="X164" i="10" s="1"/>
  <c r="W164" i="10"/>
  <c r="V165" i="10"/>
  <c r="W165" i="10"/>
  <c r="X165" i="10" s="1"/>
  <c r="V166" i="10"/>
  <c r="W166" i="10"/>
  <c r="X166" i="10"/>
  <c r="V167" i="10"/>
  <c r="X167" i="10" s="1"/>
  <c r="W167" i="10"/>
  <c r="V168" i="10"/>
  <c r="X168" i="10" s="1"/>
  <c r="W168" i="10"/>
  <c r="V169" i="10"/>
  <c r="W169" i="10"/>
  <c r="X169" i="10" s="1"/>
  <c r="V170" i="10"/>
  <c r="W170" i="10"/>
  <c r="X170" i="10"/>
  <c r="V171" i="10"/>
  <c r="X171" i="10" s="1"/>
  <c r="W171" i="10"/>
  <c r="V172" i="10"/>
  <c r="X172" i="10" s="1"/>
  <c r="W172" i="10"/>
  <c r="V173" i="10"/>
  <c r="W173" i="10"/>
  <c r="X173" i="10" s="1"/>
  <c r="V174" i="10"/>
  <c r="W174" i="10"/>
  <c r="X174" i="10"/>
  <c r="V175" i="10"/>
  <c r="X175" i="10" s="1"/>
  <c r="W175" i="10"/>
  <c r="V176" i="10"/>
  <c r="X176" i="10" s="1"/>
  <c r="W176" i="10"/>
  <c r="V177" i="10"/>
  <c r="W177" i="10"/>
  <c r="X177" i="10" s="1"/>
  <c r="V178" i="10"/>
  <c r="W178" i="10"/>
  <c r="X178" i="10"/>
  <c r="V179" i="10"/>
  <c r="X179" i="10" s="1"/>
  <c r="W179" i="10"/>
  <c r="V180" i="10"/>
  <c r="X180" i="10" s="1"/>
  <c r="W180" i="10"/>
  <c r="V181" i="10"/>
  <c r="W181" i="10"/>
  <c r="X181" i="10" s="1"/>
  <c r="V182" i="10"/>
  <c r="W182" i="10"/>
  <c r="X182" i="10"/>
  <c r="V183" i="10"/>
  <c r="X183" i="10" s="1"/>
  <c r="W183" i="10"/>
  <c r="V184" i="10"/>
  <c r="X184" i="10" s="1"/>
  <c r="W184" i="10"/>
  <c r="V185" i="10"/>
  <c r="W185" i="10"/>
  <c r="X185" i="10" s="1"/>
  <c r="V186" i="10"/>
  <c r="W186" i="10"/>
  <c r="X186" i="10"/>
  <c r="V187" i="10"/>
  <c r="X187" i="10" s="1"/>
  <c r="W187" i="10"/>
  <c r="V188" i="10"/>
  <c r="X188" i="10" s="1"/>
  <c r="W188" i="10"/>
  <c r="V189" i="10"/>
  <c r="W189" i="10"/>
  <c r="X189" i="10" s="1"/>
  <c r="V190" i="10"/>
  <c r="W190" i="10"/>
  <c r="X190" i="10"/>
  <c r="V191" i="10"/>
  <c r="X191" i="10" s="1"/>
  <c r="W191" i="10"/>
  <c r="V192" i="10"/>
  <c r="X192" i="10" s="1"/>
  <c r="W192" i="10"/>
  <c r="V193" i="10"/>
  <c r="W193" i="10"/>
  <c r="X193" i="10" s="1"/>
  <c r="V194" i="10"/>
  <c r="W194" i="10"/>
  <c r="X194" i="10"/>
  <c r="V195" i="10"/>
  <c r="X195" i="10" s="1"/>
  <c r="W195" i="10"/>
  <c r="V196" i="10"/>
  <c r="X196" i="10" s="1"/>
  <c r="W196" i="10"/>
  <c r="V197" i="10"/>
  <c r="W197" i="10"/>
  <c r="X197" i="10" s="1"/>
  <c r="V198" i="10"/>
  <c r="W198" i="10"/>
  <c r="X198" i="10"/>
  <c r="V199" i="10"/>
  <c r="X199" i="10" s="1"/>
  <c r="W199" i="10"/>
  <c r="V200" i="10"/>
  <c r="X200" i="10" s="1"/>
  <c r="W200" i="10"/>
  <c r="V201" i="10"/>
  <c r="W201" i="10"/>
  <c r="X201" i="10" s="1"/>
  <c r="V202" i="10"/>
  <c r="W202" i="10"/>
  <c r="X202" i="10"/>
  <c r="V203" i="10"/>
  <c r="X203" i="10" s="1"/>
  <c r="W203" i="10"/>
  <c r="V204" i="10"/>
  <c r="X204" i="10" s="1"/>
  <c r="W204" i="10"/>
  <c r="V205" i="10"/>
  <c r="W205" i="10"/>
  <c r="X205" i="10" s="1"/>
  <c r="V206" i="10"/>
  <c r="W206" i="10"/>
  <c r="X206" i="10"/>
  <c r="V207" i="10"/>
  <c r="X207" i="10" s="1"/>
  <c r="W207" i="10"/>
  <c r="V208" i="10"/>
  <c r="X208" i="10" s="1"/>
  <c r="W208" i="10"/>
  <c r="V209" i="10"/>
  <c r="W209" i="10"/>
  <c r="X209" i="10" s="1"/>
  <c r="V210" i="10"/>
  <c r="W210" i="10"/>
  <c r="X210" i="10"/>
  <c r="V211" i="10"/>
  <c r="X211" i="10" s="1"/>
  <c r="W211" i="10"/>
  <c r="V212" i="10"/>
  <c r="X212" i="10" s="1"/>
  <c r="W212" i="10"/>
  <c r="V213" i="10"/>
  <c r="W213" i="10"/>
  <c r="X213" i="10" s="1"/>
  <c r="V214" i="10"/>
  <c r="W214" i="10"/>
  <c r="X214" i="10"/>
  <c r="V215" i="10"/>
  <c r="X215" i="10" s="1"/>
  <c r="W215" i="10"/>
  <c r="V216" i="10"/>
  <c r="X216" i="10" s="1"/>
  <c r="W216" i="10"/>
  <c r="V217" i="10"/>
  <c r="W217" i="10"/>
  <c r="X217" i="10" s="1"/>
  <c r="V218" i="10"/>
  <c r="W218" i="10"/>
  <c r="X218" i="10"/>
  <c r="V219" i="10"/>
  <c r="X219" i="10" s="1"/>
  <c r="W219" i="10"/>
  <c r="V220" i="10"/>
  <c r="X220" i="10" s="1"/>
  <c r="W220" i="10"/>
  <c r="V221" i="10"/>
  <c r="W221" i="10"/>
  <c r="X221" i="10" s="1"/>
  <c r="V222" i="10"/>
  <c r="W222" i="10"/>
  <c r="X222" i="10"/>
  <c r="V223" i="10"/>
  <c r="X223" i="10" s="1"/>
  <c r="W223" i="10"/>
  <c r="V224" i="10"/>
  <c r="X224" i="10" s="1"/>
  <c r="W224" i="10"/>
  <c r="V225" i="10"/>
  <c r="W225" i="10"/>
  <c r="X225" i="10" s="1"/>
  <c r="V226" i="10"/>
  <c r="W226" i="10"/>
  <c r="X226" i="10"/>
  <c r="V227" i="10"/>
  <c r="X227" i="10" s="1"/>
  <c r="W227" i="10"/>
  <c r="V228" i="10"/>
  <c r="X228" i="10" s="1"/>
  <c r="W228" i="10"/>
  <c r="V229" i="10"/>
  <c r="W229" i="10"/>
  <c r="X229" i="10" s="1"/>
  <c r="V230" i="10"/>
  <c r="W230" i="10"/>
  <c r="X230" i="10"/>
  <c r="V231" i="10"/>
  <c r="X231" i="10" s="1"/>
  <c r="W231" i="10"/>
  <c r="V232" i="10"/>
  <c r="X232" i="10" s="1"/>
  <c r="W232" i="10"/>
  <c r="V233" i="10"/>
  <c r="W233" i="10"/>
  <c r="X233" i="10" s="1"/>
  <c r="V234" i="10"/>
  <c r="W234" i="10"/>
  <c r="X234" i="10"/>
  <c r="V235" i="10"/>
  <c r="X235" i="10" s="1"/>
  <c r="W235" i="10"/>
  <c r="V236" i="10"/>
  <c r="X236" i="10" s="1"/>
  <c r="W236" i="10"/>
  <c r="V237" i="10"/>
  <c r="W237" i="10"/>
  <c r="X237" i="10" s="1"/>
  <c r="V238" i="10"/>
  <c r="W238" i="10"/>
  <c r="X238" i="10"/>
  <c r="V239" i="10"/>
  <c r="X239" i="10" s="1"/>
  <c r="W239" i="10"/>
  <c r="V240" i="10"/>
  <c r="X240" i="10" s="1"/>
  <c r="W240" i="10"/>
  <c r="V241" i="10"/>
  <c r="W241" i="10"/>
  <c r="X241" i="10" s="1"/>
  <c r="V242" i="10"/>
  <c r="W242" i="10"/>
  <c r="X242" i="10"/>
  <c r="V243" i="10"/>
  <c r="X243" i="10" s="1"/>
  <c r="W243" i="10"/>
  <c r="V244" i="10"/>
  <c r="X244" i="10" s="1"/>
  <c r="W244" i="10"/>
  <c r="V245" i="10"/>
  <c r="W245" i="10"/>
  <c r="X245" i="10" s="1"/>
  <c r="V246" i="10"/>
  <c r="W246" i="10"/>
  <c r="X246" i="10"/>
  <c r="V247" i="10"/>
  <c r="X247" i="10" s="1"/>
  <c r="W247" i="10"/>
  <c r="V248" i="10"/>
  <c r="X248" i="10" s="1"/>
  <c r="W248" i="10"/>
  <c r="V249" i="10"/>
  <c r="W249" i="10"/>
  <c r="X249" i="10" s="1"/>
  <c r="V250" i="10"/>
  <c r="W250" i="10"/>
  <c r="X250" i="10"/>
  <c r="V251" i="10"/>
  <c r="X251" i="10" s="1"/>
  <c r="W251" i="10"/>
  <c r="V252" i="10"/>
  <c r="X252" i="10" s="1"/>
  <c r="W252" i="10"/>
  <c r="V253" i="10"/>
  <c r="W253" i="10"/>
  <c r="X253" i="10" s="1"/>
  <c r="V254" i="10"/>
  <c r="W254" i="10"/>
  <c r="X254" i="10"/>
  <c r="V255" i="10"/>
  <c r="X255" i="10" s="1"/>
  <c r="W255" i="10"/>
  <c r="V256" i="10"/>
  <c r="X256" i="10" s="1"/>
  <c r="W256" i="10"/>
  <c r="V257" i="10"/>
  <c r="W257" i="10"/>
  <c r="X257" i="10" s="1"/>
  <c r="V258" i="10"/>
  <c r="W258" i="10"/>
  <c r="X258" i="10"/>
  <c r="V259" i="10"/>
  <c r="X259" i="10" s="1"/>
  <c r="W259" i="10"/>
  <c r="V260" i="10"/>
  <c r="X260" i="10" s="1"/>
  <c r="W260" i="10"/>
  <c r="V261" i="10"/>
  <c r="W261" i="10"/>
  <c r="X261" i="10" s="1"/>
  <c r="V262" i="10"/>
  <c r="W262" i="10"/>
  <c r="X262" i="10"/>
  <c r="V263" i="10"/>
  <c r="X263" i="10" s="1"/>
  <c r="W263" i="10"/>
  <c r="V264" i="10"/>
  <c r="X264" i="10" s="1"/>
  <c r="W264" i="10"/>
  <c r="V265" i="10"/>
  <c r="W265" i="10"/>
  <c r="X265" i="10" s="1"/>
  <c r="V266" i="10"/>
  <c r="W266" i="10"/>
  <c r="X266" i="10"/>
  <c r="V267" i="10"/>
  <c r="X267" i="10" s="1"/>
  <c r="W267" i="10"/>
  <c r="V268" i="10"/>
  <c r="X268" i="10" s="1"/>
  <c r="W268" i="10"/>
  <c r="V269" i="10"/>
  <c r="W269" i="10"/>
  <c r="X269" i="10" s="1"/>
  <c r="V270" i="10"/>
  <c r="W270" i="10"/>
  <c r="X270" i="10"/>
  <c r="V271" i="10"/>
  <c r="X271" i="10" s="1"/>
  <c r="W271" i="10"/>
  <c r="V272" i="10"/>
  <c r="X272" i="10" s="1"/>
  <c r="W272" i="10"/>
  <c r="V273" i="10"/>
  <c r="W273" i="10"/>
  <c r="X273" i="10" s="1"/>
  <c r="V274" i="10"/>
  <c r="W274" i="10"/>
  <c r="X274" i="10"/>
  <c r="V275" i="10"/>
  <c r="X275" i="10" s="1"/>
  <c r="W275" i="10"/>
  <c r="V276" i="10"/>
  <c r="X276" i="10" s="1"/>
  <c r="W276" i="10"/>
  <c r="V277" i="10"/>
  <c r="W277" i="10"/>
  <c r="X277" i="10" s="1"/>
  <c r="V278" i="10"/>
  <c r="W278" i="10"/>
  <c r="X278" i="10"/>
  <c r="V279" i="10"/>
  <c r="X279" i="10" s="1"/>
  <c r="W279" i="10"/>
  <c r="V280" i="10"/>
  <c r="X280" i="10" s="1"/>
  <c r="W280" i="10"/>
  <c r="V281" i="10"/>
  <c r="W281" i="10"/>
  <c r="X281" i="10" s="1"/>
  <c r="V282" i="10"/>
  <c r="W282" i="10"/>
  <c r="X282" i="10"/>
  <c r="V283" i="10"/>
  <c r="X283" i="10" s="1"/>
  <c r="W283" i="10"/>
  <c r="V284" i="10"/>
  <c r="X284" i="10" s="1"/>
  <c r="W284" i="10"/>
  <c r="V285" i="10"/>
  <c r="W285" i="10"/>
  <c r="X285" i="10" s="1"/>
  <c r="V286" i="10"/>
  <c r="W286" i="10"/>
  <c r="X286" i="10"/>
  <c r="V287" i="10"/>
  <c r="X287" i="10" s="1"/>
  <c r="W287" i="10"/>
  <c r="V288" i="10"/>
  <c r="X288" i="10" s="1"/>
  <c r="W288" i="10"/>
  <c r="V289" i="10"/>
  <c r="W289" i="10"/>
  <c r="X289" i="10" s="1"/>
  <c r="V290" i="10"/>
  <c r="W290" i="10"/>
  <c r="X290" i="10"/>
  <c r="V291" i="10"/>
  <c r="X291" i="10" s="1"/>
  <c r="W291" i="10"/>
  <c r="V292" i="10"/>
  <c r="X292" i="10" s="1"/>
  <c r="W292" i="10"/>
  <c r="V293" i="10"/>
  <c r="W293" i="10"/>
  <c r="X293" i="10" s="1"/>
  <c r="V294" i="10"/>
  <c r="W294" i="10"/>
  <c r="X294" i="10"/>
  <c r="V295" i="10"/>
  <c r="X295" i="10" s="1"/>
  <c r="W295" i="10"/>
  <c r="V296" i="10"/>
  <c r="W296" i="10"/>
  <c r="X296" i="10"/>
  <c r="V297" i="10"/>
  <c r="W297" i="10"/>
  <c r="X297" i="10" s="1"/>
  <c r="V298" i="10"/>
  <c r="W298" i="10"/>
  <c r="X298" i="10"/>
  <c r="V299" i="10"/>
  <c r="X299" i="10" s="1"/>
  <c r="W299" i="10"/>
  <c r="V300" i="10"/>
  <c r="X300" i="10" s="1"/>
  <c r="W300" i="10"/>
  <c r="V301" i="10"/>
  <c r="W301" i="10"/>
  <c r="X301" i="10" s="1"/>
  <c r="V302" i="10"/>
  <c r="X302" i="10" s="1"/>
  <c r="W302" i="10"/>
  <c r="V303" i="10"/>
  <c r="X303" i="10" s="1"/>
  <c r="W303" i="10"/>
  <c r="V304" i="10"/>
  <c r="W304" i="10"/>
  <c r="X304" i="10"/>
  <c r="V305" i="10"/>
  <c r="W305" i="10"/>
  <c r="X305" i="10" s="1"/>
  <c r="V306" i="10"/>
  <c r="W306" i="10"/>
  <c r="X306" i="10"/>
  <c r="V307" i="10"/>
  <c r="X307" i="10" s="1"/>
  <c r="W307" i="10"/>
  <c r="V308" i="10"/>
  <c r="X308" i="10" s="1"/>
  <c r="W308" i="10"/>
  <c r="V309" i="10"/>
  <c r="W309" i="10"/>
  <c r="X309" i="10" s="1"/>
  <c r="V310" i="10"/>
  <c r="X310" i="10" s="1"/>
  <c r="W310" i="10"/>
  <c r="V311" i="10"/>
  <c r="X311" i="10" s="1"/>
  <c r="W311" i="10"/>
  <c r="V312" i="10"/>
  <c r="W312" i="10"/>
  <c r="X312" i="10"/>
  <c r="V313" i="10"/>
  <c r="W313" i="10"/>
  <c r="X313" i="10" s="1"/>
  <c r="V314" i="10"/>
  <c r="W314" i="10"/>
  <c r="X314" i="10"/>
  <c r="V315" i="10"/>
  <c r="X315" i="10" s="1"/>
  <c r="W315" i="10"/>
  <c r="V316" i="10"/>
  <c r="X316" i="10" s="1"/>
  <c r="W316" i="10"/>
  <c r="V317" i="10"/>
  <c r="W317" i="10"/>
  <c r="X317" i="10" s="1"/>
  <c r="V318" i="10"/>
  <c r="X318" i="10" s="1"/>
  <c r="W318" i="10"/>
  <c r="V319" i="10"/>
  <c r="X319" i="10" s="1"/>
  <c r="W319" i="10"/>
  <c r="V320" i="10"/>
  <c r="W320" i="10"/>
  <c r="X320" i="10"/>
  <c r="V321" i="10"/>
  <c r="W321" i="10"/>
  <c r="X321" i="10" s="1"/>
  <c r="V322" i="10"/>
  <c r="W322" i="10"/>
  <c r="X322" i="10"/>
  <c r="V323" i="10"/>
  <c r="X323" i="10" s="1"/>
  <c r="W323" i="10"/>
  <c r="V324" i="10"/>
  <c r="X324" i="10" s="1"/>
  <c r="W324" i="10"/>
  <c r="V325" i="10"/>
  <c r="W325" i="10"/>
  <c r="X325" i="10" s="1"/>
  <c r="V326" i="10"/>
  <c r="X326" i="10" s="1"/>
  <c r="W326" i="10"/>
  <c r="V327" i="10"/>
  <c r="X327" i="10" s="1"/>
  <c r="W327" i="10"/>
  <c r="V328" i="10"/>
  <c r="W328" i="10"/>
  <c r="X328" i="10"/>
  <c r="V329" i="10"/>
  <c r="W329" i="10"/>
  <c r="X329" i="10" s="1"/>
  <c r="V330" i="10"/>
  <c r="W330" i="10"/>
  <c r="X330" i="10"/>
  <c r="V331" i="10"/>
  <c r="X331" i="10" s="1"/>
  <c r="W331" i="10"/>
  <c r="V332" i="10"/>
  <c r="X332" i="10" s="1"/>
  <c r="W332" i="10"/>
  <c r="V333" i="10"/>
  <c r="W333" i="10"/>
  <c r="X333" i="10" s="1"/>
  <c r="V334" i="10"/>
  <c r="X334" i="10" s="1"/>
  <c r="W334" i="10"/>
  <c r="V335" i="10"/>
  <c r="X335" i="10" s="1"/>
  <c r="W335" i="10"/>
  <c r="V336" i="10"/>
  <c r="W336" i="10"/>
  <c r="X336" i="10"/>
  <c r="V337" i="10"/>
  <c r="W337" i="10"/>
  <c r="X337" i="10" s="1"/>
  <c r="V338" i="10"/>
  <c r="W338" i="10"/>
  <c r="X338" i="10"/>
  <c r="V339" i="10"/>
  <c r="X339" i="10" s="1"/>
  <c r="W339" i="10"/>
  <c r="V340" i="10"/>
  <c r="X340" i="10" s="1"/>
  <c r="W340" i="10"/>
  <c r="V341" i="10"/>
  <c r="W341" i="10"/>
  <c r="X341" i="10" s="1"/>
  <c r="V342" i="10"/>
  <c r="W342" i="10"/>
  <c r="X342" i="10"/>
  <c r="V343" i="10"/>
  <c r="X343" i="10" s="1"/>
  <c r="W343" i="10"/>
  <c r="V344" i="10"/>
  <c r="X344" i="10" s="1"/>
  <c r="W344" i="10"/>
  <c r="V345" i="10"/>
  <c r="W345" i="10"/>
  <c r="X345" i="10" s="1"/>
  <c r="V346" i="10"/>
  <c r="W346" i="10"/>
  <c r="X346" i="10"/>
  <c r="V347" i="10"/>
  <c r="X347" i="10" s="1"/>
  <c r="W347" i="10"/>
  <c r="V348" i="10"/>
  <c r="X348" i="10" s="1"/>
  <c r="W348" i="10"/>
  <c r="V349" i="10"/>
  <c r="W349" i="10"/>
  <c r="X349" i="10" s="1"/>
  <c r="V350" i="10"/>
  <c r="W350" i="10"/>
  <c r="X350" i="10"/>
  <c r="V351" i="10"/>
  <c r="X351" i="10" s="1"/>
  <c r="W351" i="10"/>
  <c r="V352" i="10"/>
  <c r="X352" i="10" s="1"/>
  <c r="W352" i="10"/>
  <c r="V353" i="10"/>
  <c r="W353" i="10"/>
  <c r="X353" i="10" s="1"/>
  <c r="V354" i="10"/>
  <c r="W354" i="10"/>
  <c r="X354" i="10"/>
  <c r="V355" i="10"/>
  <c r="X355" i="10" s="1"/>
  <c r="W355" i="10"/>
  <c r="V356" i="10"/>
  <c r="X356" i="10" s="1"/>
  <c r="W356" i="10"/>
  <c r="V357" i="10"/>
  <c r="W357" i="10"/>
  <c r="X357" i="10" s="1"/>
  <c r="V358" i="10"/>
  <c r="W358" i="10"/>
  <c r="X358" i="10"/>
  <c r="V359" i="10"/>
  <c r="X359" i="10" s="1"/>
  <c r="W359" i="10"/>
  <c r="V360" i="10"/>
  <c r="X360" i="10" s="1"/>
  <c r="W360" i="10"/>
  <c r="V361" i="10"/>
  <c r="W361" i="10"/>
  <c r="X361" i="10" s="1"/>
  <c r="V362" i="10"/>
  <c r="W362" i="10"/>
  <c r="X362" i="10"/>
  <c r="V363" i="10"/>
  <c r="X363" i="10" s="1"/>
  <c r="W363" i="10"/>
  <c r="V364" i="10"/>
  <c r="X364" i="10" s="1"/>
  <c r="W364" i="10"/>
  <c r="V365" i="10"/>
  <c r="W365" i="10"/>
  <c r="X365" i="10" s="1"/>
  <c r="V366" i="10"/>
  <c r="W366" i="10"/>
  <c r="X366" i="10"/>
  <c r="V367" i="10"/>
  <c r="X367" i="10" s="1"/>
  <c r="W367" i="10"/>
  <c r="V368" i="10"/>
  <c r="X368" i="10" s="1"/>
  <c r="W368" i="10"/>
  <c r="V369" i="10"/>
  <c r="W369" i="10"/>
  <c r="X369" i="10" s="1"/>
  <c r="V370" i="10"/>
  <c r="W370" i="10"/>
  <c r="X370" i="10"/>
  <c r="V371" i="10"/>
  <c r="X371" i="10" s="1"/>
  <c r="W371" i="10"/>
  <c r="V372" i="10"/>
  <c r="X372" i="10" s="1"/>
  <c r="W372" i="10"/>
  <c r="V373" i="10"/>
  <c r="W373" i="10"/>
  <c r="X373" i="10" s="1"/>
  <c r="V374" i="10"/>
  <c r="W374" i="10"/>
  <c r="X374" i="10"/>
  <c r="V375" i="10"/>
  <c r="X375" i="10" s="1"/>
  <c r="W375" i="10"/>
  <c r="V376" i="10"/>
  <c r="X376" i="10" s="1"/>
  <c r="W376" i="10"/>
  <c r="V377" i="10"/>
  <c r="W377" i="10"/>
  <c r="X377" i="10" s="1"/>
  <c r="V378" i="10"/>
  <c r="W378" i="10"/>
  <c r="X378" i="10"/>
  <c r="V379" i="10"/>
  <c r="X379" i="10" s="1"/>
  <c r="W379" i="10"/>
  <c r="V380" i="10"/>
  <c r="X380" i="10" s="1"/>
  <c r="W380" i="10"/>
  <c r="V381" i="10"/>
  <c r="W381" i="10"/>
  <c r="X381" i="10" s="1"/>
  <c r="V382" i="10"/>
  <c r="W382" i="10"/>
  <c r="X382" i="10"/>
  <c r="V383" i="10"/>
  <c r="X383" i="10" s="1"/>
  <c r="W383" i="10"/>
  <c r="V384" i="10"/>
  <c r="X384" i="10" s="1"/>
  <c r="W384" i="10"/>
  <c r="V385" i="10"/>
  <c r="W385" i="10"/>
  <c r="X385" i="10" s="1"/>
  <c r="V386" i="10"/>
  <c r="W386" i="10"/>
  <c r="X386" i="10"/>
  <c r="V387" i="10"/>
  <c r="X387" i="10" s="1"/>
  <c r="W387" i="10"/>
  <c r="V388" i="10"/>
  <c r="X388" i="10" s="1"/>
  <c r="W388" i="10"/>
  <c r="V389" i="10"/>
  <c r="W389" i="10"/>
  <c r="X389" i="10" s="1"/>
  <c r="V390" i="10"/>
  <c r="W390" i="10"/>
  <c r="X390" i="10"/>
  <c r="V391" i="10"/>
  <c r="X391" i="10" s="1"/>
  <c r="W391" i="10"/>
  <c r="V392" i="10"/>
  <c r="X392" i="10" s="1"/>
  <c r="W392" i="10"/>
  <c r="V393" i="10"/>
  <c r="W393" i="10"/>
  <c r="X393" i="10" s="1"/>
  <c r="V394" i="10"/>
  <c r="W394" i="10"/>
  <c r="X394" i="10"/>
  <c r="V395" i="10"/>
  <c r="X395" i="10" s="1"/>
  <c r="W395" i="10"/>
  <c r="V396" i="10"/>
  <c r="X396" i="10" s="1"/>
  <c r="W396" i="10"/>
  <c r="V397" i="10"/>
  <c r="W397" i="10"/>
  <c r="X397" i="10" s="1"/>
  <c r="V398" i="10"/>
  <c r="W398" i="10"/>
  <c r="X398" i="10"/>
  <c r="V399" i="10"/>
  <c r="X399" i="10" s="1"/>
  <c r="W399" i="10"/>
  <c r="V400" i="10"/>
  <c r="X400" i="10" s="1"/>
  <c r="W400" i="10"/>
  <c r="V401" i="10"/>
  <c r="W401" i="10"/>
  <c r="X401" i="10" s="1"/>
  <c r="V402" i="10"/>
  <c r="W402" i="10"/>
  <c r="X402" i="10"/>
  <c r="V403" i="10"/>
  <c r="X403" i="10" s="1"/>
  <c r="W403" i="10"/>
  <c r="V404" i="10"/>
  <c r="X404" i="10" s="1"/>
  <c r="W404" i="10"/>
  <c r="V405" i="10"/>
  <c r="W405" i="10"/>
  <c r="X405" i="10" s="1"/>
  <c r="V406" i="10"/>
  <c r="W406" i="10"/>
  <c r="X406" i="10"/>
  <c r="V407" i="10"/>
  <c r="X407" i="10" s="1"/>
  <c r="W407" i="10"/>
  <c r="V408" i="10"/>
  <c r="X408" i="10" s="1"/>
  <c r="W408" i="10"/>
  <c r="V409" i="10"/>
  <c r="W409" i="10"/>
  <c r="X409" i="10" s="1"/>
  <c r="V410" i="10"/>
  <c r="W410" i="10"/>
  <c r="X410" i="10"/>
  <c r="V411" i="10"/>
  <c r="X411" i="10" s="1"/>
  <c r="W411" i="10"/>
  <c r="V412" i="10"/>
  <c r="X412" i="10" s="1"/>
  <c r="W412" i="10"/>
  <c r="V413" i="10"/>
  <c r="W413" i="10"/>
  <c r="X413" i="10" s="1"/>
  <c r="V414" i="10"/>
  <c r="W414" i="10"/>
  <c r="X414" i="10"/>
  <c r="V415" i="10"/>
  <c r="X415" i="10" s="1"/>
  <c r="W415" i="10"/>
  <c r="V416" i="10"/>
  <c r="X416" i="10" s="1"/>
  <c r="W416" i="10"/>
  <c r="V417" i="10"/>
  <c r="W417" i="10"/>
  <c r="X417" i="10" s="1"/>
  <c r="V418" i="10"/>
  <c r="W418" i="10"/>
  <c r="X418" i="10"/>
  <c r="V419" i="10"/>
  <c r="X419" i="10" s="1"/>
  <c r="W419" i="10"/>
  <c r="V420" i="10"/>
  <c r="X420" i="10" s="1"/>
  <c r="W420" i="10"/>
  <c r="V421" i="10"/>
  <c r="W421" i="10"/>
  <c r="X421" i="10" s="1"/>
  <c r="V422" i="10"/>
  <c r="W422" i="10"/>
  <c r="X422" i="10"/>
  <c r="V423" i="10"/>
  <c r="X423" i="10" s="1"/>
  <c r="W423" i="10"/>
  <c r="V424" i="10"/>
  <c r="X424" i="10" s="1"/>
  <c r="W424" i="10"/>
  <c r="V425" i="10"/>
  <c r="W425" i="10"/>
  <c r="X425" i="10" s="1"/>
  <c r="V426" i="10"/>
  <c r="W426" i="10"/>
  <c r="X426" i="10"/>
  <c r="V427" i="10"/>
  <c r="X427" i="10" s="1"/>
  <c r="W427" i="10"/>
  <c r="V428" i="10"/>
  <c r="X428" i="10" s="1"/>
  <c r="W428" i="10"/>
  <c r="V429" i="10"/>
  <c r="W429" i="10"/>
  <c r="X429" i="10" s="1"/>
  <c r="V430" i="10"/>
  <c r="W430" i="10"/>
  <c r="X430" i="10"/>
  <c r="V431" i="10"/>
  <c r="X431" i="10" s="1"/>
  <c r="W431" i="10"/>
  <c r="V432" i="10"/>
  <c r="X432" i="10" s="1"/>
  <c r="W432" i="10"/>
  <c r="V433" i="10"/>
  <c r="W433" i="10"/>
  <c r="X433" i="10" s="1"/>
  <c r="V434" i="10"/>
  <c r="W434" i="10"/>
  <c r="X434" i="10"/>
  <c r="V435" i="10"/>
  <c r="X435" i="10" s="1"/>
  <c r="W435" i="10"/>
  <c r="V436" i="10"/>
  <c r="X436" i="10" s="1"/>
  <c r="W436" i="10"/>
  <c r="V437" i="10"/>
  <c r="W437" i="10"/>
  <c r="X437" i="10" s="1"/>
  <c r="V438" i="10"/>
  <c r="W438" i="10"/>
  <c r="X438" i="10"/>
  <c r="V439" i="10"/>
  <c r="X439" i="10" s="1"/>
  <c r="W439" i="10"/>
  <c r="V440" i="10"/>
  <c r="X440" i="10" s="1"/>
  <c r="W440" i="10"/>
  <c r="V441" i="10"/>
  <c r="W441" i="10"/>
  <c r="X441" i="10" s="1"/>
  <c r="V442" i="10"/>
  <c r="W442" i="10"/>
  <c r="X442" i="10"/>
  <c r="V443" i="10"/>
  <c r="X443" i="10" s="1"/>
  <c r="W443" i="10"/>
  <c r="V444" i="10"/>
  <c r="X444" i="10" s="1"/>
  <c r="W444" i="10"/>
  <c r="V445" i="10"/>
  <c r="W445" i="10"/>
  <c r="X445" i="10" s="1"/>
  <c r="V446" i="10"/>
  <c r="W446" i="10"/>
  <c r="X446" i="10"/>
  <c r="V447" i="10"/>
  <c r="X447" i="10" s="1"/>
  <c r="W447" i="10"/>
  <c r="V448" i="10"/>
  <c r="X448" i="10" s="1"/>
  <c r="W448" i="10"/>
  <c r="V449" i="10"/>
  <c r="W449" i="10"/>
  <c r="X449" i="10" s="1"/>
  <c r="V450" i="10"/>
  <c r="W450" i="10"/>
  <c r="X450" i="10"/>
  <c r="V451" i="10"/>
  <c r="X451" i="10" s="1"/>
  <c r="W451" i="10"/>
  <c r="V452" i="10"/>
  <c r="X452" i="10" s="1"/>
  <c r="W452" i="10"/>
  <c r="V453" i="10"/>
  <c r="W453" i="10"/>
  <c r="X453" i="10" s="1"/>
  <c r="V454" i="10"/>
  <c r="W454" i="10"/>
  <c r="X454" i="10"/>
  <c r="V455" i="10"/>
  <c r="X455" i="10" s="1"/>
  <c r="W455" i="10"/>
  <c r="V456" i="10"/>
  <c r="X456" i="10" s="1"/>
  <c r="W456" i="10"/>
  <c r="V457" i="10"/>
  <c r="W457" i="10"/>
  <c r="X457" i="10" s="1"/>
  <c r="V458" i="10"/>
  <c r="W458" i="10"/>
  <c r="X458" i="10"/>
  <c r="V459" i="10"/>
  <c r="X459" i="10" s="1"/>
  <c r="W459" i="10"/>
  <c r="V460" i="10"/>
  <c r="X460" i="10" s="1"/>
  <c r="W460" i="10"/>
  <c r="V461" i="10"/>
  <c r="W461" i="10"/>
  <c r="X461" i="10" s="1"/>
  <c r="V462" i="10"/>
  <c r="W462" i="10"/>
  <c r="X462" i="10"/>
  <c r="V463" i="10"/>
  <c r="X463" i="10" s="1"/>
  <c r="W463" i="10"/>
  <c r="V464" i="10"/>
  <c r="X464" i="10" s="1"/>
  <c r="W464" i="10"/>
  <c r="V465" i="10"/>
  <c r="W465" i="10"/>
  <c r="X465" i="10" s="1"/>
  <c r="V466" i="10"/>
  <c r="W466" i="10"/>
  <c r="X466" i="10"/>
  <c r="V467" i="10"/>
  <c r="X467" i="10" s="1"/>
  <c r="W467" i="10"/>
  <c r="V468" i="10"/>
  <c r="X468" i="10" s="1"/>
  <c r="W468" i="10"/>
  <c r="V469" i="10"/>
  <c r="W469" i="10"/>
  <c r="X469" i="10" s="1"/>
  <c r="V470" i="10"/>
  <c r="W470" i="10"/>
  <c r="X470" i="10"/>
  <c r="V471" i="10"/>
  <c r="X471" i="10" s="1"/>
  <c r="W471" i="10"/>
  <c r="V472" i="10"/>
  <c r="X472" i="10" s="1"/>
  <c r="W472" i="10"/>
  <c r="V473" i="10"/>
  <c r="W473" i="10"/>
  <c r="X473" i="10" s="1"/>
  <c r="V474" i="10"/>
  <c r="W474" i="10"/>
  <c r="X474" i="10"/>
  <c r="V475" i="10"/>
  <c r="X475" i="10" s="1"/>
  <c r="W475" i="10"/>
  <c r="V476" i="10"/>
  <c r="X476" i="10" s="1"/>
  <c r="W476" i="10"/>
  <c r="V477" i="10"/>
  <c r="W477" i="10"/>
  <c r="X477" i="10" s="1"/>
  <c r="V478" i="10"/>
  <c r="W478" i="10"/>
  <c r="X478" i="10"/>
  <c r="V479" i="10"/>
  <c r="X479" i="10" s="1"/>
  <c r="W479" i="10"/>
  <c r="V480" i="10"/>
  <c r="X480" i="10" s="1"/>
  <c r="W480" i="10"/>
  <c r="V481" i="10"/>
  <c r="W481" i="10"/>
  <c r="X481" i="10" s="1"/>
  <c r="V482" i="10"/>
  <c r="W482" i="10"/>
  <c r="X482" i="10"/>
  <c r="V483" i="10"/>
  <c r="X483" i="10" s="1"/>
  <c r="W483" i="10"/>
  <c r="V484" i="10"/>
  <c r="X484" i="10" s="1"/>
  <c r="W484" i="10"/>
  <c r="V485" i="10"/>
  <c r="W485" i="10"/>
  <c r="X485" i="10" s="1"/>
  <c r="V486" i="10"/>
  <c r="W486" i="10"/>
  <c r="X486" i="10"/>
  <c r="V487" i="10"/>
  <c r="X487" i="10" s="1"/>
  <c r="W487" i="10"/>
  <c r="V488" i="10"/>
  <c r="X488" i="10" s="1"/>
  <c r="W488" i="10"/>
  <c r="V489" i="10"/>
  <c r="W489" i="10"/>
  <c r="X489" i="10" s="1"/>
  <c r="V490" i="10"/>
  <c r="W490" i="10"/>
  <c r="X490" i="10"/>
  <c r="V491" i="10"/>
  <c r="X491" i="10" s="1"/>
  <c r="W491" i="10"/>
  <c r="V492" i="10"/>
  <c r="X492" i="10" s="1"/>
  <c r="W492" i="10"/>
  <c r="V493" i="10"/>
  <c r="W493" i="10"/>
  <c r="X493" i="10" s="1"/>
  <c r="V494" i="10"/>
  <c r="W494" i="10"/>
  <c r="X494" i="10"/>
  <c r="V495" i="10"/>
  <c r="X495" i="10" s="1"/>
  <c r="W495" i="10"/>
  <c r="V496" i="10"/>
  <c r="X496" i="10" s="1"/>
  <c r="W496" i="10"/>
  <c r="V497" i="10"/>
  <c r="W497" i="10"/>
  <c r="X497" i="10" s="1"/>
  <c r="V498" i="10"/>
  <c r="W498" i="10"/>
  <c r="X498" i="10"/>
  <c r="V499" i="10"/>
  <c r="X499" i="10" s="1"/>
  <c r="W499" i="10"/>
  <c r="V500" i="10"/>
  <c r="X500" i="10" s="1"/>
  <c r="W500" i="10"/>
  <c r="V501" i="10"/>
  <c r="W501" i="10"/>
  <c r="X501" i="10" s="1"/>
  <c r="V502" i="10"/>
  <c r="W502" i="10"/>
  <c r="X502" i="10"/>
  <c r="V503" i="10"/>
  <c r="X503" i="10" s="1"/>
  <c r="W503" i="10"/>
  <c r="V504" i="10"/>
  <c r="X504" i="10" s="1"/>
  <c r="W504" i="10"/>
  <c r="V505" i="10"/>
  <c r="W505" i="10"/>
  <c r="X505" i="10" s="1"/>
  <c r="V506" i="10"/>
  <c r="W506" i="10"/>
  <c r="X506" i="10"/>
  <c r="V507" i="10"/>
  <c r="X507" i="10" s="1"/>
  <c r="W507" i="10"/>
  <c r="V508" i="10"/>
  <c r="X508" i="10" s="1"/>
  <c r="W508" i="10"/>
  <c r="V509" i="10"/>
  <c r="W509" i="10"/>
  <c r="X509" i="10" s="1"/>
  <c r="V510" i="10"/>
  <c r="W510" i="10"/>
  <c r="X510" i="10"/>
  <c r="V511" i="10"/>
  <c r="X511" i="10" s="1"/>
  <c r="W511" i="10"/>
  <c r="V512" i="10"/>
  <c r="X512" i="10" s="1"/>
  <c r="W512" i="10"/>
  <c r="V513" i="10"/>
  <c r="W513" i="10"/>
  <c r="X513" i="10" s="1"/>
  <c r="V514" i="10"/>
  <c r="W514" i="10"/>
  <c r="X514" i="10"/>
  <c r="V515" i="10"/>
  <c r="X515" i="10" s="1"/>
  <c r="W515" i="10"/>
  <c r="V516" i="10"/>
  <c r="X516" i="10" s="1"/>
  <c r="W516" i="10"/>
  <c r="V517" i="10"/>
  <c r="W517" i="10"/>
  <c r="X517" i="10" s="1"/>
  <c r="V518" i="10"/>
  <c r="W518" i="10"/>
  <c r="X518" i="10"/>
  <c r="V519" i="10"/>
  <c r="X519" i="10" s="1"/>
  <c r="W519" i="10"/>
  <c r="V520" i="10"/>
  <c r="X520" i="10" s="1"/>
  <c r="W520" i="10"/>
  <c r="V521" i="10"/>
  <c r="W521" i="10"/>
  <c r="X521" i="10" s="1"/>
  <c r="V522" i="10"/>
  <c r="W522" i="10"/>
  <c r="X522" i="10"/>
  <c r="V523" i="10"/>
  <c r="X523" i="10" s="1"/>
  <c r="W523" i="10"/>
  <c r="V524" i="10"/>
  <c r="X524" i="10" s="1"/>
  <c r="W524" i="10"/>
  <c r="V525" i="10"/>
  <c r="W525" i="10"/>
  <c r="X525" i="10" s="1"/>
  <c r="V526" i="10"/>
  <c r="W526" i="10"/>
  <c r="X526" i="10"/>
  <c r="V527" i="10"/>
  <c r="X527" i="10" s="1"/>
  <c r="W527" i="10"/>
  <c r="V528" i="10"/>
  <c r="X528" i="10" s="1"/>
  <c r="W528" i="10"/>
  <c r="V529" i="10"/>
  <c r="W529" i="10"/>
  <c r="X529" i="10" s="1"/>
  <c r="V530" i="10"/>
  <c r="W530" i="10"/>
  <c r="X530" i="10"/>
  <c r="V531" i="10"/>
  <c r="X531" i="10" s="1"/>
  <c r="W531" i="10"/>
  <c r="V532" i="10"/>
  <c r="X532" i="10" s="1"/>
  <c r="W532" i="10"/>
  <c r="V533" i="10"/>
  <c r="W533" i="10"/>
  <c r="X533" i="10" s="1"/>
  <c r="V534" i="10"/>
  <c r="W534" i="10"/>
  <c r="X534" i="10"/>
  <c r="V535" i="10"/>
  <c r="X535" i="10" s="1"/>
  <c r="W535" i="10"/>
  <c r="V536" i="10"/>
  <c r="X536" i="10" s="1"/>
  <c r="W536" i="10"/>
  <c r="V537" i="10"/>
  <c r="W537" i="10"/>
  <c r="X537" i="10" s="1"/>
  <c r="V538" i="10"/>
  <c r="W538" i="10"/>
  <c r="X538" i="10"/>
  <c r="V539" i="10"/>
  <c r="X539" i="10" s="1"/>
  <c r="W539" i="10"/>
  <c r="V540" i="10"/>
  <c r="X540" i="10" s="1"/>
  <c r="W540" i="10"/>
  <c r="V541" i="10"/>
  <c r="W541" i="10"/>
  <c r="X541" i="10" s="1"/>
  <c r="V542" i="10"/>
  <c r="W542" i="10"/>
  <c r="X542" i="10"/>
  <c r="V543" i="10"/>
  <c r="X543" i="10" s="1"/>
  <c r="W543" i="10"/>
  <c r="V544" i="10"/>
  <c r="X544" i="10" s="1"/>
  <c r="W544" i="10"/>
  <c r="V545" i="10"/>
  <c r="W545" i="10"/>
  <c r="X545" i="10" s="1"/>
  <c r="V546" i="10"/>
  <c r="W546" i="10"/>
  <c r="X546" i="10"/>
  <c r="V547" i="10"/>
  <c r="X547" i="10" s="1"/>
  <c r="W547" i="10"/>
  <c r="V548" i="10"/>
  <c r="X548" i="10" s="1"/>
  <c r="W548" i="10"/>
  <c r="V549" i="10"/>
  <c r="W549" i="10"/>
  <c r="X549" i="10" s="1"/>
  <c r="V550" i="10"/>
  <c r="W550" i="10"/>
  <c r="X550" i="10"/>
  <c r="V551" i="10"/>
  <c r="X551" i="10" s="1"/>
  <c r="W551" i="10"/>
  <c r="V552" i="10"/>
  <c r="X552" i="10" s="1"/>
  <c r="W552" i="10"/>
  <c r="V553" i="10"/>
  <c r="W553" i="10"/>
  <c r="X553" i="10" s="1"/>
  <c r="V554" i="10"/>
  <c r="W554" i="10"/>
  <c r="X554" i="10"/>
  <c r="V555" i="10"/>
  <c r="X555" i="10" s="1"/>
  <c r="W555" i="10"/>
  <c r="V556" i="10"/>
  <c r="X556" i="10" s="1"/>
  <c r="W556" i="10"/>
  <c r="V557" i="10"/>
  <c r="W557" i="10"/>
  <c r="X557" i="10" s="1"/>
  <c r="V558" i="10"/>
  <c r="W558" i="10"/>
  <c r="X558" i="10"/>
  <c r="V559" i="10"/>
  <c r="X559" i="10" s="1"/>
  <c r="W559" i="10"/>
  <c r="V560" i="10"/>
  <c r="X560" i="10" s="1"/>
  <c r="W560" i="10"/>
  <c r="V561" i="10"/>
  <c r="W561" i="10"/>
  <c r="X561" i="10" s="1"/>
  <c r="V562" i="10"/>
  <c r="W562" i="10"/>
  <c r="X562" i="10"/>
  <c r="V563" i="10"/>
  <c r="X563" i="10" s="1"/>
  <c r="W563" i="10"/>
  <c r="V564" i="10"/>
  <c r="X564" i="10" s="1"/>
  <c r="W564" i="10"/>
  <c r="V565" i="10"/>
  <c r="W565" i="10"/>
  <c r="X565" i="10" s="1"/>
  <c r="V566" i="10"/>
  <c r="W566" i="10"/>
  <c r="X566" i="10"/>
  <c r="V567" i="10"/>
  <c r="X567" i="10" s="1"/>
  <c r="W567" i="10"/>
  <c r="V568" i="10"/>
  <c r="X568" i="10" s="1"/>
  <c r="W568" i="10"/>
  <c r="V569" i="10"/>
  <c r="W569" i="10"/>
  <c r="X569" i="10" s="1"/>
  <c r="V570" i="10"/>
  <c r="W570" i="10"/>
  <c r="X570" i="10"/>
  <c r="V571" i="10"/>
  <c r="X571" i="10" s="1"/>
  <c r="W571" i="10"/>
  <c r="V572" i="10"/>
  <c r="X572" i="10" s="1"/>
  <c r="W572" i="10"/>
  <c r="V573" i="10"/>
  <c r="W573" i="10"/>
  <c r="X573" i="10" s="1"/>
  <c r="V574" i="10"/>
  <c r="W574" i="10"/>
  <c r="X574" i="10"/>
  <c r="V575" i="10"/>
  <c r="X575" i="10" s="1"/>
  <c r="W575" i="10"/>
  <c r="V576" i="10"/>
  <c r="X576" i="10" s="1"/>
  <c r="W576" i="10"/>
  <c r="V577" i="10"/>
  <c r="W577" i="10"/>
  <c r="X577" i="10" s="1"/>
  <c r="V578" i="10"/>
  <c r="W578" i="10"/>
  <c r="X578" i="10"/>
  <c r="V579" i="10"/>
  <c r="X579" i="10" s="1"/>
  <c r="W579" i="10"/>
  <c r="V580" i="10"/>
  <c r="X580" i="10" s="1"/>
  <c r="W580" i="10"/>
  <c r="V581" i="10"/>
  <c r="W581" i="10"/>
  <c r="X581" i="10" s="1"/>
  <c r="V582" i="10"/>
  <c r="W582" i="10"/>
  <c r="X582" i="10"/>
  <c r="V583" i="10"/>
  <c r="X583" i="10" s="1"/>
  <c r="W583" i="10"/>
  <c r="V584" i="10"/>
  <c r="X584" i="10" s="1"/>
  <c r="W584" i="10"/>
  <c r="V585" i="10"/>
  <c r="W585" i="10"/>
  <c r="X585" i="10" s="1"/>
  <c r="V586" i="10"/>
  <c r="W586" i="10"/>
  <c r="X586" i="10"/>
  <c r="V587" i="10"/>
  <c r="X587" i="10" s="1"/>
  <c r="W587" i="10"/>
  <c r="V588" i="10"/>
  <c r="X588" i="10" s="1"/>
  <c r="W588" i="10"/>
  <c r="V589" i="10"/>
  <c r="W589" i="10"/>
  <c r="X589" i="10" s="1"/>
  <c r="V590" i="10"/>
  <c r="W590" i="10"/>
  <c r="X590" i="10"/>
  <c r="V591" i="10"/>
  <c r="X591" i="10" s="1"/>
  <c r="W591" i="10"/>
  <c r="V592" i="10"/>
  <c r="X592" i="10" s="1"/>
  <c r="W592" i="10"/>
  <c r="V593" i="10"/>
  <c r="W593" i="10"/>
  <c r="X593" i="10" s="1"/>
  <c r="V594" i="10"/>
  <c r="W594" i="10"/>
  <c r="X594" i="10"/>
  <c r="V595" i="10"/>
  <c r="X595" i="10" s="1"/>
  <c r="W595" i="10"/>
  <c r="V596" i="10"/>
  <c r="X596" i="10" s="1"/>
  <c r="W596" i="10"/>
  <c r="V597" i="10"/>
  <c r="W597" i="10"/>
  <c r="X597" i="10" s="1"/>
  <c r="V598" i="10"/>
  <c r="W598" i="10"/>
  <c r="X598" i="10"/>
  <c r="V599" i="10"/>
  <c r="X599" i="10" s="1"/>
  <c r="W599" i="10"/>
  <c r="V600" i="10"/>
  <c r="X600" i="10" s="1"/>
  <c r="W600" i="10"/>
  <c r="V601" i="10"/>
  <c r="W601" i="10"/>
  <c r="X601" i="10" s="1"/>
  <c r="V602" i="10"/>
  <c r="W602" i="10"/>
  <c r="X602" i="10"/>
  <c r="V603" i="10"/>
  <c r="X603" i="10" s="1"/>
  <c r="W603" i="10"/>
  <c r="V604" i="10"/>
  <c r="X604" i="10" s="1"/>
  <c r="W604" i="10"/>
  <c r="V605" i="10"/>
  <c r="W605" i="10"/>
  <c r="X605" i="10" s="1"/>
  <c r="V606" i="10"/>
  <c r="W606" i="10"/>
  <c r="X606" i="10"/>
  <c r="V607" i="10"/>
  <c r="X607" i="10" s="1"/>
  <c r="W607" i="10"/>
  <c r="V608" i="10"/>
  <c r="X608" i="10" s="1"/>
  <c r="W608" i="10"/>
  <c r="V609" i="10"/>
  <c r="W609" i="10"/>
  <c r="X609" i="10" s="1"/>
  <c r="V610" i="10"/>
  <c r="W610" i="10"/>
  <c r="X610" i="10"/>
  <c r="V611" i="10"/>
  <c r="X611" i="10" s="1"/>
  <c r="W611" i="10"/>
  <c r="V612" i="10"/>
  <c r="X612" i="10" s="1"/>
  <c r="W612" i="10"/>
  <c r="V613" i="10"/>
  <c r="W613" i="10"/>
  <c r="X613" i="10" s="1"/>
  <c r="V614" i="10"/>
  <c r="W614" i="10"/>
  <c r="X614" i="10"/>
  <c r="V615" i="10"/>
  <c r="X615" i="10" s="1"/>
  <c r="W615" i="10"/>
  <c r="V616" i="10"/>
  <c r="X616" i="10" s="1"/>
  <c r="W616" i="10"/>
  <c r="V617" i="10"/>
  <c r="W617" i="10"/>
  <c r="X617" i="10" s="1"/>
  <c r="V618" i="10"/>
  <c r="W618" i="10"/>
  <c r="X618" i="10"/>
  <c r="V619" i="10"/>
  <c r="X619" i="10" s="1"/>
  <c r="W619" i="10"/>
  <c r="V620" i="10"/>
  <c r="X620" i="10" s="1"/>
  <c r="W620" i="10"/>
  <c r="V621" i="10"/>
  <c r="W621" i="10"/>
  <c r="X621" i="10" s="1"/>
  <c r="V622" i="10"/>
  <c r="W622" i="10"/>
  <c r="X622" i="10"/>
  <c r="V623" i="10"/>
  <c r="X623" i="10" s="1"/>
  <c r="W623" i="10"/>
  <c r="V624" i="10"/>
  <c r="X624" i="10" s="1"/>
  <c r="W624" i="10"/>
  <c r="V625" i="10"/>
  <c r="W625" i="10"/>
  <c r="X625" i="10" s="1"/>
  <c r="V626" i="10"/>
  <c r="W626" i="10"/>
  <c r="X626" i="10"/>
  <c r="V627" i="10"/>
  <c r="X627" i="10" s="1"/>
  <c r="W627" i="10"/>
  <c r="V628" i="10"/>
  <c r="X628" i="10" s="1"/>
  <c r="W628" i="10"/>
  <c r="V629" i="10"/>
  <c r="W629" i="10"/>
  <c r="X629" i="10" s="1"/>
  <c r="V630" i="10"/>
  <c r="W630" i="10"/>
  <c r="X630" i="10"/>
  <c r="V631" i="10"/>
  <c r="X631" i="10" s="1"/>
  <c r="W631" i="10"/>
  <c r="V632" i="10"/>
  <c r="X632" i="10" s="1"/>
  <c r="W632" i="10"/>
  <c r="V633" i="10"/>
  <c r="W633" i="10"/>
  <c r="X633" i="10" s="1"/>
  <c r="V634" i="10"/>
  <c r="W634" i="10"/>
  <c r="X634" i="10"/>
  <c r="V635" i="10"/>
  <c r="X635" i="10" s="1"/>
  <c r="W635" i="10"/>
  <c r="V636" i="10"/>
  <c r="X636" i="10" s="1"/>
  <c r="W636" i="10"/>
  <c r="V637" i="10"/>
  <c r="W637" i="10"/>
  <c r="X637" i="10" s="1"/>
  <c r="V638" i="10"/>
  <c r="W638" i="10"/>
  <c r="X638" i="10"/>
  <c r="V639" i="10"/>
  <c r="X639" i="10" s="1"/>
  <c r="W639" i="10"/>
  <c r="V640" i="10"/>
  <c r="X640" i="10" s="1"/>
  <c r="W640" i="10"/>
  <c r="V641" i="10"/>
  <c r="W641" i="10"/>
  <c r="X641" i="10" s="1"/>
  <c r="V642" i="10"/>
  <c r="W642" i="10"/>
  <c r="X642" i="10"/>
  <c r="V643" i="10"/>
  <c r="X643" i="10" s="1"/>
  <c r="W643" i="10"/>
  <c r="V644" i="10"/>
  <c r="X644" i="10" s="1"/>
  <c r="W644" i="10"/>
  <c r="V645" i="10"/>
  <c r="W645" i="10"/>
  <c r="X645" i="10" s="1"/>
  <c r="V646" i="10"/>
  <c r="W646" i="10"/>
  <c r="X646" i="10"/>
  <c r="V647" i="10"/>
  <c r="X647" i="10" s="1"/>
  <c r="W647" i="10"/>
  <c r="V648" i="10"/>
  <c r="X648" i="10" s="1"/>
  <c r="W648" i="10"/>
  <c r="V649" i="10"/>
  <c r="W649" i="10"/>
  <c r="X649" i="10" s="1"/>
  <c r="V650" i="10"/>
  <c r="W650" i="10"/>
  <c r="X650" i="10"/>
  <c r="V651" i="10"/>
  <c r="X651" i="10" s="1"/>
  <c r="W651" i="10"/>
  <c r="V652" i="10"/>
  <c r="X652" i="10" s="1"/>
  <c r="W652" i="10"/>
  <c r="V653" i="10"/>
  <c r="W653" i="10"/>
  <c r="X653" i="10" s="1"/>
  <c r="V654" i="10"/>
  <c r="W654" i="10"/>
  <c r="X654" i="10"/>
  <c r="V655" i="10"/>
  <c r="X655" i="10" s="1"/>
  <c r="W655" i="10"/>
  <c r="V656" i="10"/>
  <c r="W656" i="10"/>
  <c r="V657" i="10"/>
  <c r="W657" i="10"/>
  <c r="X657" i="10" s="1"/>
  <c r="V658" i="10"/>
  <c r="W658" i="10"/>
  <c r="X658" i="10"/>
  <c r="V659" i="10"/>
  <c r="W659" i="10"/>
  <c r="V660" i="10"/>
  <c r="X660" i="10" s="1"/>
  <c r="W660" i="10"/>
  <c r="V661" i="10"/>
  <c r="X661" i="10" s="1"/>
  <c r="W661" i="10"/>
  <c r="V662" i="10"/>
  <c r="W662" i="10"/>
  <c r="X662" i="10" s="1"/>
  <c r="V663" i="10"/>
  <c r="W663" i="10"/>
  <c r="X663" i="10"/>
  <c r="V664" i="10"/>
  <c r="X664" i="10" s="1"/>
  <c r="W664" i="10"/>
  <c r="V665" i="10"/>
  <c r="X665" i="10" s="1"/>
  <c r="W665" i="10"/>
  <c r="V666" i="10"/>
  <c r="W666" i="10"/>
  <c r="X666" i="10" s="1"/>
  <c r="V667" i="10"/>
  <c r="W667" i="10"/>
  <c r="X667" i="10"/>
  <c r="V668" i="10"/>
  <c r="X668" i="10" s="1"/>
  <c r="W668" i="10"/>
  <c r="V669" i="10"/>
  <c r="X669" i="10" s="1"/>
  <c r="W669" i="10"/>
  <c r="V670" i="10"/>
  <c r="W670" i="10"/>
  <c r="X670" i="10" s="1"/>
  <c r="V671" i="10"/>
  <c r="W671" i="10"/>
  <c r="X671" i="10"/>
  <c r="V672" i="10"/>
  <c r="X672" i="10" s="1"/>
  <c r="W672" i="10"/>
  <c r="V673" i="10"/>
  <c r="X673" i="10" s="1"/>
  <c r="W673" i="10"/>
  <c r="V674" i="10"/>
  <c r="W674" i="10"/>
  <c r="X674" i="10" s="1"/>
  <c r="V675" i="10"/>
  <c r="W675" i="10"/>
  <c r="X675" i="10"/>
  <c r="V676" i="10"/>
  <c r="X676" i="10" s="1"/>
  <c r="W676" i="10"/>
  <c r="V677" i="10"/>
  <c r="X677" i="10" s="1"/>
  <c r="W677" i="10"/>
  <c r="V678" i="10"/>
  <c r="W678" i="10"/>
  <c r="X678" i="10" s="1"/>
  <c r="V679" i="10"/>
  <c r="W679" i="10"/>
  <c r="X679" i="10"/>
  <c r="V680" i="10"/>
  <c r="X680" i="10" s="1"/>
  <c r="W680" i="10"/>
  <c r="V681" i="10"/>
  <c r="X681" i="10" s="1"/>
  <c r="W681" i="10"/>
  <c r="V682" i="10"/>
  <c r="W682" i="10"/>
  <c r="X682" i="10" s="1"/>
  <c r="V683" i="10"/>
  <c r="W683" i="10"/>
  <c r="X683" i="10"/>
  <c r="V684" i="10"/>
  <c r="X684" i="10" s="1"/>
  <c r="W684" i="10"/>
  <c r="V685" i="10"/>
  <c r="X685" i="10" s="1"/>
  <c r="W685" i="10"/>
  <c r="V686" i="10"/>
  <c r="W686" i="10"/>
  <c r="X686" i="10" s="1"/>
  <c r="V687" i="10"/>
  <c r="W687" i="10"/>
  <c r="X687" i="10"/>
  <c r="V688" i="10"/>
  <c r="X688" i="10" s="1"/>
  <c r="W688" i="10"/>
  <c r="V689" i="10"/>
  <c r="X689" i="10" s="1"/>
  <c r="W689" i="10"/>
  <c r="V690" i="10"/>
  <c r="W690" i="10"/>
  <c r="X690" i="10" s="1"/>
  <c r="V691" i="10"/>
  <c r="W691" i="10"/>
  <c r="X691" i="10"/>
  <c r="V692" i="10"/>
  <c r="X692" i="10" s="1"/>
  <c r="W692" i="10"/>
  <c r="V693" i="10"/>
  <c r="X693" i="10" s="1"/>
  <c r="W693" i="10"/>
  <c r="V694" i="10"/>
  <c r="W694" i="10"/>
  <c r="X694" i="10" s="1"/>
  <c r="V695" i="10"/>
  <c r="W695" i="10"/>
  <c r="X695" i="10"/>
  <c r="V696" i="10"/>
  <c r="X696" i="10" s="1"/>
  <c r="W696" i="10"/>
  <c r="V697" i="10"/>
  <c r="X697" i="10" s="1"/>
  <c r="W697" i="10"/>
  <c r="V698" i="10"/>
  <c r="W698" i="10"/>
  <c r="X698" i="10" s="1"/>
  <c r="V699" i="10"/>
  <c r="W699" i="10"/>
  <c r="X699" i="10"/>
  <c r="V700" i="10"/>
  <c r="X700" i="10" s="1"/>
  <c r="W700" i="10"/>
  <c r="V701" i="10"/>
  <c r="X701" i="10" s="1"/>
  <c r="W701" i="10"/>
  <c r="V702" i="10"/>
  <c r="W702" i="10"/>
  <c r="X702" i="10" s="1"/>
  <c r="V703" i="10"/>
  <c r="W703" i="10"/>
  <c r="X703" i="10"/>
  <c r="V704" i="10"/>
  <c r="X704" i="10" s="1"/>
  <c r="W704" i="10"/>
  <c r="V705" i="10"/>
  <c r="X705" i="10" s="1"/>
  <c r="W705" i="10"/>
  <c r="V706" i="10"/>
  <c r="W706" i="10"/>
  <c r="X706" i="10" s="1"/>
  <c r="V707" i="10"/>
  <c r="W707" i="10"/>
  <c r="X707" i="10"/>
  <c r="V708" i="10"/>
  <c r="X708" i="10" s="1"/>
  <c r="W708" i="10"/>
  <c r="V709" i="10"/>
  <c r="X709" i="10" s="1"/>
  <c r="W709" i="10"/>
  <c r="V710" i="10"/>
  <c r="W710" i="10"/>
  <c r="X710" i="10" s="1"/>
  <c r="V711" i="10"/>
  <c r="W711" i="10"/>
  <c r="X711" i="10"/>
  <c r="V712" i="10"/>
  <c r="X712" i="10" s="1"/>
  <c r="W712" i="10"/>
  <c r="V713" i="10"/>
  <c r="X713" i="10" s="1"/>
  <c r="W713" i="10"/>
  <c r="V714" i="10"/>
  <c r="W714" i="10"/>
  <c r="X714" i="10" s="1"/>
  <c r="V715" i="10"/>
  <c r="W715" i="10"/>
  <c r="X715" i="10"/>
  <c r="V716" i="10"/>
  <c r="X716" i="10" s="1"/>
  <c r="W716" i="10"/>
  <c r="V717" i="10"/>
  <c r="X717" i="10" s="1"/>
  <c r="W717" i="10"/>
  <c r="V718" i="10"/>
  <c r="W718" i="10"/>
  <c r="X718" i="10" s="1"/>
  <c r="V719" i="10"/>
  <c r="W719" i="10"/>
  <c r="X719" i="10"/>
  <c r="V720" i="10"/>
  <c r="X720" i="10" s="1"/>
  <c r="W720" i="10"/>
  <c r="V721" i="10"/>
  <c r="X721" i="10" s="1"/>
  <c r="W721" i="10"/>
  <c r="V722" i="10"/>
  <c r="W722" i="10"/>
  <c r="X722" i="10" s="1"/>
  <c r="V723" i="10"/>
  <c r="W723" i="10"/>
  <c r="X723" i="10"/>
  <c r="V724" i="10"/>
  <c r="X724" i="10" s="1"/>
  <c r="W724" i="10"/>
  <c r="V725" i="10"/>
  <c r="X725" i="10" s="1"/>
  <c r="W725" i="10"/>
  <c r="V726" i="10"/>
  <c r="W726" i="10"/>
  <c r="X726" i="10" s="1"/>
  <c r="V727" i="10"/>
  <c r="W727" i="10"/>
  <c r="X727" i="10"/>
  <c r="V728" i="10"/>
  <c r="X728" i="10" s="1"/>
  <c r="W728" i="10"/>
  <c r="V729" i="10"/>
  <c r="X729" i="10" s="1"/>
  <c r="W729" i="10"/>
  <c r="V730" i="10"/>
  <c r="W730" i="10"/>
  <c r="X730" i="10" s="1"/>
  <c r="V731" i="10"/>
  <c r="W731" i="10"/>
  <c r="X731" i="10"/>
  <c r="V732" i="10"/>
  <c r="X732" i="10" s="1"/>
  <c r="W732" i="10"/>
  <c r="V733" i="10"/>
  <c r="X733" i="10" s="1"/>
  <c r="W733" i="10"/>
  <c r="V734" i="10"/>
  <c r="W734" i="10"/>
  <c r="X734" i="10" s="1"/>
  <c r="V735" i="10"/>
  <c r="W735" i="10"/>
  <c r="X735" i="10"/>
  <c r="V736" i="10"/>
  <c r="X736" i="10" s="1"/>
  <c r="W736" i="10"/>
  <c r="V737" i="10"/>
  <c r="X737" i="10" s="1"/>
  <c r="W737" i="10"/>
  <c r="V738" i="10"/>
  <c r="W738" i="10"/>
  <c r="X738" i="10" s="1"/>
  <c r="V739" i="10"/>
  <c r="W739" i="10"/>
  <c r="X739" i="10"/>
  <c r="V740" i="10"/>
  <c r="X740" i="10" s="1"/>
  <c r="W740" i="10"/>
  <c r="V741" i="10"/>
  <c r="X741" i="10" s="1"/>
  <c r="W741" i="10"/>
  <c r="V742" i="10"/>
  <c r="W742" i="10"/>
  <c r="X742" i="10" s="1"/>
  <c r="V743" i="10"/>
  <c r="W743" i="10"/>
  <c r="X743" i="10"/>
  <c r="V744" i="10"/>
  <c r="X744" i="10" s="1"/>
  <c r="W744" i="10"/>
  <c r="V745" i="10"/>
  <c r="X745" i="10" s="1"/>
  <c r="W745" i="10"/>
  <c r="V746" i="10"/>
  <c r="W746" i="10"/>
  <c r="X746" i="10" s="1"/>
  <c r="V747" i="10"/>
  <c r="W747" i="10"/>
  <c r="X747" i="10"/>
  <c r="V748" i="10"/>
  <c r="X748" i="10" s="1"/>
  <c r="W748" i="10"/>
  <c r="V749" i="10"/>
  <c r="X749" i="10" s="1"/>
  <c r="W749" i="10"/>
  <c r="V750" i="10"/>
  <c r="W750" i="10"/>
  <c r="X750" i="10" s="1"/>
  <c r="V751" i="10"/>
  <c r="W751" i="10"/>
  <c r="X751" i="10"/>
  <c r="V752" i="10"/>
  <c r="X752" i="10" s="1"/>
  <c r="W752" i="10"/>
  <c r="V753" i="10"/>
  <c r="X753" i="10" s="1"/>
  <c r="W753" i="10"/>
  <c r="V754" i="10"/>
  <c r="W754" i="10"/>
  <c r="X754" i="10" s="1"/>
  <c r="V755" i="10"/>
  <c r="W755" i="10"/>
  <c r="X755" i="10"/>
  <c r="V756" i="10"/>
  <c r="X756" i="10" s="1"/>
  <c r="W756" i="10"/>
  <c r="V757" i="10"/>
  <c r="X757" i="10" s="1"/>
  <c r="W757" i="10"/>
  <c r="V758" i="10"/>
  <c r="W758" i="10"/>
  <c r="X758" i="10" s="1"/>
  <c r="V759" i="10"/>
  <c r="W759" i="10"/>
  <c r="X759" i="10"/>
  <c r="V760" i="10"/>
  <c r="X760" i="10" s="1"/>
  <c r="W760" i="10"/>
  <c r="V761" i="10"/>
  <c r="X761" i="10" s="1"/>
  <c r="W761" i="10"/>
  <c r="V762" i="10"/>
  <c r="W762" i="10"/>
  <c r="X762" i="10" s="1"/>
  <c r="V763" i="10"/>
  <c r="W763" i="10"/>
  <c r="X763" i="10"/>
  <c r="V764" i="10"/>
  <c r="X764" i="10" s="1"/>
  <c r="W764" i="10"/>
  <c r="V765" i="10"/>
  <c r="X765" i="10" s="1"/>
  <c r="W765" i="10"/>
  <c r="V766" i="10"/>
  <c r="W766" i="10"/>
  <c r="X766" i="10" s="1"/>
  <c r="V767" i="10"/>
  <c r="W767" i="10"/>
  <c r="X767" i="10"/>
  <c r="V768" i="10"/>
  <c r="X768" i="10" s="1"/>
  <c r="W768" i="10"/>
  <c r="V769" i="10"/>
  <c r="X769" i="10" s="1"/>
  <c r="W769" i="10"/>
  <c r="V770" i="10"/>
  <c r="X770" i="10" s="1"/>
  <c r="W770" i="10"/>
  <c r="V771" i="10"/>
  <c r="W771" i="10"/>
  <c r="X771" i="10"/>
  <c r="V772" i="10"/>
  <c r="W772" i="10"/>
  <c r="X772" i="10"/>
  <c r="V773" i="10"/>
  <c r="X773" i="10" s="1"/>
  <c r="W773" i="10"/>
  <c r="V774" i="10"/>
  <c r="X774" i="10" s="1"/>
  <c r="W774" i="10"/>
  <c r="V775" i="10"/>
  <c r="W775" i="10"/>
  <c r="X775" i="10"/>
  <c r="V776" i="10"/>
  <c r="W776" i="10"/>
  <c r="X776" i="10" s="1"/>
  <c r="V777" i="10"/>
  <c r="X777" i="10" s="1"/>
  <c r="W777" i="10"/>
  <c r="V778" i="10"/>
  <c r="X778" i="10" s="1"/>
  <c r="W778" i="10"/>
  <c r="V779" i="10"/>
  <c r="W779" i="10"/>
  <c r="X779" i="10"/>
  <c r="V780" i="10"/>
  <c r="W780" i="10"/>
  <c r="X780" i="10"/>
  <c r="V781" i="10"/>
  <c r="X781" i="10" s="1"/>
  <c r="W781" i="10"/>
  <c r="V782" i="10"/>
  <c r="X782" i="10" s="1"/>
  <c r="W782" i="10"/>
  <c r="V783" i="10"/>
  <c r="W783" i="10"/>
  <c r="X783" i="10"/>
  <c r="V784" i="10"/>
  <c r="W784" i="10"/>
  <c r="X784" i="10"/>
  <c r="V785" i="10"/>
  <c r="X785" i="10" s="1"/>
  <c r="W785" i="10"/>
  <c r="V786" i="10"/>
  <c r="X786" i="10" s="1"/>
  <c r="W786" i="10"/>
  <c r="V787" i="10"/>
  <c r="W787" i="10"/>
  <c r="X787" i="10"/>
  <c r="V788" i="10"/>
  <c r="W788" i="10"/>
  <c r="X788" i="10"/>
  <c r="V789" i="10"/>
  <c r="X789" i="10" s="1"/>
  <c r="W789" i="10"/>
  <c r="V790" i="10"/>
  <c r="X790" i="10" s="1"/>
  <c r="W790" i="10"/>
  <c r="V791" i="10"/>
  <c r="W791" i="10"/>
  <c r="X791" i="10"/>
  <c r="V792" i="10"/>
  <c r="W792" i="10"/>
  <c r="X792" i="10"/>
  <c r="V793" i="10"/>
  <c r="X793" i="10" s="1"/>
  <c r="W793" i="10"/>
  <c r="V794" i="10"/>
  <c r="X794" i="10" s="1"/>
  <c r="W794" i="10"/>
  <c r="V795" i="10"/>
  <c r="W795" i="10"/>
  <c r="X795" i="10"/>
  <c r="V796" i="10"/>
  <c r="W796" i="10"/>
  <c r="X796" i="10"/>
  <c r="V797" i="10"/>
  <c r="X797" i="10" s="1"/>
  <c r="W797" i="10"/>
  <c r="V798" i="10"/>
  <c r="X798" i="10" s="1"/>
  <c r="W798" i="10"/>
  <c r="V799" i="10"/>
  <c r="W799" i="10"/>
  <c r="X799" i="10"/>
  <c r="V800" i="10"/>
  <c r="W800" i="10"/>
  <c r="X800" i="10"/>
  <c r="V801" i="10"/>
  <c r="X801" i="10" s="1"/>
  <c r="W801" i="10"/>
  <c r="V802" i="10"/>
  <c r="X802" i="10" s="1"/>
  <c r="W802" i="10"/>
  <c r="V803" i="10"/>
  <c r="W803" i="10"/>
  <c r="X803" i="10"/>
  <c r="V804" i="10"/>
  <c r="W804" i="10"/>
  <c r="X804" i="10"/>
  <c r="V805" i="10"/>
  <c r="X805" i="10" s="1"/>
  <c r="W805" i="10"/>
  <c r="V806" i="10"/>
  <c r="X806" i="10" s="1"/>
  <c r="W806" i="10"/>
  <c r="V807" i="10"/>
  <c r="W807" i="10"/>
  <c r="X807" i="10"/>
  <c r="V808" i="10"/>
  <c r="W808" i="10"/>
  <c r="X808" i="10"/>
  <c r="V809" i="10"/>
  <c r="X809" i="10" s="1"/>
  <c r="W809" i="10"/>
  <c r="V810" i="10"/>
  <c r="X810" i="10" s="1"/>
  <c r="W810" i="10"/>
  <c r="V811" i="10"/>
  <c r="W811" i="10"/>
  <c r="X811" i="10"/>
  <c r="V812" i="10"/>
  <c r="W812" i="10"/>
  <c r="X812" i="10"/>
  <c r="V813" i="10"/>
  <c r="X813" i="10" s="1"/>
  <c r="W813" i="10"/>
  <c r="V814" i="10"/>
  <c r="X814" i="10" s="1"/>
  <c r="W814" i="10"/>
  <c r="V815" i="10"/>
  <c r="W815" i="10"/>
  <c r="X815" i="10"/>
  <c r="V816" i="10"/>
  <c r="W816" i="10"/>
  <c r="X816" i="10"/>
  <c r="V817" i="10"/>
  <c r="X817" i="10" s="1"/>
  <c r="W817" i="10"/>
  <c r="V818" i="10"/>
  <c r="X818" i="10" s="1"/>
  <c r="W818" i="10"/>
  <c r="V819" i="10"/>
  <c r="W819" i="10"/>
  <c r="X819" i="10"/>
  <c r="V820" i="10"/>
  <c r="W820" i="10"/>
  <c r="X820" i="10"/>
  <c r="V821" i="10"/>
  <c r="X821" i="10" s="1"/>
  <c r="W821" i="10"/>
  <c r="V822" i="10"/>
  <c r="X822" i="10" s="1"/>
  <c r="W822" i="10"/>
  <c r="V823" i="10"/>
  <c r="W823" i="10"/>
  <c r="X823" i="10"/>
  <c r="V824" i="10"/>
  <c r="W824" i="10"/>
  <c r="X824" i="10"/>
  <c r="V825" i="10"/>
  <c r="X825" i="10" s="1"/>
  <c r="W825" i="10"/>
  <c r="V826" i="10"/>
  <c r="X826" i="10" s="1"/>
  <c r="W826" i="10"/>
  <c r="V827" i="10"/>
  <c r="W827" i="10"/>
  <c r="X827" i="10"/>
  <c r="V828" i="10"/>
  <c r="W828" i="10"/>
  <c r="X828" i="10"/>
  <c r="V829" i="10"/>
  <c r="X829" i="10" s="1"/>
  <c r="W829" i="10"/>
  <c r="V830" i="10"/>
  <c r="X830" i="10" s="1"/>
  <c r="W830" i="10"/>
  <c r="V831" i="10"/>
  <c r="W831" i="10"/>
  <c r="X831" i="10"/>
  <c r="V832" i="10"/>
  <c r="W832" i="10"/>
  <c r="X832" i="10"/>
  <c r="V833" i="10"/>
  <c r="X833" i="10" s="1"/>
  <c r="W833" i="10"/>
  <c r="V834" i="10"/>
  <c r="X834" i="10" s="1"/>
  <c r="W834" i="10"/>
  <c r="V835" i="10"/>
  <c r="W835" i="10"/>
  <c r="X835" i="10"/>
  <c r="V836" i="10"/>
  <c r="W836" i="10"/>
  <c r="X836" i="10"/>
  <c r="V837" i="10"/>
  <c r="X837" i="10" s="1"/>
  <c r="W837" i="10"/>
  <c r="V838" i="10"/>
  <c r="X838" i="10" s="1"/>
  <c r="W838" i="10"/>
  <c r="V839" i="10"/>
  <c r="W839" i="10"/>
  <c r="X839" i="10"/>
  <c r="V840" i="10"/>
  <c r="W840" i="10"/>
  <c r="X840" i="10"/>
  <c r="V841" i="10"/>
  <c r="X841" i="10" s="1"/>
  <c r="W841" i="10"/>
  <c r="V842" i="10"/>
  <c r="X842" i="10" s="1"/>
  <c r="W842" i="10"/>
  <c r="V843" i="10"/>
  <c r="W843" i="10"/>
  <c r="X843" i="10"/>
  <c r="V844" i="10"/>
  <c r="W844" i="10"/>
  <c r="X844" i="10"/>
  <c r="V845" i="10"/>
  <c r="X845" i="10" s="1"/>
  <c r="W845" i="10"/>
  <c r="V846" i="10"/>
  <c r="X846" i="10" s="1"/>
  <c r="W846" i="10"/>
  <c r="V847" i="10"/>
  <c r="W847" i="10"/>
  <c r="X847" i="10"/>
  <c r="V848" i="10"/>
  <c r="W848" i="10"/>
  <c r="X848" i="10"/>
  <c r="V849" i="10"/>
  <c r="X849" i="10" s="1"/>
  <c r="W849" i="10"/>
  <c r="V850" i="10"/>
  <c r="X850" i="10" s="1"/>
  <c r="W850" i="10"/>
  <c r="V851" i="10"/>
  <c r="W851" i="10"/>
  <c r="X851" i="10"/>
  <c r="V852" i="10"/>
  <c r="W852" i="10"/>
  <c r="X852" i="10"/>
  <c r="V853" i="10"/>
  <c r="X853" i="10" s="1"/>
  <c r="W853" i="10"/>
  <c r="V854" i="10"/>
  <c r="X854" i="10" s="1"/>
  <c r="W854" i="10"/>
  <c r="V855" i="10"/>
  <c r="W855" i="10"/>
  <c r="X855" i="10"/>
  <c r="V856" i="10"/>
  <c r="W856" i="10"/>
  <c r="X856" i="10"/>
  <c r="V857" i="10"/>
  <c r="X857" i="10" s="1"/>
  <c r="W857" i="10"/>
  <c r="V858" i="10"/>
  <c r="X858" i="10" s="1"/>
  <c r="W858" i="10"/>
  <c r="V859" i="10"/>
  <c r="W859" i="10"/>
  <c r="X859" i="10"/>
  <c r="V860" i="10"/>
  <c r="W860" i="10"/>
  <c r="X860" i="10"/>
  <c r="V861" i="10"/>
  <c r="X861" i="10" s="1"/>
  <c r="W861" i="10"/>
  <c r="V862" i="10"/>
  <c r="X862" i="10" s="1"/>
  <c r="W862" i="10"/>
  <c r="V863" i="10"/>
  <c r="W863" i="10"/>
  <c r="X863" i="10"/>
  <c r="V864" i="10"/>
  <c r="W864" i="10"/>
  <c r="X864" i="10"/>
  <c r="V865" i="10"/>
  <c r="X865" i="10" s="1"/>
  <c r="W865" i="10"/>
  <c r="V866" i="10"/>
  <c r="X866" i="10" s="1"/>
  <c r="W866" i="10"/>
  <c r="V867" i="10"/>
  <c r="W867" i="10"/>
  <c r="X867" i="10"/>
  <c r="V868" i="10"/>
  <c r="W868" i="10"/>
  <c r="X868" i="10"/>
  <c r="V869" i="10"/>
  <c r="X869" i="10" s="1"/>
  <c r="W869" i="10"/>
  <c r="V870" i="10"/>
  <c r="X870" i="10" s="1"/>
  <c r="W870" i="10"/>
  <c r="V871" i="10"/>
  <c r="W871" i="10"/>
  <c r="X871" i="10"/>
  <c r="V872" i="10"/>
  <c r="W872" i="10"/>
  <c r="X872" i="10"/>
  <c r="V873" i="10"/>
  <c r="X873" i="10" s="1"/>
  <c r="W873" i="10"/>
  <c r="V874" i="10"/>
  <c r="X874" i="10" s="1"/>
  <c r="W874" i="10"/>
  <c r="V875" i="10"/>
  <c r="W875" i="10"/>
  <c r="X875" i="10"/>
  <c r="V876" i="10"/>
  <c r="W876" i="10"/>
  <c r="X876" i="10"/>
  <c r="V877" i="10"/>
  <c r="X877" i="10" s="1"/>
  <c r="W877" i="10"/>
  <c r="V878" i="10"/>
  <c r="X878" i="10" s="1"/>
  <c r="W878" i="10"/>
  <c r="V879" i="10"/>
  <c r="W879" i="10"/>
  <c r="X879" i="10"/>
  <c r="V880" i="10"/>
  <c r="W880" i="10"/>
  <c r="X880" i="10"/>
  <c r="V881" i="10"/>
  <c r="X881" i="10" s="1"/>
  <c r="W881" i="10"/>
  <c r="V882" i="10"/>
  <c r="X882" i="10" s="1"/>
  <c r="W882" i="10"/>
  <c r="V883" i="10"/>
  <c r="W883" i="10"/>
  <c r="X883" i="10"/>
  <c r="V884" i="10"/>
  <c r="W884" i="10"/>
  <c r="X884" i="10"/>
  <c r="V885" i="10"/>
  <c r="X885" i="10" s="1"/>
  <c r="W885" i="10"/>
  <c r="V886" i="10"/>
  <c r="X886" i="10" s="1"/>
  <c r="W886" i="10"/>
  <c r="V887" i="10"/>
  <c r="W887" i="10"/>
  <c r="X887" i="10"/>
  <c r="V888" i="10"/>
  <c r="W888" i="10"/>
  <c r="X888" i="10"/>
  <c r="V889" i="10"/>
  <c r="X889" i="10" s="1"/>
  <c r="W889" i="10"/>
  <c r="V890" i="10"/>
  <c r="X890" i="10" s="1"/>
  <c r="W890" i="10"/>
  <c r="V891" i="10"/>
  <c r="W891" i="10"/>
  <c r="X891" i="10"/>
  <c r="V892" i="10"/>
  <c r="W892" i="10"/>
  <c r="X892" i="10"/>
  <c r="V893" i="10"/>
  <c r="X893" i="10" s="1"/>
  <c r="W893" i="10"/>
  <c r="V894" i="10"/>
  <c r="X894" i="10" s="1"/>
  <c r="W894" i="10"/>
  <c r="V895" i="10"/>
  <c r="W895" i="10"/>
  <c r="X895" i="10"/>
  <c r="V896" i="10"/>
  <c r="W896" i="10"/>
  <c r="X896" i="10"/>
  <c r="V897" i="10"/>
  <c r="X897" i="10" s="1"/>
  <c r="W897" i="10"/>
  <c r="V898" i="10"/>
  <c r="X898" i="10" s="1"/>
  <c r="W898" i="10"/>
  <c r="V899" i="10"/>
  <c r="W899" i="10"/>
  <c r="X899" i="10"/>
  <c r="V900" i="10"/>
  <c r="W900" i="10"/>
  <c r="X900" i="10"/>
  <c r="V901" i="10"/>
  <c r="X901" i="10" s="1"/>
  <c r="W901" i="10"/>
  <c r="V902" i="10"/>
  <c r="X902" i="10" s="1"/>
  <c r="W902" i="10"/>
  <c r="V903" i="10"/>
  <c r="W903" i="10"/>
  <c r="X903" i="10"/>
  <c r="V904" i="10"/>
  <c r="W904" i="10"/>
  <c r="X904" i="10"/>
  <c r="V905" i="10"/>
  <c r="X905" i="10" s="1"/>
  <c r="W905" i="10"/>
  <c r="V906" i="10"/>
  <c r="X906" i="10" s="1"/>
  <c r="W906" i="10"/>
  <c r="V907" i="10"/>
  <c r="W907" i="10"/>
  <c r="X907" i="10"/>
  <c r="V908" i="10"/>
  <c r="W908" i="10"/>
  <c r="X908" i="10"/>
  <c r="V909" i="10"/>
  <c r="X909" i="10" s="1"/>
  <c r="W909" i="10"/>
  <c r="V910" i="10"/>
  <c r="X910" i="10" s="1"/>
  <c r="W910" i="10"/>
  <c r="V911" i="10"/>
  <c r="W911" i="10"/>
  <c r="X911" i="10"/>
  <c r="V912" i="10"/>
  <c r="W912" i="10"/>
  <c r="X912" i="10"/>
  <c r="V913" i="10"/>
  <c r="X913" i="10" s="1"/>
  <c r="W913" i="10"/>
  <c r="V914" i="10"/>
  <c r="X914" i="10" s="1"/>
  <c r="W914" i="10"/>
  <c r="V915" i="10"/>
  <c r="W915" i="10"/>
  <c r="X915" i="10"/>
  <c r="V916" i="10"/>
  <c r="W916" i="10"/>
  <c r="X916" i="10"/>
  <c r="V917" i="10"/>
  <c r="X917" i="10" s="1"/>
  <c r="W917" i="10"/>
  <c r="V918" i="10"/>
  <c r="X918" i="10" s="1"/>
  <c r="W918" i="10"/>
  <c r="V919" i="10"/>
  <c r="W919" i="10"/>
  <c r="X919" i="10"/>
  <c r="V920" i="10"/>
  <c r="W920" i="10"/>
  <c r="X920" i="10"/>
  <c r="V921" i="10"/>
  <c r="X921" i="10" s="1"/>
  <c r="W921" i="10"/>
  <c r="V922" i="10"/>
  <c r="X922" i="10" s="1"/>
  <c r="W922" i="10"/>
  <c r="V923" i="10"/>
  <c r="W923" i="10"/>
  <c r="X923" i="10"/>
  <c r="V924" i="10"/>
  <c r="W924" i="10"/>
  <c r="X924" i="10"/>
  <c r="V925" i="10"/>
  <c r="X925" i="10" s="1"/>
  <c r="W925" i="10"/>
  <c r="V926" i="10"/>
  <c r="X926" i="10" s="1"/>
  <c r="W926" i="10"/>
  <c r="V927" i="10"/>
  <c r="W927" i="10"/>
  <c r="X927" i="10"/>
  <c r="V928" i="10"/>
  <c r="W928" i="10"/>
  <c r="X928" i="10"/>
  <c r="V929" i="10"/>
  <c r="X929" i="10" s="1"/>
  <c r="W929" i="10"/>
  <c r="V930" i="10"/>
  <c r="X930" i="10" s="1"/>
  <c r="W930" i="10"/>
  <c r="V931" i="10"/>
  <c r="W931" i="10"/>
  <c r="X931" i="10"/>
  <c r="V932" i="10"/>
  <c r="W932" i="10"/>
  <c r="X932" i="10"/>
  <c r="V933" i="10"/>
  <c r="X933" i="10" s="1"/>
  <c r="W933" i="10"/>
  <c r="V934" i="10"/>
  <c r="X934" i="10" s="1"/>
  <c r="W934" i="10"/>
  <c r="V935" i="10"/>
  <c r="W935" i="10"/>
  <c r="X935" i="10"/>
  <c r="V936" i="10"/>
  <c r="W936" i="10"/>
  <c r="X936" i="10"/>
  <c r="V937" i="10"/>
  <c r="X937" i="10" s="1"/>
  <c r="W937" i="10"/>
  <c r="V938" i="10"/>
  <c r="X938" i="10" s="1"/>
  <c r="W938" i="10"/>
  <c r="V939" i="10"/>
  <c r="W939" i="10"/>
  <c r="X939" i="10"/>
  <c r="V940" i="10"/>
  <c r="W940" i="10"/>
  <c r="X940" i="10"/>
  <c r="V941" i="10"/>
  <c r="X941" i="10" s="1"/>
  <c r="W941" i="10"/>
  <c r="V942" i="10"/>
  <c r="X942" i="10" s="1"/>
  <c r="W942" i="10"/>
  <c r="V943" i="10"/>
  <c r="W943" i="10"/>
  <c r="X943" i="10"/>
  <c r="V944" i="10"/>
  <c r="W944" i="10"/>
  <c r="X944" i="10"/>
  <c r="V945" i="10"/>
  <c r="X945" i="10" s="1"/>
  <c r="W945" i="10"/>
  <c r="V946" i="10"/>
  <c r="X946" i="10" s="1"/>
  <c r="W946" i="10"/>
  <c r="V947" i="10"/>
  <c r="W947" i="10"/>
  <c r="X947" i="10"/>
  <c r="V948" i="10"/>
  <c r="W948" i="10"/>
  <c r="X948" i="10"/>
  <c r="V949" i="10"/>
  <c r="X949" i="10" s="1"/>
  <c r="W949" i="10"/>
  <c r="V950" i="10"/>
  <c r="X950" i="10" s="1"/>
  <c r="W950" i="10"/>
  <c r="V951" i="10"/>
  <c r="W951" i="10"/>
  <c r="X951" i="10"/>
  <c r="V952" i="10"/>
  <c r="W952" i="10"/>
  <c r="X952" i="10"/>
  <c r="V953" i="10"/>
  <c r="X953" i="10" s="1"/>
  <c r="W953" i="10"/>
  <c r="V954" i="10"/>
  <c r="X954" i="10" s="1"/>
  <c r="W954" i="10"/>
  <c r="V955" i="10"/>
  <c r="W955" i="10"/>
  <c r="X955" i="10"/>
  <c r="V956" i="10"/>
  <c r="W956" i="10"/>
  <c r="X956" i="10"/>
  <c r="V957" i="10"/>
  <c r="X957" i="10" s="1"/>
  <c r="W957" i="10"/>
  <c r="V958" i="10"/>
  <c r="X958" i="10" s="1"/>
  <c r="W958" i="10"/>
  <c r="V959" i="10"/>
  <c r="W959" i="10"/>
  <c r="X959" i="10"/>
  <c r="V960" i="10"/>
  <c r="W960" i="10"/>
  <c r="X960" i="10"/>
  <c r="V961" i="10"/>
  <c r="X961" i="10" s="1"/>
  <c r="W961" i="10"/>
  <c r="V962" i="10"/>
  <c r="X962" i="10" s="1"/>
  <c r="W962" i="10"/>
  <c r="V963" i="10"/>
  <c r="W963" i="10"/>
  <c r="X963" i="10"/>
  <c r="V964" i="10"/>
  <c r="W964" i="10"/>
  <c r="X964" i="10"/>
  <c r="V965" i="10"/>
  <c r="X965" i="10" s="1"/>
  <c r="W965" i="10"/>
  <c r="V966" i="10"/>
  <c r="X966" i="10" s="1"/>
  <c r="W966" i="10"/>
  <c r="V967" i="10"/>
  <c r="W967" i="10"/>
  <c r="X967" i="10"/>
  <c r="V968" i="10"/>
  <c r="W968" i="10"/>
  <c r="X968" i="10"/>
  <c r="V969" i="10"/>
  <c r="X969" i="10" s="1"/>
  <c r="W969" i="10"/>
  <c r="V970" i="10"/>
  <c r="X970" i="10" s="1"/>
  <c r="W970" i="10"/>
  <c r="V971" i="10"/>
  <c r="W971" i="10"/>
  <c r="X971" i="10"/>
  <c r="V972" i="10"/>
  <c r="W972" i="10"/>
  <c r="X972" i="10"/>
  <c r="V973" i="10"/>
  <c r="X973" i="10" s="1"/>
  <c r="W973" i="10"/>
  <c r="V974" i="10"/>
  <c r="X974" i="10" s="1"/>
  <c r="W974" i="10"/>
  <c r="V975" i="10"/>
  <c r="W975" i="10"/>
  <c r="X975" i="10"/>
  <c r="V976" i="10"/>
  <c r="W976" i="10"/>
  <c r="X976" i="10"/>
  <c r="V977" i="10"/>
  <c r="X977" i="10" s="1"/>
  <c r="W977" i="10"/>
  <c r="V978" i="10"/>
  <c r="X978" i="10" s="1"/>
  <c r="W978" i="10"/>
  <c r="V979" i="10"/>
  <c r="W979" i="10"/>
  <c r="X979" i="10"/>
  <c r="V980" i="10"/>
  <c r="W980" i="10"/>
  <c r="X980" i="10"/>
  <c r="V981" i="10"/>
  <c r="X981" i="10" s="1"/>
  <c r="W981" i="10"/>
  <c r="V982" i="10"/>
  <c r="X982" i="10" s="1"/>
  <c r="W982" i="10"/>
  <c r="V983" i="10"/>
  <c r="W983" i="10"/>
  <c r="X983" i="10"/>
  <c r="V984" i="10"/>
  <c r="W984" i="10"/>
  <c r="X984" i="10"/>
  <c r="V985" i="10"/>
  <c r="X985" i="10" s="1"/>
  <c r="W985" i="10"/>
  <c r="V986" i="10"/>
  <c r="X986" i="10" s="1"/>
  <c r="W986" i="10"/>
  <c r="V987" i="10"/>
  <c r="W987" i="10"/>
  <c r="X987" i="10"/>
  <c r="V988" i="10"/>
  <c r="W988" i="10"/>
  <c r="X988" i="10"/>
  <c r="V989" i="10"/>
  <c r="X989" i="10" s="1"/>
  <c r="W989" i="10"/>
  <c r="V990" i="10"/>
  <c r="X990" i="10" s="1"/>
  <c r="W990" i="10"/>
  <c r="V991" i="10"/>
  <c r="W991" i="10"/>
  <c r="X991" i="10"/>
  <c r="V992" i="10"/>
  <c r="W992" i="10"/>
  <c r="X992" i="10"/>
  <c r="V993" i="10"/>
  <c r="X993" i="10" s="1"/>
  <c r="W993" i="10"/>
  <c r="V994" i="10"/>
  <c r="X994" i="10" s="1"/>
  <c r="W994" i="10"/>
  <c r="V995" i="10"/>
  <c r="W995" i="10"/>
  <c r="X995" i="10"/>
  <c r="V996" i="10"/>
  <c r="W996" i="10"/>
  <c r="X996" i="10"/>
  <c r="V997" i="10"/>
  <c r="X997" i="10" s="1"/>
  <c r="W997" i="10"/>
  <c r="V998" i="10"/>
  <c r="W998" i="10"/>
  <c r="X998" i="10"/>
  <c r="V999" i="10"/>
  <c r="X999" i="10" s="1"/>
  <c r="W999" i="10"/>
  <c r="V1000" i="10"/>
  <c r="X1000" i="10" s="1"/>
  <c r="W1000" i="10"/>
  <c r="V1001" i="10"/>
  <c r="W1001" i="10"/>
  <c r="X1001" i="10" s="1"/>
  <c r="X2" i="10"/>
  <c r="W2" i="10"/>
  <c r="V2" i="10"/>
  <c r="F3" i="9"/>
  <c r="H3" i="9" s="1"/>
  <c r="G3" i="9"/>
  <c r="F4" i="9"/>
  <c r="H4" i="9" s="1"/>
  <c r="G4" i="9"/>
  <c r="F5" i="9"/>
  <c r="G5" i="9"/>
  <c r="H5" i="9" s="1"/>
  <c r="F6" i="9"/>
  <c r="G6" i="9"/>
  <c r="H6" i="9"/>
  <c r="F7" i="9"/>
  <c r="H7" i="9" s="1"/>
  <c r="G7" i="9"/>
  <c r="F8" i="9"/>
  <c r="H8" i="9" s="1"/>
  <c r="G8" i="9"/>
  <c r="F9" i="9"/>
  <c r="G9" i="9"/>
  <c r="H9" i="9" s="1"/>
  <c r="F10" i="9"/>
  <c r="G10" i="9"/>
  <c r="H10" i="9"/>
  <c r="F11" i="9"/>
  <c r="H11" i="9" s="1"/>
  <c r="G11" i="9"/>
  <c r="F12" i="9"/>
  <c r="H12" i="9" s="1"/>
  <c r="G12" i="9"/>
  <c r="F13" i="9"/>
  <c r="G13" i="9"/>
  <c r="H13" i="9" s="1"/>
  <c r="F14" i="9"/>
  <c r="G14" i="9"/>
  <c r="H14" i="9"/>
  <c r="F15" i="9"/>
  <c r="H15" i="9" s="1"/>
  <c r="G15" i="9"/>
  <c r="F16" i="9"/>
  <c r="H16" i="9" s="1"/>
  <c r="G16" i="9"/>
  <c r="F17" i="9"/>
  <c r="G17" i="9"/>
  <c r="H17" i="9" s="1"/>
  <c r="F18" i="9"/>
  <c r="G18" i="9"/>
  <c r="H18" i="9"/>
  <c r="F19" i="9"/>
  <c r="H19" i="9" s="1"/>
  <c r="G19" i="9"/>
  <c r="F20" i="9"/>
  <c r="H20" i="9" s="1"/>
  <c r="G20" i="9"/>
  <c r="F21" i="9"/>
  <c r="G21" i="9"/>
  <c r="H21" i="9" s="1"/>
  <c r="F22" i="9"/>
  <c r="G22" i="9"/>
  <c r="H22" i="9"/>
  <c r="F23" i="9"/>
  <c r="H23" i="9" s="1"/>
  <c r="G23" i="9"/>
  <c r="F24" i="9"/>
  <c r="H24" i="9" s="1"/>
  <c r="G24" i="9"/>
  <c r="F25" i="9"/>
  <c r="G25" i="9"/>
  <c r="H25" i="9" s="1"/>
  <c r="F26" i="9"/>
  <c r="G26" i="9"/>
  <c r="H26" i="9"/>
  <c r="F27" i="9"/>
  <c r="H27" i="9" s="1"/>
  <c r="G27" i="9"/>
  <c r="F28" i="9"/>
  <c r="H28" i="9" s="1"/>
  <c r="G28" i="9"/>
  <c r="F29" i="9"/>
  <c r="G29" i="9"/>
  <c r="H29" i="9" s="1"/>
  <c r="F30" i="9"/>
  <c r="G30" i="9"/>
  <c r="H30" i="9"/>
  <c r="F31" i="9"/>
  <c r="H31" i="9" s="1"/>
  <c r="G31" i="9"/>
  <c r="F32" i="9"/>
  <c r="H32" i="9" s="1"/>
  <c r="G32" i="9"/>
  <c r="F33" i="9"/>
  <c r="G33" i="9"/>
  <c r="H33" i="9" s="1"/>
  <c r="F34" i="9"/>
  <c r="G34" i="9"/>
  <c r="H34" i="9"/>
  <c r="F35" i="9"/>
  <c r="H35" i="9" s="1"/>
  <c r="G35" i="9"/>
  <c r="F36" i="9"/>
  <c r="H36" i="9" s="1"/>
  <c r="G36" i="9"/>
  <c r="F37" i="9"/>
  <c r="G37" i="9"/>
  <c r="H37" i="9" s="1"/>
  <c r="F38" i="9"/>
  <c r="G38" i="9"/>
  <c r="H38" i="9"/>
  <c r="F39" i="9"/>
  <c r="H39" i="9" s="1"/>
  <c r="G39" i="9"/>
  <c r="F40" i="9"/>
  <c r="H40" i="9" s="1"/>
  <c r="G40" i="9"/>
  <c r="F41" i="9"/>
  <c r="G41" i="9"/>
  <c r="H41" i="9" s="1"/>
  <c r="F42" i="9"/>
  <c r="G42" i="9"/>
  <c r="H42" i="9"/>
  <c r="F43" i="9"/>
  <c r="H43" i="9" s="1"/>
  <c r="G43" i="9"/>
  <c r="F44" i="9"/>
  <c r="H44" i="9" s="1"/>
  <c r="G44" i="9"/>
  <c r="F45" i="9"/>
  <c r="G45" i="9"/>
  <c r="H45" i="9" s="1"/>
  <c r="F46" i="9"/>
  <c r="G46" i="9"/>
  <c r="H46" i="9"/>
  <c r="F47" i="9"/>
  <c r="H47" i="9" s="1"/>
  <c r="G47" i="9"/>
  <c r="F48" i="9"/>
  <c r="H48" i="9" s="1"/>
  <c r="G48" i="9"/>
  <c r="F49" i="9"/>
  <c r="G49" i="9"/>
  <c r="H49" i="9" s="1"/>
  <c r="F50" i="9"/>
  <c r="G50" i="9"/>
  <c r="H50" i="9"/>
  <c r="F51" i="9"/>
  <c r="H51" i="9" s="1"/>
  <c r="G51" i="9"/>
  <c r="F52" i="9"/>
  <c r="H52" i="9" s="1"/>
  <c r="G52" i="9"/>
  <c r="F53" i="9"/>
  <c r="G53" i="9"/>
  <c r="H53" i="9" s="1"/>
  <c r="F54" i="9"/>
  <c r="G54" i="9"/>
  <c r="H54" i="9"/>
  <c r="F55" i="9"/>
  <c r="H55" i="9" s="1"/>
  <c r="G55" i="9"/>
  <c r="F56" i="9"/>
  <c r="H56" i="9" s="1"/>
  <c r="G56" i="9"/>
  <c r="F57" i="9"/>
  <c r="G57" i="9"/>
  <c r="H57" i="9" s="1"/>
  <c r="F58" i="9"/>
  <c r="G58" i="9"/>
  <c r="H58" i="9"/>
  <c r="F59" i="9"/>
  <c r="H59" i="9" s="1"/>
  <c r="G59" i="9"/>
  <c r="F60" i="9"/>
  <c r="H60" i="9" s="1"/>
  <c r="G60" i="9"/>
  <c r="F61" i="9"/>
  <c r="G61" i="9"/>
  <c r="H61" i="9" s="1"/>
  <c r="F62" i="9"/>
  <c r="G62" i="9"/>
  <c r="H62" i="9"/>
  <c r="F63" i="9"/>
  <c r="H63" i="9" s="1"/>
  <c r="G63" i="9"/>
  <c r="F64" i="9"/>
  <c r="H64" i="9" s="1"/>
  <c r="G64" i="9"/>
  <c r="F65" i="9"/>
  <c r="G65" i="9"/>
  <c r="H65" i="9" s="1"/>
  <c r="F66" i="9"/>
  <c r="G66" i="9"/>
  <c r="H66" i="9"/>
  <c r="F67" i="9"/>
  <c r="H67" i="9" s="1"/>
  <c r="G67" i="9"/>
  <c r="F68" i="9"/>
  <c r="H68" i="9" s="1"/>
  <c r="G68" i="9"/>
  <c r="F69" i="9"/>
  <c r="G69" i="9"/>
  <c r="H69" i="9" s="1"/>
  <c r="F70" i="9"/>
  <c r="G70" i="9"/>
  <c r="H70" i="9"/>
  <c r="F71" i="9"/>
  <c r="H71" i="9" s="1"/>
  <c r="G71" i="9"/>
  <c r="F72" i="9"/>
  <c r="H72" i="9" s="1"/>
  <c r="G72" i="9"/>
  <c r="F73" i="9"/>
  <c r="G73" i="9"/>
  <c r="H73" i="9" s="1"/>
  <c r="F74" i="9"/>
  <c r="G74" i="9"/>
  <c r="H74" i="9"/>
  <c r="F75" i="9"/>
  <c r="H75" i="9" s="1"/>
  <c r="G75" i="9"/>
  <c r="F76" i="9"/>
  <c r="H76" i="9" s="1"/>
  <c r="G76" i="9"/>
  <c r="F77" i="9"/>
  <c r="G77" i="9"/>
  <c r="H77" i="9" s="1"/>
  <c r="F78" i="9"/>
  <c r="G78" i="9"/>
  <c r="H78" i="9"/>
  <c r="F79" i="9"/>
  <c r="H79" i="9" s="1"/>
  <c r="G79" i="9"/>
  <c r="F80" i="9"/>
  <c r="H80" i="9" s="1"/>
  <c r="G80" i="9"/>
  <c r="F81" i="9"/>
  <c r="G81" i="9"/>
  <c r="H81" i="9" s="1"/>
  <c r="F82" i="9"/>
  <c r="G82" i="9"/>
  <c r="H82" i="9"/>
  <c r="F83" i="9"/>
  <c r="H83" i="9" s="1"/>
  <c r="G83" i="9"/>
  <c r="F84" i="9"/>
  <c r="H84" i="9" s="1"/>
  <c r="G84" i="9"/>
  <c r="F85" i="9"/>
  <c r="G85" i="9"/>
  <c r="H85" i="9" s="1"/>
  <c r="F86" i="9"/>
  <c r="G86" i="9"/>
  <c r="H86" i="9"/>
  <c r="F87" i="9"/>
  <c r="H87" i="9" s="1"/>
  <c r="G87" i="9"/>
  <c r="F88" i="9"/>
  <c r="H88" i="9" s="1"/>
  <c r="G88" i="9"/>
  <c r="F89" i="9"/>
  <c r="G89" i="9"/>
  <c r="H89" i="9" s="1"/>
  <c r="F90" i="9"/>
  <c r="G90" i="9"/>
  <c r="H90" i="9"/>
  <c r="F91" i="9"/>
  <c r="H91" i="9" s="1"/>
  <c r="G91" i="9"/>
  <c r="F92" i="9"/>
  <c r="H92" i="9" s="1"/>
  <c r="G92" i="9"/>
  <c r="F93" i="9"/>
  <c r="G93" i="9"/>
  <c r="H93" i="9" s="1"/>
  <c r="F94" i="9"/>
  <c r="G94" i="9"/>
  <c r="H94" i="9"/>
  <c r="F95" i="9"/>
  <c r="H95" i="9" s="1"/>
  <c r="G95" i="9"/>
  <c r="F96" i="9"/>
  <c r="H96" i="9" s="1"/>
  <c r="G96" i="9"/>
  <c r="F97" i="9"/>
  <c r="G97" i="9"/>
  <c r="H97" i="9" s="1"/>
  <c r="F98" i="9"/>
  <c r="G98" i="9"/>
  <c r="H98" i="9"/>
  <c r="F99" i="9"/>
  <c r="H99" i="9" s="1"/>
  <c r="G99" i="9"/>
  <c r="F100" i="9"/>
  <c r="H100" i="9" s="1"/>
  <c r="G100" i="9"/>
  <c r="F101" i="9"/>
  <c r="G101" i="9"/>
  <c r="H101" i="9" s="1"/>
  <c r="F102" i="9"/>
  <c r="G102" i="9"/>
  <c r="H102" i="9"/>
  <c r="F103" i="9"/>
  <c r="H103" i="9" s="1"/>
  <c r="G103" i="9"/>
  <c r="F104" i="9"/>
  <c r="H104" i="9" s="1"/>
  <c r="G104" i="9"/>
  <c r="F105" i="9"/>
  <c r="G105" i="9"/>
  <c r="H105" i="9" s="1"/>
  <c r="F106" i="9"/>
  <c r="G106" i="9"/>
  <c r="H106" i="9"/>
  <c r="F107" i="9"/>
  <c r="H107" i="9" s="1"/>
  <c r="G107" i="9"/>
  <c r="F108" i="9"/>
  <c r="H108" i="9" s="1"/>
  <c r="G108" i="9"/>
  <c r="F109" i="9"/>
  <c r="G109" i="9"/>
  <c r="H109" i="9" s="1"/>
  <c r="F110" i="9"/>
  <c r="G110" i="9"/>
  <c r="H110" i="9"/>
  <c r="F111" i="9"/>
  <c r="H111" i="9" s="1"/>
  <c r="G111" i="9"/>
  <c r="F112" i="9"/>
  <c r="H112" i="9" s="1"/>
  <c r="G112" i="9"/>
  <c r="F113" i="9"/>
  <c r="G113" i="9"/>
  <c r="H113" i="9" s="1"/>
  <c r="F114" i="9"/>
  <c r="G114" i="9"/>
  <c r="H114" i="9"/>
  <c r="F115" i="9"/>
  <c r="H115" i="9" s="1"/>
  <c r="G115" i="9"/>
  <c r="F116" i="9"/>
  <c r="H116" i="9" s="1"/>
  <c r="G116" i="9"/>
  <c r="F117" i="9"/>
  <c r="G117" i="9"/>
  <c r="H117" i="9" s="1"/>
  <c r="F118" i="9"/>
  <c r="G118" i="9"/>
  <c r="H118" i="9"/>
  <c r="F119" i="9"/>
  <c r="H119" i="9" s="1"/>
  <c r="G119" i="9"/>
  <c r="F120" i="9"/>
  <c r="H120" i="9" s="1"/>
  <c r="G120" i="9"/>
  <c r="F121" i="9"/>
  <c r="G121" i="9"/>
  <c r="H121" i="9" s="1"/>
  <c r="F122" i="9"/>
  <c r="G122" i="9"/>
  <c r="H122" i="9"/>
  <c r="F123" i="9"/>
  <c r="H123" i="9" s="1"/>
  <c r="G123" i="9"/>
  <c r="F124" i="9"/>
  <c r="H124" i="9" s="1"/>
  <c r="G124" i="9"/>
  <c r="F125" i="9"/>
  <c r="G125" i="9"/>
  <c r="H125" i="9" s="1"/>
  <c r="F126" i="9"/>
  <c r="G126" i="9"/>
  <c r="H126" i="9"/>
  <c r="F127" i="9"/>
  <c r="H127" i="9" s="1"/>
  <c r="G127" i="9"/>
  <c r="F128" i="9"/>
  <c r="H128" i="9" s="1"/>
  <c r="G128" i="9"/>
  <c r="F129" i="9"/>
  <c r="G129" i="9"/>
  <c r="H129" i="9" s="1"/>
  <c r="F130" i="9"/>
  <c r="G130" i="9"/>
  <c r="H130" i="9"/>
  <c r="F131" i="9"/>
  <c r="H131" i="9" s="1"/>
  <c r="G131" i="9"/>
  <c r="F132" i="9"/>
  <c r="H132" i="9" s="1"/>
  <c r="G132" i="9"/>
  <c r="F133" i="9"/>
  <c r="G133" i="9"/>
  <c r="H133" i="9" s="1"/>
  <c r="F134" i="9"/>
  <c r="G134" i="9"/>
  <c r="H134" i="9"/>
  <c r="F135" i="9"/>
  <c r="H135" i="9" s="1"/>
  <c r="G135" i="9"/>
  <c r="F136" i="9"/>
  <c r="H136" i="9" s="1"/>
  <c r="G136" i="9"/>
  <c r="F137" i="9"/>
  <c r="G137" i="9"/>
  <c r="H137" i="9" s="1"/>
  <c r="F138" i="9"/>
  <c r="G138" i="9"/>
  <c r="H138" i="9"/>
  <c r="F139" i="9"/>
  <c r="H139" i="9" s="1"/>
  <c r="G139" i="9"/>
  <c r="F140" i="9"/>
  <c r="H140" i="9" s="1"/>
  <c r="G140" i="9"/>
  <c r="F141" i="9"/>
  <c r="G141" i="9"/>
  <c r="H141" i="9" s="1"/>
  <c r="F142" i="9"/>
  <c r="G142" i="9"/>
  <c r="H142" i="9"/>
  <c r="F143" i="9"/>
  <c r="H143" i="9" s="1"/>
  <c r="G143" i="9"/>
  <c r="F144" i="9"/>
  <c r="H144" i="9" s="1"/>
  <c r="G144" i="9"/>
  <c r="F145" i="9"/>
  <c r="G145" i="9"/>
  <c r="H145" i="9" s="1"/>
  <c r="F146" i="9"/>
  <c r="G146" i="9"/>
  <c r="H146" i="9"/>
  <c r="F147" i="9"/>
  <c r="H147" i="9" s="1"/>
  <c r="G147" i="9"/>
  <c r="F148" i="9"/>
  <c r="H148" i="9" s="1"/>
  <c r="G148" i="9"/>
  <c r="F149" i="9"/>
  <c r="G149" i="9"/>
  <c r="H149" i="9" s="1"/>
  <c r="F150" i="9"/>
  <c r="G150" i="9"/>
  <c r="H150" i="9"/>
  <c r="F151" i="9"/>
  <c r="H151" i="9" s="1"/>
  <c r="G151" i="9"/>
  <c r="F152" i="9"/>
  <c r="H152" i="9" s="1"/>
  <c r="G152" i="9"/>
  <c r="F153" i="9"/>
  <c r="G153" i="9"/>
  <c r="H153" i="9" s="1"/>
  <c r="F154" i="9"/>
  <c r="G154" i="9"/>
  <c r="H154" i="9"/>
  <c r="F155" i="9"/>
  <c r="H155" i="9" s="1"/>
  <c r="G155" i="9"/>
  <c r="F156" i="9"/>
  <c r="H156" i="9" s="1"/>
  <c r="G156" i="9"/>
  <c r="F157" i="9"/>
  <c r="G157" i="9"/>
  <c r="H157" i="9" s="1"/>
  <c r="F158" i="9"/>
  <c r="G158" i="9"/>
  <c r="H158" i="9"/>
  <c r="F159" i="9"/>
  <c r="H159" i="9" s="1"/>
  <c r="G159" i="9"/>
  <c r="F160" i="9"/>
  <c r="H160" i="9" s="1"/>
  <c r="G160" i="9"/>
  <c r="F161" i="9"/>
  <c r="G161" i="9"/>
  <c r="H161" i="9" s="1"/>
  <c r="F162" i="9"/>
  <c r="G162" i="9"/>
  <c r="H162" i="9"/>
  <c r="F163" i="9"/>
  <c r="H163" i="9" s="1"/>
  <c r="G163" i="9"/>
  <c r="F164" i="9"/>
  <c r="H164" i="9" s="1"/>
  <c r="G164" i="9"/>
  <c r="F165" i="9"/>
  <c r="G165" i="9"/>
  <c r="H165" i="9" s="1"/>
  <c r="F166" i="9"/>
  <c r="G166" i="9"/>
  <c r="H166" i="9"/>
  <c r="F167" i="9"/>
  <c r="H167" i="9" s="1"/>
  <c r="G167" i="9"/>
  <c r="F168" i="9"/>
  <c r="H168" i="9" s="1"/>
  <c r="G168" i="9"/>
  <c r="F169" i="9"/>
  <c r="G169" i="9"/>
  <c r="H169" i="9" s="1"/>
  <c r="F170" i="9"/>
  <c r="G170" i="9"/>
  <c r="H170" i="9"/>
  <c r="F171" i="9"/>
  <c r="H171" i="9" s="1"/>
  <c r="G171" i="9"/>
  <c r="F172" i="9"/>
  <c r="H172" i="9" s="1"/>
  <c r="G172" i="9"/>
  <c r="F173" i="9"/>
  <c r="G173" i="9"/>
  <c r="H173" i="9" s="1"/>
  <c r="F174" i="9"/>
  <c r="G174" i="9"/>
  <c r="H174" i="9"/>
  <c r="F175" i="9"/>
  <c r="H175" i="9" s="1"/>
  <c r="G175" i="9"/>
  <c r="F176" i="9"/>
  <c r="H176" i="9" s="1"/>
  <c r="G176" i="9"/>
  <c r="F177" i="9"/>
  <c r="G177" i="9"/>
  <c r="H177" i="9" s="1"/>
  <c r="F178" i="9"/>
  <c r="G178" i="9"/>
  <c r="H178" i="9"/>
  <c r="F179" i="9"/>
  <c r="H179" i="9" s="1"/>
  <c r="G179" i="9"/>
  <c r="F180" i="9"/>
  <c r="H180" i="9" s="1"/>
  <c r="G180" i="9"/>
  <c r="F181" i="9"/>
  <c r="G181" i="9"/>
  <c r="H181" i="9" s="1"/>
  <c r="F182" i="9"/>
  <c r="G182" i="9"/>
  <c r="H182" i="9"/>
  <c r="F183" i="9"/>
  <c r="H183" i="9" s="1"/>
  <c r="G183" i="9"/>
  <c r="F184" i="9"/>
  <c r="H184" i="9" s="1"/>
  <c r="G184" i="9"/>
  <c r="F185" i="9"/>
  <c r="G185" i="9"/>
  <c r="H185" i="9" s="1"/>
  <c r="F186" i="9"/>
  <c r="G186" i="9"/>
  <c r="H186" i="9"/>
  <c r="F187" i="9"/>
  <c r="H187" i="9" s="1"/>
  <c r="G187" i="9"/>
  <c r="F188" i="9"/>
  <c r="H188" i="9" s="1"/>
  <c r="G188" i="9"/>
  <c r="F189" i="9"/>
  <c r="G189" i="9"/>
  <c r="H189" i="9" s="1"/>
  <c r="F190" i="9"/>
  <c r="G190" i="9"/>
  <c r="H190" i="9"/>
  <c r="F191" i="9"/>
  <c r="H191" i="9" s="1"/>
  <c r="G191" i="9"/>
  <c r="F192" i="9"/>
  <c r="H192" i="9" s="1"/>
  <c r="G192" i="9"/>
  <c r="F193" i="9"/>
  <c r="G193" i="9"/>
  <c r="H193" i="9" s="1"/>
  <c r="F194" i="9"/>
  <c r="G194" i="9"/>
  <c r="H194" i="9"/>
  <c r="F195" i="9"/>
  <c r="H195" i="9" s="1"/>
  <c r="G195" i="9"/>
  <c r="F196" i="9"/>
  <c r="H196" i="9" s="1"/>
  <c r="G196" i="9"/>
  <c r="F197" i="9"/>
  <c r="G197" i="9"/>
  <c r="H197" i="9" s="1"/>
  <c r="F198" i="9"/>
  <c r="G198" i="9"/>
  <c r="H198" i="9"/>
  <c r="F199" i="9"/>
  <c r="H199" i="9" s="1"/>
  <c r="G199" i="9"/>
  <c r="F200" i="9"/>
  <c r="H200" i="9" s="1"/>
  <c r="G200" i="9"/>
  <c r="F201" i="9"/>
  <c r="G201" i="9"/>
  <c r="H201" i="9" s="1"/>
  <c r="F202" i="9"/>
  <c r="G202" i="9"/>
  <c r="H202" i="9"/>
  <c r="F203" i="9"/>
  <c r="H203" i="9" s="1"/>
  <c r="G203" i="9"/>
  <c r="F204" i="9"/>
  <c r="H204" i="9" s="1"/>
  <c r="G204" i="9"/>
  <c r="F205" i="9"/>
  <c r="G205" i="9"/>
  <c r="H205" i="9" s="1"/>
  <c r="F206" i="9"/>
  <c r="G206" i="9"/>
  <c r="H206" i="9"/>
  <c r="F207" i="9"/>
  <c r="H207" i="9" s="1"/>
  <c r="G207" i="9"/>
  <c r="F208" i="9"/>
  <c r="H208" i="9" s="1"/>
  <c r="G208" i="9"/>
  <c r="F209" i="9"/>
  <c r="G209" i="9"/>
  <c r="H209" i="9" s="1"/>
  <c r="F210" i="9"/>
  <c r="G210" i="9"/>
  <c r="H210" i="9"/>
  <c r="F211" i="9"/>
  <c r="H211" i="9" s="1"/>
  <c r="G211" i="9"/>
  <c r="F212" i="9"/>
  <c r="H212" i="9" s="1"/>
  <c r="G212" i="9"/>
  <c r="F213" i="9"/>
  <c r="G213" i="9"/>
  <c r="H213" i="9" s="1"/>
  <c r="F214" i="9"/>
  <c r="G214" i="9"/>
  <c r="H214" i="9"/>
  <c r="F215" i="9"/>
  <c r="H215" i="9" s="1"/>
  <c r="G215" i="9"/>
  <c r="F216" i="9"/>
  <c r="H216" i="9" s="1"/>
  <c r="G216" i="9"/>
  <c r="F217" i="9"/>
  <c r="G217" i="9"/>
  <c r="H217" i="9" s="1"/>
  <c r="F218" i="9"/>
  <c r="G218" i="9"/>
  <c r="H218" i="9"/>
  <c r="F219" i="9"/>
  <c r="H219" i="9" s="1"/>
  <c r="G219" i="9"/>
  <c r="F220" i="9"/>
  <c r="H220" i="9" s="1"/>
  <c r="G220" i="9"/>
  <c r="F221" i="9"/>
  <c r="G221" i="9"/>
  <c r="H221" i="9" s="1"/>
  <c r="F222" i="9"/>
  <c r="G222" i="9"/>
  <c r="H222" i="9"/>
  <c r="F223" i="9"/>
  <c r="H223" i="9" s="1"/>
  <c r="G223" i="9"/>
  <c r="F224" i="9"/>
  <c r="H224" i="9" s="1"/>
  <c r="G224" i="9"/>
  <c r="F225" i="9"/>
  <c r="G225" i="9"/>
  <c r="H225" i="9" s="1"/>
  <c r="F226" i="9"/>
  <c r="G226" i="9"/>
  <c r="H226" i="9"/>
  <c r="F227" i="9"/>
  <c r="H227" i="9" s="1"/>
  <c r="G227" i="9"/>
  <c r="F228" i="9"/>
  <c r="H228" i="9" s="1"/>
  <c r="G228" i="9"/>
  <c r="F229" i="9"/>
  <c r="G229" i="9"/>
  <c r="H229" i="9" s="1"/>
  <c r="F230" i="9"/>
  <c r="G230" i="9"/>
  <c r="H230" i="9"/>
  <c r="F231" i="9"/>
  <c r="H231" i="9" s="1"/>
  <c r="G231" i="9"/>
  <c r="F232" i="9"/>
  <c r="H232" i="9" s="1"/>
  <c r="G232" i="9"/>
  <c r="F233" i="9"/>
  <c r="G233" i="9"/>
  <c r="H233" i="9" s="1"/>
  <c r="F234" i="9"/>
  <c r="G234" i="9"/>
  <c r="H234" i="9"/>
  <c r="F235" i="9"/>
  <c r="H235" i="9" s="1"/>
  <c r="G235" i="9"/>
  <c r="F236" i="9"/>
  <c r="H236" i="9" s="1"/>
  <c r="G236" i="9"/>
  <c r="F237" i="9"/>
  <c r="G237" i="9"/>
  <c r="H237" i="9" s="1"/>
  <c r="F238" i="9"/>
  <c r="G238" i="9"/>
  <c r="H238" i="9"/>
  <c r="F239" i="9"/>
  <c r="H239" i="9" s="1"/>
  <c r="G239" i="9"/>
  <c r="F240" i="9"/>
  <c r="H240" i="9" s="1"/>
  <c r="G240" i="9"/>
  <c r="F241" i="9"/>
  <c r="G241" i="9"/>
  <c r="H241" i="9" s="1"/>
  <c r="F242" i="9"/>
  <c r="G242" i="9"/>
  <c r="H242" i="9"/>
  <c r="F243" i="9"/>
  <c r="H243" i="9" s="1"/>
  <c r="G243" i="9"/>
  <c r="F244" i="9"/>
  <c r="H244" i="9" s="1"/>
  <c r="G244" i="9"/>
  <c r="F245" i="9"/>
  <c r="G245" i="9"/>
  <c r="H245" i="9" s="1"/>
  <c r="F246" i="9"/>
  <c r="G246" i="9"/>
  <c r="H246" i="9"/>
  <c r="F247" i="9"/>
  <c r="H247" i="9" s="1"/>
  <c r="G247" i="9"/>
  <c r="F248" i="9"/>
  <c r="H248" i="9" s="1"/>
  <c r="G248" i="9"/>
  <c r="F249" i="9"/>
  <c r="G249" i="9"/>
  <c r="H249" i="9" s="1"/>
  <c r="F250" i="9"/>
  <c r="G250" i="9"/>
  <c r="H250" i="9"/>
  <c r="F251" i="9"/>
  <c r="H251" i="9" s="1"/>
  <c r="G251" i="9"/>
  <c r="F252" i="9"/>
  <c r="H252" i="9" s="1"/>
  <c r="G252" i="9"/>
  <c r="F253" i="9"/>
  <c r="G253" i="9"/>
  <c r="H253" i="9" s="1"/>
  <c r="F254" i="9"/>
  <c r="G254" i="9"/>
  <c r="H254" i="9"/>
  <c r="F255" i="9"/>
  <c r="H255" i="9" s="1"/>
  <c r="G255" i="9"/>
  <c r="F256" i="9"/>
  <c r="H256" i="9" s="1"/>
  <c r="G256" i="9"/>
  <c r="F257" i="9"/>
  <c r="G257" i="9"/>
  <c r="H257" i="9" s="1"/>
  <c r="F258" i="9"/>
  <c r="G258" i="9"/>
  <c r="H258" i="9"/>
  <c r="F259" i="9"/>
  <c r="H259" i="9" s="1"/>
  <c r="G259" i="9"/>
  <c r="F260" i="9"/>
  <c r="H260" i="9" s="1"/>
  <c r="G260" i="9"/>
  <c r="F261" i="9"/>
  <c r="G261" i="9"/>
  <c r="H261" i="9" s="1"/>
  <c r="F262" i="9"/>
  <c r="G262" i="9"/>
  <c r="H262" i="9"/>
  <c r="F263" i="9"/>
  <c r="H263" i="9" s="1"/>
  <c r="G263" i="9"/>
  <c r="F264" i="9"/>
  <c r="H264" i="9" s="1"/>
  <c r="G264" i="9"/>
  <c r="F265" i="9"/>
  <c r="G265" i="9"/>
  <c r="H265" i="9" s="1"/>
  <c r="F266" i="9"/>
  <c r="G266" i="9"/>
  <c r="H266" i="9"/>
  <c r="F267" i="9"/>
  <c r="H267" i="9" s="1"/>
  <c r="G267" i="9"/>
  <c r="F268" i="9"/>
  <c r="H268" i="9" s="1"/>
  <c r="G268" i="9"/>
  <c r="F269" i="9"/>
  <c r="G269" i="9"/>
  <c r="H269" i="9" s="1"/>
  <c r="F270" i="9"/>
  <c r="G270" i="9"/>
  <c r="H270" i="9"/>
  <c r="F271" i="9"/>
  <c r="H271" i="9" s="1"/>
  <c r="G271" i="9"/>
  <c r="F272" i="9"/>
  <c r="H272" i="9" s="1"/>
  <c r="G272" i="9"/>
  <c r="F273" i="9"/>
  <c r="G273" i="9"/>
  <c r="H273" i="9" s="1"/>
  <c r="F274" i="9"/>
  <c r="G274" i="9"/>
  <c r="H274" i="9"/>
  <c r="F275" i="9"/>
  <c r="H275" i="9" s="1"/>
  <c r="G275" i="9"/>
  <c r="F276" i="9"/>
  <c r="H276" i="9" s="1"/>
  <c r="G276" i="9"/>
  <c r="F277" i="9"/>
  <c r="G277" i="9"/>
  <c r="H277" i="9" s="1"/>
  <c r="F278" i="9"/>
  <c r="G278" i="9"/>
  <c r="H278" i="9"/>
  <c r="F279" i="9"/>
  <c r="H279" i="9" s="1"/>
  <c r="G279" i="9"/>
  <c r="F280" i="9"/>
  <c r="H280" i="9" s="1"/>
  <c r="G280" i="9"/>
  <c r="F281" i="9"/>
  <c r="G281" i="9"/>
  <c r="H281" i="9" s="1"/>
  <c r="F282" i="9"/>
  <c r="G282" i="9"/>
  <c r="H282" i="9"/>
  <c r="F283" i="9"/>
  <c r="H283" i="9" s="1"/>
  <c r="G283" i="9"/>
  <c r="F284" i="9"/>
  <c r="H284" i="9" s="1"/>
  <c r="G284" i="9"/>
  <c r="F285" i="9"/>
  <c r="G285" i="9"/>
  <c r="H285" i="9" s="1"/>
  <c r="F286" i="9"/>
  <c r="G286" i="9"/>
  <c r="H286" i="9"/>
  <c r="F287" i="9"/>
  <c r="H287" i="9" s="1"/>
  <c r="G287" i="9"/>
  <c r="F288" i="9"/>
  <c r="H288" i="9" s="1"/>
  <c r="G288" i="9"/>
  <c r="F289" i="9"/>
  <c r="G289" i="9"/>
  <c r="H289" i="9" s="1"/>
  <c r="F290" i="9"/>
  <c r="G290" i="9"/>
  <c r="H290" i="9"/>
  <c r="F291" i="9"/>
  <c r="H291" i="9" s="1"/>
  <c r="G291" i="9"/>
  <c r="F292" i="9"/>
  <c r="H292" i="9" s="1"/>
  <c r="G292" i="9"/>
  <c r="F293" i="9"/>
  <c r="G293" i="9"/>
  <c r="H293" i="9" s="1"/>
  <c r="F294" i="9"/>
  <c r="G294" i="9"/>
  <c r="H294" i="9"/>
  <c r="F295" i="9"/>
  <c r="H295" i="9" s="1"/>
  <c r="G295" i="9"/>
  <c r="F296" i="9"/>
  <c r="H296" i="9" s="1"/>
  <c r="G296" i="9"/>
  <c r="F297" i="9"/>
  <c r="G297" i="9"/>
  <c r="H297" i="9" s="1"/>
  <c r="F298" i="9"/>
  <c r="G298" i="9"/>
  <c r="H298" i="9"/>
  <c r="F299" i="9"/>
  <c r="H299" i="9" s="1"/>
  <c r="G299" i="9"/>
  <c r="F300" i="9"/>
  <c r="H300" i="9" s="1"/>
  <c r="G300" i="9"/>
  <c r="F301" i="9"/>
  <c r="G301" i="9"/>
  <c r="H301" i="9" s="1"/>
  <c r="F302" i="9"/>
  <c r="G302" i="9"/>
  <c r="H302" i="9"/>
  <c r="F303" i="9"/>
  <c r="H303" i="9" s="1"/>
  <c r="G303" i="9"/>
  <c r="F304" i="9"/>
  <c r="H304" i="9" s="1"/>
  <c r="G304" i="9"/>
  <c r="F305" i="9"/>
  <c r="G305" i="9"/>
  <c r="H305" i="9" s="1"/>
  <c r="F306" i="9"/>
  <c r="G306" i="9"/>
  <c r="H306" i="9"/>
  <c r="F307" i="9"/>
  <c r="H307" i="9" s="1"/>
  <c r="G307" i="9"/>
  <c r="F308" i="9"/>
  <c r="H308" i="9" s="1"/>
  <c r="G308" i="9"/>
  <c r="F309" i="9"/>
  <c r="G309" i="9"/>
  <c r="H309" i="9" s="1"/>
  <c r="F310" i="9"/>
  <c r="G310" i="9"/>
  <c r="H310" i="9"/>
  <c r="F311" i="9"/>
  <c r="H311" i="9" s="1"/>
  <c r="G311" i="9"/>
  <c r="F312" i="9"/>
  <c r="H312" i="9" s="1"/>
  <c r="G312" i="9"/>
  <c r="F313" i="9"/>
  <c r="G313" i="9"/>
  <c r="H313" i="9" s="1"/>
  <c r="F314" i="9"/>
  <c r="G314" i="9"/>
  <c r="H314" i="9"/>
  <c r="F315" i="9"/>
  <c r="H315" i="9" s="1"/>
  <c r="G315" i="9"/>
  <c r="F316" i="9"/>
  <c r="H316" i="9" s="1"/>
  <c r="G316" i="9"/>
  <c r="F317" i="9"/>
  <c r="G317" i="9"/>
  <c r="H317" i="9" s="1"/>
  <c r="F318" i="9"/>
  <c r="G318" i="9"/>
  <c r="H318" i="9"/>
  <c r="F319" i="9"/>
  <c r="H319" i="9" s="1"/>
  <c r="G319" i="9"/>
  <c r="F320" i="9"/>
  <c r="H320" i="9" s="1"/>
  <c r="G320" i="9"/>
  <c r="F321" i="9"/>
  <c r="G321" i="9"/>
  <c r="H321" i="9" s="1"/>
  <c r="F322" i="9"/>
  <c r="G322" i="9"/>
  <c r="H322" i="9"/>
  <c r="F323" i="9"/>
  <c r="H323" i="9" s="1"/>
  <c r="G323" i="9"/>
  <c r="F324" i="9"/>
  <c r="H324" i="9" s="1"/>
  <c r="G324" i="9"/>
  <c r="F325" i="9"/>
  <c r="G325" i="9"/>
  <c r="H325" i="9" s="1"/>
  <c r="F326" i="9"/>
  <c r="G326" i="9"/>
  <c r="H326" i="9"/>
  <c r="F327" i="9"/>
  <c r="H327" i="9" s="1"/>
  <c r="G327" i="9"/>
  <c r="F328" i="9"/>
  <c r="H328" i="9" s="1"/>
  <c r="G328" i="9"/>
  <c r="F329" i="9"/>
  <c r="G329" i="9"/>
  <c r="H329" i="9" s="1"/>
  <c r="F330" i="9"/>
  <c r="G330" i="9"/>
  <c r="H330" i="9"/>
  <c r="F331" i="9"/>
  <c r="H331" i="9" s="1"/>
  <c r="G331" i="9"/>
  <c r="F332" i="9"/>
  <c r="H332" i="9" s="1"/>
  <c r="G332" i="9"/>
  <c r="F333" i="9"/>
  <c r="G333" i="9"/>
  <c r="H333" i="9" s="1"/>
  <c r="F334" i="9"/>
  <c r="G334" i="9"/>
  <c r="H334" i="9"/>
  <c r="F335" i="9"/>
  <c r="H335" i="9" s="1"/>
  <c r="G335" i="9"/>
  <c r="F336" i="9"/>
  <c r="H336" i="9" s="1"/>
  <c r="G336" i="9"/>
  <c r="F337" i="9"/>
  <c r="G337" i="9"/>
  <c r="H337" i="9" s="1"/>
  <c r="F338" i="9"/>
  <c r="G338" i="9"/>
  <c r="H338" i="9"/>
  <c r="F339" i="9"/>
  <c r="H339" i="9" s="1"/>
  <c r="G339" i="9"/>
  <c r="F340" i="9"/>
  <c r="G340" i="9"/>
  <c r="F341" i="9"/>
  <c r="H341" i="9" s="1"/>
  <c r="G341" i="9"/>
  <c r="F342" i="9"/>
  <c r="H342" i="9" s="1"/>
  <c r="G342" i="9"/>
  <c r="F343" i="9"/>
  <c r="G343" i="9"/>
  <c r="H343" i="9" s="1"/>
  <c r="F344" i="9"/>
  <c r="G344" i="9"/>
  <c r="H344" i="9"/>
  <c r="F345" i="9"/>
  <c r="H345" i="9" s="1"/>
  <c r="G345" i="9"/>
  <c r="F346" i="9"/>
  <c r="H346" i="9" s="1"/>
  <c r="G346" i="9"/>
  <c r="F347" i="9"/>
  <c r="G347" i="9"/>
  <c r="H347" i="9" s="1"/>
  <c r="F348" i="9"/>
  <c r="G348" i="9"/>
  <c r="H348" i="9"/>
  <c r="F349" i="9"/>
  <c r="H349" i="9" s="1"/>
  <c r="G349" i="9"/>
  <c r="F350" i="9"/>
  <c r="H350" i="9" s="1"/>
  <c r="G350" i="9"/>
  <c r="F351" i="9"/>
  <c r="G351" i="9"/>
  <c r="H351" i="9" s="1"/>
  <c r="F352" i="9"/>
  <c r="G352" i="9"/>
  <c r="H352" i="9"/>
  <c r="F353" i="9"/>
  <c r="H353" i="9" s="1"/>
  <c r="G353" i="9"/>
  <c r="F354" i="9"/>
  <c r="H354" i="9" s="1"/>
  <c r="G354" i="9"/>
  <c r="F355" i="9"/>
  <c r="G355" i="9"/>
  <c r="H355" i="9" s="1"/>
  <c r="F356" i="9"/>
  <c r="G356" i="9"/>
  <c r="H356" i="9"/>
  <c r="F357" i="9"/>
  <c r="H357" i="9" s="1"/>
  <c r="G357" i="9"/>
  <c r="F358" i="9"/>
  <c r="H358" i="9" s="1"/>
  <c r="G358" i="9"/>
  <c r="F359" i="9"/>
  <c r="G359" i="9"/>
  <c r="H359" i="9" s="1"/>
  <c r="F360" i="9"/>
  <c r="G360" i="9"/>
  <c r="H360" i="9"/>
  <c r="F361" i="9"/>
  <c r="H361" i="9" s="1"/>
  <c r="G361" i="9"/>
  <c r="F362" i="9"/>
  <c r="H362" i="9" s="1"/>
  <c r="G362" i="9"/>
  <c r="F363" i="9"/>
  <c r="G363" i="9"/>
  <c r="H363" i="9" s="1"/>
  <c r="F364" i="9"/>
  <c r="G364" i="9"/>
  <c r="H364" i="9"/>
  <c r="F365" i="9"/>
  <c r="H365" i="9" s="1"/>
  <c r="G365" i="9"/>
  <c r="F366" i="9"/>
  <c r="H366" i="9" s="1"/>
  <c r="G366" i="9"/>
  <c r="F367" i="9"/>
  <c r="G367" i="9"/>
  <c r="H367" i="9" s="1"/>
  <c r="F368" i="9"/>
  <c r="G368" i="9"/>
  <c r="H368" i="9"/>
  <c r="F369" i="9"/>
  <c r="H369" i="9" s="1"/>
  <c r="G369" i="9"/>
  <c r="F370" i="9"/>
  <c r="H370" i="9" s="1"/>
  <c r="G370" i="9"/>
  <c r="F371" i="9"/>
  <c r="G371" i="9"/>
  <c r="H371" i="9" s="1"/>
  <c r="F372" i="9"/>
  <c r="G372" i="9"/>
  <c r="H372" i="9"/>
  <c r="F373" i="9"/>
  <c r="H373" i="9" s="1"/>
  <c r="G373" i="9"/>
  <c r="F374" i="9"/>
  <c r="H374" i="9" s="1"/>
  <c r="G374" i="9"/>
  <c r="F375" i="9"/>
  <c r="G375" i="9"/>
  <c r="H375" i="9" s="1"/>
  <c r="F376" i="9"/>
  <c r="G376" i="9"/>
  <c r="H376" i="9"/>
  <c r="F377" i="9"/>
  <c r="H377" i="9" s="1"/>
  <c r="G377" i="9"/>
  <c r="F378" i="9"/>
  <c r="H378" i="9" s="1"/>
  <c r="G378" i="9"/>
  <c r="F379" i="9"/>
  <c r="G379" i="9"/>
  <c r="H379" i="9" s="1"/>
  <c r="F380" i="9"/>
  <c r="G380" i="9"/>
  <c r="H380" i="9"/>
  <c r="F381" i="9"/>
  <c r="H381" i="9" s="1"/>
  <c r="G381" i="9"/>
  <c r="F382" i="9"/>
  <c r="H382" i="9" s="1"/>
  <c r="G382" i="9"/>
  <c r="F383" i="9"/>
  <c r="G383" i="9"/>
  <c r="H383" i="9" s="1"/>
  <c r="F384" i="9"/>
  <c r="G384" i="9"/>
  <c r="H384" i="9"/>
  <c r="F385" i="9"/>
  <c r="H385" i="9" s="1"/>
  <c r="G385" i="9"/>
  <c r="F386" i="9"/>
  <c r="H386" i="9" s="1"/>
  <c r="G386" i="9"/>
  <c r="F387" i="9"/>
  <c r="G387" i="9"/>
  <c r="H387" i="9" s="1"/>
  <c r="F388" i="9"/>
  <c r="G388" i="9"/>
  <c r="H388" i="9"/>
  <c r="F389" i="9"/>
  <c r="H389" i="9" s="1"/>
  <c r="G389" i="9"/>
  <c r="F390" i="9"/>
  <c r="H390" i="9" s="1"/>
  <c r="G390" i="9"/>
  <c r="F391" i="9"/>
  <c r="G391" i="9"/>
  <c r="H391" i="9" s="1"/>
  <c r="F392" i="9"/>
  <c r="G392" i="9"/>
  <c r="H392" i="9"/>
  <c r="F393" i="9"/>
  <c r="H393" i="9" s="1"/>
  <c r="G393" i="9"/>
  <c r="F394" i="9"/>
  <c r="H394" i="9" s="1"/>
  <c r="G394" i="9"/>
  <c r="F395" i="9"/>
  <c r="G395" i="9"/>
  <c r="H395" i="9" s="1"/>
  <c r="F396" i="9"/>
  <c r="G396" i="9"/>
  <c r="H396" i="9"/>
  <c r="F397" i="9"/>
  <c r="H397" i="9" s="1"/>
  <c r="G397" i="9"/>
  <c r="F398" i="9"/>
  <c r="H398" i="9" s="1"/>
  <c r="G398" i="9"/>
  <c r="F399" i="9"/>
  <c r="G399" i="9"/>
  <c r="H399" i="9" s="1"/>
  <c r="F400" i="9"/>
  <c r="G400" i="9"/>
  <c r="H400" i="9"/>
  <c r="F401" i="9"/>
  <c r="H401" i="9" s="1"/>
  <c r="G401" i="9"/>
  <c r="F402" i="9"/>
  <c r="H402" i="9" s="1"/>
  <c r="G402" i="9"/>
  <c r="F403" i="9"/>
  <c r="G403" i="9"/>
  <c r="H403" i="9" s="1"/>
  <c r="F404" i="9"/>
  <c r="G404" i="9"/>
  <c r="H404" i="9"/>
  <c r="F405" i="9"/>
  <c r="H405" i="9" s="1"/>
  <c r="G405" i="9"/>
  <c r="F406" i="9"/>
  <c r="H406" i="9" s="1"/>
  <c r="G406" i="9"/>
  <c r="F407" i="9"/>
  <c r="G407" i="9"/>
  <c r="H407" i="9" s="1"/>
  <c r="F408" i="9"/>
  <c r="G408" i="9"/>
  <c r="H408" i="9"/>
  <c r="F409" i="9"/>
  <c r="H409" i="9" s="1"/>
  <c r="G409" i="9"/>
  <c r="F410" i="9"/>
  <c r="H410" i="9" s="1"/>
  <c r="G410" i="9"/>
  <c r="F411" i="9"/>
  <c r="G411" i="9"/>
  <c r="H411" i="9" s="1"/>
  <c r="F412" i="9"/>
  <c r="G412" i="9"/>
  <c r="H412" i="9"/>
  <c r="F413" i="9"/>
  <c r="H413" i="9" s="1"/>
  <c r="G413" i="9"/>
  <c r="F414" i="9"/>
  <c r="H414" i="9" s="1"/>
  <c r="G414" i="9"/>
  <c r="F415" i="9"/>
  <c r="G415" i="9"/>
  <c r="H415" i="9" s="1"/>
  <c r="F416" i="9"/>
  <c r="G416" i="9"/>
  <c r="H416" i="9"/>
  <c r="F417" i="9"/>
  <c r="H417" i="9" s="1"/>
  <c r="G417" i="9"/>
  <c r="F418" i="9"/>
  <c r="H418" i="9" s="1"/>
  <c r="G418" i="9"/>
  <c r="F419" i="9"/>
  <c r="G419" i="9"/>
  <c r="H419" i="9" s="1"/>
  <c r="F420" i="9"/>
  <c r="G420" i="9"/>
  <c r="H420" i="9"/>
  <c r="F421" i="9"/>
  <c r="H421" i="9" s="1"/>
  <c r="G421" i="9"/>
  <c r="F422" i="9"/>
  <c r="H422" i="9" s="1"/>
  <c r="G422" i="9"/>
  <c r="F423" i="9"/>
  <c r="G423" i="9"/>
  <c r="H423" i="9" s="1"/>
  <c r="F424" i="9"/>
  <c r="G424" i="9"/>
  <c r="H424" i="9"/>
  <c r="F425" i="9"/>
  <c r="H425" i="9" s="1"/>
  <c r="G425" i="9"/>
  <c r="F426" i="9"/>
  <c r="H426" i="9" s="1"/>
  <c r="G426" i="9"/>
  <c r="F427" i="9"/>
  <c r="G427" i="9"/>
  <c r="H427" i="9" s="1"/>
  <c r="F428" i="9"/>
  <c r="G428" i="9"/>
  <c r="H428" i="9"/>
  <c r="F429" i="9"/>
  <c r="H429" i="9" s="1"/>
  <c r="G429" i="9"/>
  <c r="F430" i="9"/>
  <c r="H430" i="9" s="1"/>
  <c r="G430" i="9"/>
  <c r="F431" i="9"/>
  <c r="G431" i="9"/>
  <c r="H431" i="9" s="1"/>
  <c r="F432" i="9"/>
  <c r="G432" i="9"/>
  <c r="H432" i="9"/>
  <c r="F433" i="9"/>
  <c r="H433" i="9" s="1"/>
  <c r="G433" i="9"/>
  <c r="F434" i="9"/>
  <c r="H434" i="9" s="1"/>
  <c r="G434" i="9"/>
  <c r="F435" i="9"/>
  <c r="G435" i="9"/>
  <c r="H435" i="9" s="1"/>
  <c r="F436" i="9"/>
  <c r="G436" i="9"/>
  <c r="H436" i="9"/>
  <c r="F437" i="9"/>
  <c r="H437" i="9" s="1"/>
  <c r="G437" i="9"/>
  <c r="F438" i="9"/>
  <c r="H438" i="9" s="1"/>
  <c r="G438" i="9"/>
  <c r="F439" i="9"/>
  <c r="G439" i="9"/>
  <c r="H439" i="9" s="1"/>
  <c r="F440" i="9"/>
  <c r="G440" i="9"/>
  <c r="H440" i="9"/>
  <c r="F441" i="9"/>
  <c r="H441" i="9" s="1"/>
  <c r="G441" i="9"/>
  <c r="F442" i="9"/>
  <c r="H442" i="9" s="1"/>
  <c r="G442" i="9"/>
  <c r="F443" i="9"/>
  <c r="G443" i="9"/>
  <c r="H443" i="9" s="1"/>
  <c r="F444" i="9"/>
  <c r="G444" i="9"/>
  <c r="H444" i="9"/>
  <c r="F445" i="9"/>
  <c r="H445" i="9" s="1"/>
  <c r="G445" i="9"/>
  <c r="F446" i="9"/>
  <c r="H446" i="9" s="1"/>
  <c r="G446" i="9"/>
  <c r="F447" i="9"/>
  <c r="G447" i="9"/>
  <c r="H447" i="9" s="1"/>
  <c r="F448" i="9"/>
  <c r="G448" i="9"/>
  <c r="H448" i="9"/>
  <c r="F449" i="9"/>
  <c r="H449" i="9" s="1"/>
  <c r="G449" i="9"/>
  <c r="F450" i="9"/>
  <c r="H450" i="9" s="1"/>
  <c r="G450" i="9"/>
  <c r="F451" i="9"/>
  <c r="G451" i="9"/>
  <c r="H451" i="9" s="1"/>
  <c r="F452" i="9"/>
  <c r="G452" i="9"/>
  <c r="H452" i="9"/>
  <c r="F453" i="9"/>
  <c r="H453" i="9" s="1"/>
  <c r="G453" i="9"/>
  <c r="F454" i="9"/>
  <c r="H454" i="9" s="1"/>
  <c r="G454" i="9"/>
  <c r="F455" i="9"/>
  <c r="G455" i="9"/>
  <c r="H455" i="9" s="1"/>
  <c r="F456" i="9"/>
  <c r="G456" i="9"/>
  <c r="H456" i="9"/>
  <c r="F457" i="9"/>
  <c r="H457" i="9" s="1"/>
  <c r="G457" i="9"/>
  <c r="F458" i="9"/>
  <c r="H458" i="9" s="1"/>
  <c r="G458" i="9"/>
  <c r="F459" i="9"/>
  <c r="G459" i="9"/>
  <c r="H459" i="9" s="1"/>
  <c r="F460" i="9"/>
  <c r="G460" i="9"/>
  <c r="H460" i="9"/>
  <c r="F461" i="9"/>
  <c r="H461" i="9" s="1"/>
  <c r="G461" i="9"/>
  <c r="F462" i="9"/>
  <c r="H462" i="9" s="1"/>
  <c r="G462" i="9"/>
  <c r="F463" i="9"/>
  <c r="G463" i="9"/>
  <c r="H463" i="9" s="1"/>
  <c r="F464" i="9"/>
  <c r="G464" i="9"/>
  <c r="H464" i="9"/>
  <c r="F465" i="9"/>
  <c r="H465" i="9" s="1"/>
  <c r="G465" i="9"/>
  <c r="F466" i="9"/>
  <c r="H466" i="9" s="1"/>
  <c r="G466" i="9"/>
  <c r="F467" i="9"/>
  <c r="G467" i="9"/>
  <c r="H467" i="9" s="1"/>
  <c r="F468" i="9"/>
  <c r="G468" i="9"/>
  <c r="H468" i="9"/>
  <c r="F469" i="9"/>
  <c r="H469" i="9" s="1"/>
  <c r="G469" i="9"/>
  <c r="F470" i="9"/>
  <c r="H470" i="9" s="1"/>
  <c r="G470" i="9"/>
  <c r="F471" i="9"/>
  <c r="G471" i="9"/>
  <c r="H471" i="9" s="1"/>
  <c r="F472" i="9"/>
  <c r="G472" i="9"/>
  <c r="H472" i="9"/>
  <c r="F473" i="9"/>
  <c r="H473" i="9" s="1"/>
  <c r="G473" i="9"/>
  <c r="F474" i="9"/>
  <c r="H474" i="9" s="1"/>
  <c r="G474" i="9"/>
  <c r="F475" i="9"/>
  <c r="G475" i="9"/>
  <c r="H475" i="9" s="1"/>
  <c r="F476" i="9"/>
  <c r="G476" i="9"/>
  <c r="H476" i="9"/>
  <c r="F477" i="9"/>
  <c r="H477" i="9" s="1"/>
  <c r="G477" i="9"/>
  <c r="F478" i="9"/>
  <c r="H478" i="9" s="1"/>
  <c r="G478" i="9"/>
  <c r="F479" i="9"/>
  <c r="G479" i="9"/>
  <c r="H479" i="9" s="1"/>
  <c r="F480" i="9"/>
  <c r="G480" i="9"/>
  <c r="H480" i="9"/>
  <c r="F481" i="9"/>
  <c r="H481" i="9" s="1"/>
  <c r="G481" i="9"/>
  <c r="F482" i="9"/>
  <c r="H482" i="9" s="1"/>
  <c r="G482" i="9"/>
  <c r="F483" i="9"/>
  <c r="G483" i="9"/>
  <c r="H483" i="9" s="1"/>
  <c r="F484" i="9"/>
  <c r="G484" i="9"/>
  <c r="H484" i="9"/>
  <c r="F485" i="9"/>
  <c r="H485" i="9" s="1"/>
  <c r="G485" i="9"/>
  <c r="F486" i="9"/>
  <c r="H486" i="9" s="1"/>
  <c r="G486" i="9"/>
  <c r="F487" i="9"/>
  <c r="G487" i="9"/>
  <c r="H487" i="9" s="1"/>
  <c r="F488" i="9"/>
  <c r="G488" i="9"/>
  <c r="H488" i="9"/>
  <c r="F489" i="9"/>
  <c r="H489" i="9" s="1"/>
  <c r="G489" i="9"/>
  <c r="F490" i="9"/>
  <c r="H490" i="9" s="1"/>
  <c r="G490" i="9"/>
  <c r="F491" i="9"/>
  <c r="G491" i="9"/>
  <c r="H491" i="9" s="1"/>
  <c r="F492" i="9"/>
  <c r="G492" i="9"/>
  <c r="H492" i="9"/>
  <c r="F493" i="9"/>
  <c r="H493" i="9" s="1"/>
  <c r="G493" i="9"/>
  <c r="F494" i="9"/>
  <c r="H494" i="9" s="1"/>
  <c r="G494" i="9"/>
  <c r="F495" i="9"/>
  <c r="G495" i="9"/>
  <c r="H495" i="9" s="1"/>
  <c r="F496" i="9"/>
  <c r="G496" i="9"/>
  <c r="H496" i="9"/>
  <c r="F497" i="9"/>
  <c r="H497" i="9" s="1"/>
  <c r="G497" i="9"/>
  <c r="F498" i="9"/>
  <c r="H498" i="9" s="1"/>
  <c r="G498" i="9"/>
  <c r="F499" i="9"/>
  <c r="G499" i="9"/>
  <c r="H499" i="9" s="1"/>
  <c r="F500" i="9"/>
  <c r="G500" i="9"/>
  <c r="H500" i="9"/>
  <c r="F501" i="9"/>
  <c r="H501" i="9" s="1"/>
  <c r="G501" i="9"/>
  <c r="F502" i="9"/>
  <c r="H502" i="9" s="1"/>
  <c r="G502" i="9"/>
  <c r="F503" i="9"/>
  <c r="G503" i="9"/>
  <c r="H503" i="9" s="1"/>
  <c r="F504" i="9"/>
  <c r="G504" i="9"/>
  <c r="H504" i="9"/>
  <c r="F505" i="9"/>
  <c r="H505" i="9" s="1"/>
  <c r="G505" i="9"/>
  <c r="F506" i="9"/>
  <c r="H506" i="9" s="1"/>
  <c r="G506" i="9"/>
  <c r="F507" i="9"/>
  <c r="G507" i="9"/>
  <c r="H507" i="9" s="1"/>
  <c r="F508" i="9"/>
  <c r="G508" i="9"/>
  <c r="H508" i="9"/>
  <c r="F509" i="9"/>
  <c r="H509" i="9" s="1"/>
  <c r="G509" i="9"/>
  <c r="F510" i="9"/>
  <c r="H510" i="9" s="1"/>
  <c r="G510" i="9"/>
  <c r="F511" i="9"/>
  <c r="G511" i="9"/>
  <c r="H511" i="9" s="1"/>
  <c r="F512" i="9"/>
  <c r="G512" i="9"/>
  <c r="H512" i="9"/>
  <c r="F513" i="9"/>
  <c r="H513" i="9" s="1"/>
  <c r="G513" i="9"/>
  <c r="F514" i="9"/>
  <c r="H514" i="9" s="1"/>
  <c r="G514" i="9"/>
  <c r="F515" i="9"/>
  <c r="G515" i="9"/>
  <c r="H515" i="9" s="1"/>
  <c r="F516" i="9"/>
  <c r="G516" i="9"/>
  <c r="H516" i="9"/>
  <c r="F517" i="9"/>
  <c r="H517" i="9" s="1"/>
  <c r="G517" i="9"/>
  <c r="F518" i="9"/>
  <c r="H518" i="9" s="1"/>
  <c r="G518" i="9"/>
  <c r="F519" i="9"/>
  <c r="G519" i="9"/>
  <c r="H519" i="9" s="1"/>
  <c r="F520" i="9"/>
  <c r="G520" i="9"/>
  <c r="H520" i="9"/>
  <c r="F521" i="9"/>
  <c r="H521" i="9" s="1"/>
  <c r="G521" i="9"/>
  <c r="F522" i="9"/>
  <c r="H522" i="9" s="1"/>
  <c r="G522" i="9"/>
  <c r="F523" i="9"/>
  <c r="G523" i="9"/>
  <c r="H523" i="9" s="1"/>
  <c r="F524" i="9"/>
  <c r="G524" i="9"/>
  <c r="H524" i="9"/>
  <c r="F525" i="9"/>
  <c r="H525" i="9" s="1"/>
  <c r="G525" i="9"/>
  <c r="F526" i="9"/>
  <c r="H526" i="9" s="1"/>
  <c r="G526" i="9"/>
  <c r="F527" i="9"/>
  <c r="G527" i="9"/>
  <c r="H527" i="9" s="1"/>
  <c r="F528" i="9"/>
  <c r="G528" i="9"/>
  <c r="H528" i="9"/>
  <c r="F529" i="9"/>
  <c r="H529" i="9" s="1"/>
  <c r="G529" i="9"/>
  <c r="F530" i="9"/>
  <c r="H530" i="9" s="1"/>
  <c r="G530" i="9"/>
  <c r="F531" i="9"/>
  <c r="G531" i="9"/>
  <c r="H531" i="9" s="1"/>
  <c r="F532" i="9"/>
  <c r="G532" i="9"/>
  <c r="H532" i="9"/>
  <c r="F533" i="9"/>
  <c r="H533" i="9" s="1"/>
  <c r="G533" i="9"/>
  <c r="F534" i="9"/>
  <c r="H534" i="9" s="1"/>
  <c r="G534" i="9"/>
  <c r="F535" i="9"/>
  <c r="G535" i="9"/>
  <c r="H535" i="9" s="1"/>
  <c r="F536" i="9"/>
  <c r="G536" i="9"/>
  <c r="H536" i="9"/>
  <c r="F537" i="9"/>
  <c r="H537" i="9" s="1"/>
  <c r="G537" i="9"/>
  <c r="F538" i="9"/>
  <c r="H538" i="9" s="1"/>
  <c r="G538" i="9"/>
  <c r="F539" i="9"/>
  <c r="G539" i="9"/>
  <c r="H539" i="9" s="1"/>
  <c r="F540" i="9"/>
  <c r="G540" i="9"/>
  <c r="H540" i="9"/>
  <c r="F541" i="9"/>
  <c r="H541" i="9" s="1"/>
  <c r="G541" i="9"/>
  <c r="F542" i="9"/>
  <c r="H542" i="9" s="1"/>
  <c r="G542" i="9"/>
  <c r="F543" i="9"/>
  <c r="G543" i="9"/>
  <c r="H543" i="9" s="1"/>
  <c r="F544" i="9"/>
  <c r="G544" i="9"/>
  <c r="H544" i="9"/>
  <c r="F545" i="9"/>
  <c r="H545" i="9" s="1"/>
  <c r="G545" i="9"/>
  <c r="F546" i="9"/>
  <c r="H546" i="9" s="1"/>
  <c r="G546" i="9"/>
  <c r="F547" i="9"/>
  <c r="G547" i="9"/>
  <c r="H547" i="9" s="1"/>
  <c r="F548" i="9"/>
  <c r="G548" i="9"/>
  <c r="H548" i="9"/>
  <c r="F549" i="9"/>
  <c r="H549" i="9" s="1"/>
  <c r="G549" i="9"/>
  <c r="F550" i="9"/>
  <c r="H550" i="9" s="1"/>
  <c r="G550" i="9"/>
  <c r="F551" i="9"/>
  <c r="G551" i="9"/>
  <c r="H551" i="9" s="1"/>
  <c r="F552" i="9"/>
  <c r="G552" i="9"/>
  <c r="H552" i="9"/>
  <c r="F553" i="9"/>
  <c r="H553" i="9" s="1"/>
  <c r="G553" i="9"/>
  <c r="F554" i="9"/>
  <c r="H554" i="9" s="1"/>
  <c r="G554" i="9"/>
  <c r="F555" i="9"/>
  <c r="G555" i="9"/>
  <c r="H555" i="9" s="1"/>
  <c r="F556" i="9"/>
  <c r="G556" i="9"/>
  <c r="H556" i="9"/>
  <c r="F557" i="9"/>
  <c r="H557" i="9" s="1"/>
  <c r="G557" i="9"/>
  <c r="F558" i="9"/>
  <c r="H558" i="9" s="1"/>
  <c r="G558" i="9"/>
  <c r="F559" i="9"/>
  <c r="G559" i="9"/>
  <c r="H559" i="9" s="1"/>
  <c r="F560" i="9"/>
  <c r="G560" i="9"/>
  <c r="H560" i="9"/>
  <c r="F561" i="9"/>
  <c r="H561" i="9" s="1"/>
  <c r="G561" i="9"/>
  <c r="F562" i="9"/>
  <c r="H562" i="9" s="1"/>
  <c r="G562" i="9"/>
  <c r="F563" i="9"/>
  <c r="G563" i="9"/>
  <c r="H563" i="9" s="1"/>
  <c r="F564" i="9"/>
  <c r="G564" i="9"/>
  <c r="H564" i="9"/>
  <c r="F565" i="9"/>
  <c r="H565" i="9" s="1"/>
  <c r="G565" i="9"/>
  <c r="F566" i="9"/>
  <c r="H566" i="9" s="1"/>
  <c r="G566" i="9"/>
  <c r="F567" i="9"/>
  <c r="G567" i="9"/>
  <c r="H567" i="9" s="1"/>
  <c r="F568" i="9"/>
  <c r="G568" i="9"/>
  <c r="H568" i="9"/>
  <c r="F569" i="9"/>
  <c r="H569" i="9" s="1"/>
  <c r="G569" i="9"/>
  <c r="F570" i="9"/>
  <c r="H570" i="9" s="1"/>
  <c r="G570" i="9"/>
  <c r="F571" i="9"/>
  <c r="G571" i="9"/>
  <c r="H571" i="9" s="1"/>
  <c r="F572" i="9"/>
  <c r="G572" i="9"/>
  <c r="H572" i="9"/>
  <c r="F573" i="9"/>
  <c r="H573" i="9" s="1"/>
  <c r="G573" i="9"/>
  <c r="F574" i="9"/>
  <c r="H574" i="9" s="1"/>
  <c r="G574" i="9"/>
  <c r="F575" i="9"/>
  <c r="G575" i="9"/>
  <c r="H575" i="9" s="1"/>
  <c r="F576" i="9"/>
  <c r="G576" i="9"/>
  <c r="H576" i="9"/>
  <c r="F577" i="9"/>
  <c r="H577" i="9" s="1"/>
  <c r="G577" i="9"/>
  <c r="F578" i="9"/>
  <c r="H578" i="9" s="1"/>
  <c r="G578" i="9"/>
  <c r="F579" i="9"/>
  <c r="G579" i="9"/>
  <c r="H579" i="9" s="1"/>
  <c r="F580" i="9"/>
  <c r="G580" i="9"/>
  <c r="H580" i="9"/>
  <c r="F581" i="9"/>
  <c r="H581" i="9" s="1"/>
  <c r="G581" i="9"/>
  <c r="F582" i="9"/>
  <c r="H582" i="9" s="1"/>
  <c r="G582" i="9"/>
  <c r="F583" i="9"/>
  <c r="G583" i="9"/>
  <c r="H583" i="9" s="1"/>
  <c r="F584" i="9"/>
  <c r="G584" i="9"/>
  <c r="H584" i="9"/>
  <c r="F585" i="9"/>
  <c r="H585" i="9" s="1"/>
  <c r="G585" i="9"/>
  <c r="F586" i="9"/>
  <c r="H586" i="9" s="1"/>
  <c r="G586" i="9"/>
  <c r="F587" i="9"/>
  <c r="G587" i="9"/>
  <c r="H587" i="9" s="1"/>
  <c r="F588" i="9"/>
  <c r="G588" i="9"/>
  <c r="H588" i="9"/>
  <c r="F589" i="9"/>
  <c r="H589" i="9" s="1"/>
  <c r="G589" i="9"/>
  <c r="F590" i="9"/>
  <c r="H590" i="9" s="1"/>
  <c r="G590" i="9"/>
  <c r="F591" i="9"/>
  <c r="G591" i="9"/>
  <c r="H591" i="9" s="1"/>
  <c r="F592" i="9"/>
  <c r="G592" i="9"/>
  <c r="H592" i="9"/>
  <c r="F593" i="9"/>
  <c r="H593" i="9" s="1"/>
  <c r="G593" i="9"/>
  <c r="F594" i="9"/>
  <c r="H594" i="9" s="1"/>
  <c r="G594" i="9"/>
  <c r="F595" i="9"/>
  <c r="G595" i="9"/>
  <c r="H595" i="9" s="1"/>
  <c r="F596" i="9"/>
  <c r="G596" i="9"/>
  <c r="H596" i="9"/>
  <c r="F597" i="9"/>
  <c r="H597" i="9" s="1"/>
  <c r="G597" i="9"/>
  <c r="F598" i="9"/>
  <c r="H598" i="9" s="1"/>
  <c r="G598" i="9"/>
  <c r="F599" i="9"/>
  <c r="G599" i="9"/>
  <c r="H599" i="9" s="1"/>
  <c r="F600" i="9"/>
  <c r="G600" i="9"/>
  <c r="H600" i="9"/>
  <c r="F601" i="9"/>
  <c r="H601" i="9" s="1"/>
  <c r="G601" i="9"/>
  <c r="F602" i="9"/>
  <c r="H602" i="9" s="1"/>
  <c r="G602" i="9"/>
  <c r="F603" i="9"/>
  <c r="G603" i="9"/>
  <c r="H603" i="9" s="1"/>
  <c r="F604" i="9"/>
  <c r="G604" i="9"/>
  <c r="H604" i="9"/>
  <c r="F605" i="9"/>
  <c r="H605" i="9" s="1"/>
  <c r="G605" i="9"/>
  <c r="F606" i="9"/>
  <c r="H606" i="9" s="1"/>
  <c r="G606" i="9"/>
  <c r="F607" i="9"/>
  <c r="G607" i="9"/>
  <c r="H607" i="9" s="1"/>
  <c r="F608" i="9"/>
  <c r="G608" i="9"/>
  <c r="H608" i="9"/>
  <c r="F609" i="9"/>
  <c r="H609" i="9" s="1"/>
  <c r="G609" i="9"/>
  <c r="F610" i="9"/>
  <c r="H610" i="9" s="1"/>
  <c r="G610" i="9"/>
  <c r="F611" i="9"/>
  <c r="G611" i="9"/>
  <c r="H611" i="9" s="1"/>
  <c r="F612" i="9"/>
  <c r="G612" i="9"/>
  <c r="H612" i="9"/>
  <c r="F613" i="9"/>
  <c r="H613" i="9" s="1"/>
  <c r="G613" i="9"/>
  <c r="F614" i="9"/>
  <c r="H614" i="9" s="1"/>
  <c r="G614" i="9"/>
  <c r="F615" i="9"/>
  <c r="G615" i="9"/>
  <c r="H615" i="9" s="1"/>
  <c r="F616" i="9"/>
  <c r="G616" i="9"/>
  <c r="H616" i="9"/>
  <c r="F617" i="9"/>
  <c r="H617" i="9" s="1"/>
  <c r="G617" i="9"/>
  <c r="F618" i="9"/>
  <c r="H618" i="9" s="1"/>
  <c r="G618" i="9"/>
  <c r="F619" i="9"/>
  <c r="G619" i="9"/>
  <c r="H619" i="9" s="1"/>
  <c r="F620" i="9"/>
  <c r="G620" i="9"/>
  <c r="H620" i="9"/>
  <c r="F621" i="9"/>
  <c r="H621" i="9" s="1"/>
  <c r="G621" i="9"/>
  <c r="F622" i="9"/>
  <c r="H622" i="9" s="1"/>
  <c r="G622" i="9"/>
  <c r="F623" i="9"/>
  <c r="G623" i="9"/>
  <c r="H623" i="9" s="1"/>
  <c r="F624" i="9"/>
  <c r="G624" i="9"/>
  <c r="H624" i="9"/>
  <c r="F625" i="9"/>
  <c r="H625" i="9" s="1"/>
  <c r="G625" i="9"/>
  <c r="F626" i="9"/>
  <c r="H626" i="9" s="1"/>
  <c r="G626" i="9"/>
  <c r="F627" i="9"/>
  <c r="G627" i="9"/>
  <c r="H627" i="9" s="1"/>
  <c r="F628" i="9"/>
  <c r="G628" i="9"/>
  <c r="H628" i="9"/>
  <c r="F629" i="9"/>
  <c r="H629" i="9" s="1"/>
  <c r="G629" i="9"/>
  <c r="F630" i="9"/>
  <c r="H630" i="9" s="1"/>
  <c r="G630" i="9"/>
  <c r="F631" i="9"/>
  <c r="G631" i="9"/>
  <c r="H631" i="9" s="1"/>
  <c r="F632" i="9"/>
  <c r="G632" i="9"/>
  <c r="H632" i="9"/>
  <c r="F633" i="9"/>
  <c r="H633" i="9" s="1"/>
  <c r="G633" i="9"/>
  <c r="F634" i="9"/>
  <c r="H634" i="9" s="1"/>
  <c r="G634" i="9"/>
  <c r="F635" i="9"/>
  <c r="G635" i="9"/>
  <c r="H635" i="9" s="1"/>
  <c r="F636" i="9"/>
  <c r="G636" i="9"/>
  <c r="H636" i="9"/>
  <c r="F637" i="9"/>
  <c r="H637" i="9" s="1"/>
  <c r="G637" i="9"/>
  <c r="F638" i="9"/>
  <c r="H638" i="9" s="1"/>
  <c r="G638" i="9"/>
  <c r="F639" i="9"/>
  <c r="G639" i="9"/>
  <c r="H639" i="9" s="1"/>
  <c r="F640" i="9"/>
  <c r="G640" i="9"/>
  <c r="H640" i="9"/>
  <c r="F641" i="9"/>
  <c r="H641" i="9" s="1"/>
  <c r="G641" i="9"/>
  <c r="F642" i="9"/>
  <c r="H642" i="9" s="1"/>
  <c r="G642" i="9"/>
  <c r="F643" i="9"/>
  <c r="G643" i="9"/>
  <c r="H643" i="9" s="1"/>
  <c r="F644" i="9"/>
  <c r="G644" i="9"/>
  <c r="H644" i="9"/>
  <c r="F645" i="9"/>
  <c r="H645" i="9" s="1"/>
  <c r="G645" i="9"/>
  <c r="F646" i="9"/>
  <c r="H646" i="9" s="1"/>
  <c r="G646" i="9"/>
  <c r="F647" i="9"/>
  <c r="G647" i="9"/>
  <c r="H647" i="9" s="1"/>
  <c r="F648" i="9"/>
  <c r="G648" i="9"/>
  <c r="H648" i="9"/>
  <c r="F649" i="9"/>
  <c r="H649" i="9" s="1"/>
  <c r="G649" i="9"/>
  <c r="F650" i="9"/>
  <c r="H650" i="9" s="1"/>
  <c r="G650" i="9"/>
  <c r="F651" i="9"/>
  <c r="G651" i="9"/>
  <c r="H651" i="9" s="1"/>
  <c r="F652" i="9"/>
  <c r="G652" i="9"/>
  <c r="H652" i="9"/>
  <c r="F653" i="9"/>
  <c r="H653" i="9" s="1"/>
  <c r="G653" i="9"/>
  <c r="F654" i="9"/>
  <c r="H654" i="9" s="1"/>
  <c r="G654" i="9"/>
  <c r="F655" i="9"/>
  <c r="G655" i="9"/>
  <c r="H655" i="9" s="1"/>
  <c r="F656" i="9"/>
  <c r="G656" i="9"/>
  <c r="H656" i="9"/>
  <c r="F657" i="9"/>
  <c r="H657" i="9" s="1"/>
  <c r="G657" i="9"/>
  <c r="F658" i="9"/>
  <c r="H658" i="9" s="1"/>
  <c r="G658" i="9"/>
  <c r="F659" i="9"/>
  <c r="G659" i="9"/>
  <c r="H659" i="9" s="1"/>
  <c r="F660" i="9"/>
  <c r="G660" i="9"/>
  <c r="H660" i="9"/>
  <c r="F661" i="9"/>
  <c r="H661" i="9" s="1"/>
  <c r="G661" i="9"/>
  <c r="F662" i="9"/>
  <c r="H662" i="9" s="1"/>
  <c r="G662" i="9"/>
  <c r="F663" i="9"/>
  <c r="G663" i="9"/>
  <c r="H663" i="9" s="1"/>
  <c r="F664" i="9"/>
  <c r="G664" i="9"/>
  <c r="H664" i="9"/>
  <c r="F665" i="9"/>
  <c r="H665" i="9" s="1"/>
  <c r="G665" i="9"/>
  <c r="F666" i="9"/>
  <c r="H666" i="9" s="1"/>
  <c r="G666" i="9"/>
  <c r="F667" i="9"/>
  <c r="G667" i="9"/>
  <c r="H667" i="9" s="1"/>
  <c r="F668" i="9"/>
  <c r="G668" i="9"/>
  <c r="H668" i="9"/>
  <c r="F669" i="9"/>
  <c r="H669" i="9" s="1"/>
  <c r="G669" i="9"/>
  <c r="F670" i="9"/>
  <c r="H670" i="9" s="1"/>
  <c r="G670" i="9"/>
  <c r="F671" i="9"/>
  <c r="G671" i="9"/>
  <c r="H671" i="9" s="1"/>
  <c r="F672" i="9"/>
  <c r="G672" i="9"/>
  <c r="H672" i="9"/>
  <c r="F673" i="9"/>
  <c r="H673" i="9" s="1"/>
  <c r="G673" i="9"/>
  <c r="F674" i="9"/>
  <c r="G674" i="9"/>
  <c r="F675" i="9"/>
  <c r="H675" i="9" s="1"/>
  <c r="G675" i="9"/>
  <c r="F676" i="9"/>
  <c r="G676" i="9"/>
  <c r="H676" i="9" s="1"/>
  <c r="F677" i="9"/>
  <c r="G677" i="9"/>
  <c r="H677" i="9"/>
  <c r="F678" i="9"/>
  <c r="G678" i="9"/>
  <c r="F679" i="9"/>
  <c r="H679" i="9" s="1"/>
  <c r="G679" i="9"/>
  <c r="F680" i="9"/>
  <c r="G680" i="9"/>
  <c r="H680" i="9"/>
  <c r="F681" i="9"/>
  <c r="G681" i="9"/>
  <c r="H681" i="9"/>
  <c r="F682" i="9"/>
  <c r="H682" i="9" s="1"/>
  <c r="G682" i="9"/>
  <c r="F683" i="9"/>
  <c r="H683" i="9" s="1"/>
  <c r="G683" i="9"/>
  <c r="F684" i="9"/>
  <c r="G684" i="9"/>
  <c r="H684" i="9"/>
  <c r="F685" i="9"/>
  <c r="G685" i="9"/>
  <c r="H685" i="9"/>
  <c r="F686" i="9"/>
  <c r="H686" i="9" s="1"/>
  <c r="G686" i="9"/>
  <c r="F687" i="9"/>
  <c r="H687" i="9" s="1"/>
  <c r="G687" i="9"/>
  <c r="F688" i="9"/>
  <c r="G688" i="9"/>
  <c r="H688" i="9"/>
  <c r="F689" i="9"/>
  <c r="G689" i="9"/>
  <c r="H689" i="9"/>
  <c r="F690" i="9"/>
  <c r="H690" i="9" s="1"/>
  <c r="G690" i="9"/>
  <c r="F691" i="9"/>
  <c r="H691" i="9" s="1"/>
  <c r="G691" i="9"/>
  <c r="F692" i="9"/>
  <c r="G692" i="9"/>
  <c r="H692" i="9"/>
  <c r="F693" i="9"/>
  <c r="G693" i="9"/>
  <c r="H693" i="9"/>
  <c r="F694" i="9"/>
  <c r="H694" i="9" s="1"/>
  <c r="G694" i="9"/>
  <c r="F695" i="9"/>
  <c r="H695" i="9" s="1"/>
  <c r="G695" i="9"/>
  <c r="F696" i="9"/>
  <c r="G696" i="9"/>
  <c r="H696" i="9"/>
  <c r="F697" i="9"/>
  <c r="G697" i="9"/>
  <c r="H697" i="9"/>
  <c r="F698" i="9"/>
  <c r="H698" i="9" s="1"/>
  <c r="G698" i="9"/>
  <c r="F699" i="9"/>
  <c r="H699" i="9" s="1"/>
  <c r="G699" i="9"/>
  <c r="F700" i="9"/>
  <c r="G700" i="9"/>
  <c r="H700" i="9"/>
  <c r="F701" i="9"/>
  <c r="G701" i="9"/>
  <c r="H701" i="9"/>
  <c r="F702" i="9"/>
  <c r="H702" i="9" s="1"/>
  <c r="G702" i="9"/>
  <c r="F703" i="9"/>
  <c r="H703" i="9" s="1"/>
  <c r="G703" i="9"/>
  <c r="F704" i="9"/>
  <c r="G704" i="9"/>
  <c r="H704" i="9"/>
  <c r="F705" i="9"/>
  <c r="G705" i="9"/>
  <c r="H705" i="9"/>
  <c r="F706" i="9"/>
  <c r="H706" i="9" s="1"/>
  <c r="G706" i="9"/>
  <c r="F707" i="9"/>
  <c r="H707" i="9" s="1"/>
  <c r="G707" i="9"/>
  <c r="F708" i="9"/>
  <c r="G708" i="9"/>
  <c r="H708" i="9"/>
  <c r="F709" i="9"/>
  <c r="G709" i="9"/>
  <c r="H709" i="9"/>
  <c r="F710" i="9"/>
  <c r="H710" i="9" s="1"/>
  <c r="G710" i="9"/>
  <c r="F711" i="9"/>
  <c r="H711" i="9" s="1"/>
  <c r="G711" i="9"/>
  <c r="F712" i="9"/>
  <c r="G712" i="9"/>
  <c r="H712" i="9"/>
  <c r="F713" i="9"/>
  <c r="G713" i="9"/>
  <c r="H713" i="9"/>
  <c r="F714" i="9"/>
  <c r="H714" i="9" s="1"/>
  <c r="G714" i="9"/>
  <c r="F715" i="9"/>
  <c r="H715" i="9" s="1"/>
  <c r="G715" i="9"/>
  <c r="F716" i="9"/>
  <c r="G716" i="9"/>
  <c r="H716" i="9"/>
  <c r="F717" i="9"/>
  <c r="G717" i="9"/>
  <c r="H717" i="9"/>
  <c r="F718" i="9"/>
  <c r="H718" i="9" s="1"/>
  <c r="G718" i="9"/>
  <c r="F719" i="9"/>
  <c r="H719" i="9" s="1"/>
  <c r="G719" i="9"/>
  <c r="F720" i="9"/>
  <c r="G720" i="9"/>
  <c r="H720" i="9"/>
  <c r="F721" i="9"/>
  <c r="G721" i="9"/>
  <c r="H721" i="9"/>
  <c r="F722" i="9"/>
  <c r="H722" i="9" s="1"/>
  <c r="G722" i="9"/>
  <c r="F723" i="9"/>
  <c r="H723" i="9" s="1"/>
  <c r="G723" i="9"/>
  <c r="F724" i="9"/>
  <c r="G724" i="9"/>
  <c r="H724" i="9"/>
  <c r="F725" i="9"/>
  <c r="G725" i="9"/>
  <c r="H725" i="9"/>
  <c r="F726" i="9"/>
  <c r="H726" i="9" s="1"/>
  <c r="G726" i="9"/>
  <c r="F727" i="9"/>
  <c r="H727" i="9" s="1"/>
  <c r="G727" i="9"/>
  <c r="F728" i="9"/>
  <c r="G728" i="9"/>
  <c r="H728" i="9"/>
  <c r="F729" i="9"/>
  <c r="G729" i="9"/>
  <c r="H729" i="9"/>
  <c r="F730" i="9"/>
  <c r="H730" i="9" s="1"/>
  <c r="G730" i="9"/>
  <c r="F731" i="9"/>
  <c r="H731" i="9" s="1"/>
  <c r="G731" i="9"/>
  <c r="F732" i="9"/>
  <c r="G732" i="9"/>
  <c r="H732" i="9"/>
  <c r="F733" i="9"/>
  <c r="G733" i="9"/>
  <c r="H733" i="9"/>
  <c r="F734" i="9"/>
  <c r="H734" i="9" s="1"/>
  <c r="G734" i="9"/>
  <c r="F735" i="9"/>
  <c r="H735" i="9" s="1"/>
  <c r="G735" i="9"/>
  <c r="F736" i="9"/>
  <c r="G736" i="9"/>
  <c r="H736" i="9"/>
  <c r="F737" i="9"/>
  <c r="G737" i="9"/>
  <c r="H737" i="9"/>
  <c r="F738" i="9"/>
  <c r="H738" i="9" s="1"/>
  <c r="G738" i="9"/>
  <c r="F739" i="9"/>
  <c r="H739" i="9" s="1"/>
  <c r="G739" i="9"/>
  <c r="F740" i="9"/>
  <c r="G740" i="9"/>
  <c r="H740" i="9"/>
  <c r="F741" i="9"/>
  <c r="G741" i="9"/>
  <c r="H741" i="9"/>
  <c r="F742" i="9"/>
  <c r="H742" i="9" s="1"/>
  <c r="G742" i="9"/>
  <c r="F743" i="9"/>
  <c r="H743" i="9" s="1"/>
  <c r="G743" i="9"/>
  <c r="F744" i="9"/>
  <c r="G744" i="9"/>
  <c r="H744" i="9"/>
  <c r="F745" i="9"/>
  <c r="G745" i="9"/>
  <c r="H745" i="9"/>
  <c r="F746" i="9"/>
  <c r="H746" i="9" s="1"/>
  <c r="G746" i="9"/>
  <c r="F747" i="9"/>
  <c r="H747" i="9" s="1"/>
  <c r="G747" i="9"/>
  <c r="F748" i="9"/>
  <c r="G748" i="9"/>
  <c r="H748" i="9"/>
  <c r="F749" i="9"/>
  <c r="G749" i="9"/>
  <c r="H749" i="9"/>
  <c r="F750" i="9"/>
  <c r="H750" i="9" s="1"/>
  <c r="G750" i="9"/>
  <c r="F751" i="9"/>
  <c r="H751" i="9" s="1"/>
  <c r="G751" i="9"/>
  <c r="F752" i="9"/>
  <c r="G752" i="9"/>
  <c r="H752" i="9"/>
  <c r="F753" i="9"/>
  <c r="G753" i="9"/>
  <c r="H753" i="9"/>
  <c r="F754" i="9"/>
  <c r="H754" i="9" s="1"/>
  <c r="G754" i="9"/>
  <c r="F755" i="9"/>
  <c r="H755" i="9" s="1"/>
  <c r="G755" i="9"/>
  <c r="F756" i="9"/>
  <c r="G756" i="9"/>
  <c r="H756" i="9"/>
  <c r="F757" i="9"/>
  <c r="G757" i="9"/>
  <c r="H757" i="9"/>
  <c r="F758" i="9"/>
  <c r="H758" i="9" s="1"/>
  <c r="G758" i="9"/>
  <c r="F759" i="9"/>
  <c r="H759" i="9" s="1"/>
  <c r="G759" i="9"/>
  <c r="F760" i="9"/>
  <c r="G760" i="9"/>
  <c r="H760" i="9"/>
  <c r="F761" i="9"/>
  <c r="G761" i="9"/>
  <c r="H761" i="9"/>
  <c r="F762" i="9"/>
  <c r="H762" i="9" s="1"/>
  <c r="G762" i="9"/>
  <c r="F763" i="9"/>
  <c r="H763" i="9" s="1"/>
  <c r="G763" i="9"/>
  <c r="F764" i="9"/>
  <c r="G764" i="9"/>
  <c r="H764" i="9"/>
  <c r="F765" i="9"/>
  <c r="G765" i="9"/>
  <c r="H765" i="9"/>
  <c r="F766" i="9"/>
  <c r="H766" i="9" s="1"/>
  <c r="G766" i="9"/>
  <c r="F767" i="9"/>
  <c r="H767" i="9" s="1"/>
  <c r="G767" i="9"/>
  <c r="F768" i="9"/>
  <c r="G768" i="9"/>
  <c r="H768" i="9"/>
  <c r="F769" i="9"/>
  <c r="G769" i="9"/>
  <c r="H769" i="9"/>
  <c r="F770" i="9"/>
  <c r="H770" i="9" s="1"/>
  <c r="G770" i="9"/>
  <c r="F771" i="9"/>
  <c r="H771" i="9" s="1"/>
  <c r="G771" i="9"/>
  <c r="F772" i="9"/>
  <c r="G772" i="9"/>
  <c r="H772" i="9"/>
  <c r="F773" i="9"/>
  <c r="G773" i="9"/>
  <c r="H773" i="9"/>
  <c r="F774" i="9"/>
  <c r="H774" i="9" s="1"/>
  <c r="G774" i="9"/>
  <c r="F775" i="9"/>
  <c r="H775" i="9" s="1"/>
  <c r="G775" i="9"/>
  <c r="F776" i="9"/>
  <c r="G776" i="9"/>
  <c r="H776" i="9"/>
  <c r="F777" i="9"/>
  <c r="G777" i="9"/>
  <c r="H777" i="9"/>
  <c r="F778" i="9"/>
  <c r="H778" i="9" s="1"/>
  <c r="G778" i="9"/>
  <c r="F779" i="9"/>
  <c r="H779" i="9" s="1"/>
  <c r="G779" i="9"/>
  <c r="F780" i="9"/>
  <c r="G780" i="9"/>
  <c r="H780" i="9"/>
  <c r="F781" i="9"/>
  <c r="G781" i="9"/>
  <c r="H781" i="9"/>
  <c r="F782" i="9"/>
  <c r="H782" i="9" s="1"/>
  <c r="G782" i="9"/>
  <c r="F783" i="9"/>
  <c r="H783" i="9" s="1"/>
  <c r="G783" i="9"/>
  <c r="F784" i="9"/>
  <c r="G784" i="9"/>
  <c r="H784" i="9"/>
  <c r="F785" i="9"/>
  <c r="G785" i="9"/>
  <c r="H785" i="9"/>
  <c r="F786" i="9"/>
  <c r="H786" i="9" s="1"/>
  <c r="G786" i="9"/>
  <c r="F787" i="9"/>
  <c r="H787" i="9" s="1"/>
  <c r="G787" i="9"/>
  <c r="F788" i="9"/>
  <c r="G788" i="9"/>
  <c r="H788" i="9"/>
  <c r="F789" i="9"/>
  <c r="G789" i="9"/>
  <c r="H789" i="9"/>
  <c r="F790" i="9"/>
  <c r="H790" i="9" s="1"/>
  <c r="G790" i="9"/>
  <c r="F791" i="9"/>
  <c r="H791" i="9" s="1"/>
  <c r="G791" i="9"/>
  <c r="F792" i="9"/>
  <c r="G792" i="9"/>
  <c r="H792" i="9"/>
  <c r="F793" i="9"/>
  <c r="G793" i="9"/>
  <c r="H793" i="9"/>
  <c r="F794" i="9"/>
  <c r="H794" i="9" s="1"/>
  <c r="G794" i="9"/>
  <c r="F795" i="9"/>
  <c r="H795" i="9" s="1"/>
  <c r="G795" i="9"/>
  <c r="F796" i="9"/>
  <c r="G796" i="9"/>
  <c r="H796" i="9"/>
  <c r="F797" i="9"/>
  <c r="G797" i="9"/>
  <c r="H797" i="9"/>
  <c r="F798" i="9"/>
  <c r="H798" i="9" s="1"/>
  <c r="G798" i="9"/>
  <c r="F799" i="9"/>
  <c r="H799" i="9" s="1"/>
  <c r="G799" i="9"/>
  <c r="F800" i="9"/>
  <c r="G800" i="9"/>
  <c r="H800" i="9"/>
  <c r="F801" i="9"/>
  <c r="G801" i="9"/>
  <c r="H801" i="9"/>
  <c r="F802" i="9"/>
  <c r="H802" i="9" s="1"/>
  <c r="G802" i="9"/>
  <c r="F803" i="9"/>
  <c r="H803" i="9" s="1"/>
  <c r="G803" i="9"/>
  <c r="F804" i="9"/>
  <c r="G804" i="9"/>
  <c r="H804" i="9"/>
  <c r="F805" i="9"/>
  <c r="G805" i="9"/>
  <c r="H805" i="9"/>
  <c r="F806" i="9"/>
  <c r="H806" i="9" s="1"/>
  <c r="G806" i="9"/>
  <c r="F807" i="9"/>
  <c r="H807" i="9" s="1"/>
  <c r="G807" i="9"/>
  <c r="F808" i="9"/>
  <c r="G808" i="9"/>
  <c r="H808" i="9"/>
  <c r="F809" i="9"/>
  <c r="G809" i="9"/>
  <c r="H809" i="9"/>
  <c r="F810" i="9"/>
  <c r="H810" i="9" s="1"/>
  <c r="G810" i="9"/>
  <c r="F811" i="9"/>
  <c r="H811" i="9" s="1"/>
  <c r="G811" i="9"/>
  <c r="F812" i="9"/>
  <c r="G812" i="9"/>
  <c r="H812" i="9"/>
  <c r="F813" i="9"/>
  <c r="G813" i="9"/>
  <c r="H813" i="9"/>
  <c r="F814" i="9"/>
  <c r="H814" i="9" s="1"/>
  <c r="G814" i="9"/>
  <c r="F815" i="9"/>
  <c r="H815" i="9" s="1"/>
  <c r="G815" i="9"/>
  <c r="F816" i="9"/>
  <c r="G816" i="9"/>
  <c r="H816" i="9"/>
  <c r="F817" i="9"/>
  <c r="G817" i="9"/>
  <c r="H817" i="9"/>
  <c r="F818" i="9"/>
  <c r="H818" i="9" s="1"/>
  <c r="G818" i="9"/>
  <c r="F819" i="9"/>
  <c r="H819" i="9" s="1"/>
  <c r="G819" i="9"/>
  <c r="F820" i="9"/>
  <c r="G820" i="9"/>
  <c r="H820" i="9"/>
  <c r="F821" i="9"/>
  <c r="G821" i="9"/>
  <c r="H821" i="9"/>
  <c r="F822" i="9"/>
  <c r="H822" i="9" s="1"/>
  <c r="G822" i="9"/>
  <c r="F823" i="9"/>
  <c r="H823" i="9" s="1"/>
  <c r="G823" i="9"/>
  <c r="F824" i="9"/>
  <c r="G824" i="9"/>
  <c r="H824" i="9"/>
  <c r="F825" i="9"/>
  <c r="G825" i="9"/>
  <c r="H825" i="9"/>
  <c r="F826" i="9"/>
  <c r="H826" i="9" s="1"/>
  <c r="G826" i="9"/>
  <c r="F827" i="9"/>
  <c r="H827" i="9" s="1"/>
  <c r="G827" i="9"/>
  <c r="F828" i="9"/>
  <c r="G828" i="9"/>
  <c r="H828" i="9"/>
  <c r="F829" i="9"/>
  <c r="G829" i="9"/>
  <c r="H829" i="9"/>
  <c r="F830" i="9"/>
  <c r="H830" i="9" s="1"/>
  <c r="G830" i="9"/>
  <c r="F831" i="9"/>
  <c r="H831" i="9" s="1"/>
  <c r="G831" i="9"/>
  <c r="F832" i="9"/>
  <c r="G832" i="9"/>
  <c r="H832" i="9"/>
  <c r="F833" i="9"/>
  <c r="G833" i="9"/>
  <c r="H833" i="9"/>
  <c r="F834" i="9"/>
  <c r="H834" i="9" s="1"/>
  <c r="G834" i="9"/>
  <c r="F835" i="9"/>
  <c r="H835" i="9" s="1"/>
  <c r="G835" i="9"/>
  <c r="F836" i="9"/>
  <c r="G836" i="9"/>
  <c r="H836" i="9"/>
  <c r="F837" i="9"/>
  <c r="G837" i="9"/>
  <c r="H837" i="9"/>
  <c r="F838" i="9"/>
  <c r="H838" i="9" s="1"/>
  <c r="G838" i="9"/>
  <c r="F839" i="9"/>
  <c r="H839" i="9" s="1"/>
  <c r="G839" i="9"/>
  <c r="F840" i="9"/>
  <c r="G840" i="9"/>
  <c r="H840" i="9"/>
  <c r="F841" i="9"/>
  <c r="G841" i="9"/>
  <c r="H841" i="9"/>
  <c r="F842" i="9"/>
  <c r="H842" i="9" s="1"/>
  <c r="G842" i="9"/>
  <c r="F843" i="9"/>
  <c r="H843" i="9" s="1"/>
  <c r="G843" i="9"/>
  <c r="F844" i="9"/>
  <c r="G844" i="9"/>
  <c r="H844" i="9"/>
  <c r="F845" i="9"/>
  <c r="G845" i="9"/>
  <c r="H845" i="9"/>
  <c r="F846" i="9"/>
  <c r="H846" i="9" s="1"/>
  <c r="G846" i="9"/>
  <c r="F847" i="9"/>
  <c r="H847" i="9" s="1"/>
  <c r="G847" i="9"/>
  <c r="F848" i="9"/>
  <c r="G848" i="9"/>
  <c r="H848" i="9"/>
  <c r="F849" i="9"/>
  <c r="G849" i="9"/>
  <c r="H849" i="9"/>
  <c r="F850" i="9"/>
  <c r="H850" i="9" s="1"/>
  <c r="G850" i="9"/>
  <c r="F851" i="9"/>
  <c r="H851" i="9" s="1"/>
  <c r="G851" i="9"/>
  <c r="F852" i="9"/>
  <c r="G852" i="9"/>
  <c r="H852" i="9"/>
  <c r="F853" i="9"/>
  <c r="G853" i="9"/>
  <c r="H853" i="9"/>
  <c r="F854" i="9"/>
  <c r="H854" i="9" s="1"/>
  <c r="G854" i="9"/>
  <c r="F855" i="9"/>
  <c r="H855" i="9" s="1"/>
  <c r="G855" i="9"/>
  <c r="F856" i="9"/>
  <c r="G856" i="9"/>
  <c r="H856" i="9"/>
  <c r="F857" i="9"/>
  <c r="G857" i="9"/>
  <c r="H857" i="9"/>
  <c r="F858" i="9"/>
  <c r="H858" i="9" s="1"/>
  <c r="G858" i="9"/>
  <c r="F859" i="9"/>
  <c r="H859" i="9" s="1"/>
  <c r="G859" i="9"/>
  <c r="F860" i="9"/>
  <c r="G860" i="9"/>
  <c r="H860" i="9"/>
  <c r="F861" i="9"/>
  <c r="G861" i="9"/>
  <c r="H861" i="9"/>
  <c r="F862" i="9"/>
  <c r="H862" i="9" s="1"/>
  <c r="G862" i="9"/>
  <c r="F863" i="9"/>
  <c r="H863" i="9" s="1"/>
  <c r="G863" i="9"/>
  <c r="F864" i="9"/>
  <c r="G864" i="9"/>
  <c r="H864" i="9"/>
  <c r="F865" i="9"/>
  <c r="G865" i="9"/>
  <c r="H865" i="9"/>
  <c r="F866" i="9"/>
  <c r="H866" i="9" s="1"/>
  <c r="G866" i="9"/>
  <c r="F867" i="9"/>
  <c r="H867" i="9" s="1"/>
  <c r="G867" i="9"/>
  <c r="F868" i="9"/>
  <c r="G868" i="9"/>
  <c r="H868" i="9"/>
  <c r="F869" i="9"/>
  <c r="G869" i="9"/>
  <c r="H869" i="9"/>
  <c r="F870" i="9"/>
  <c r="H870" i="9" s="1"/>
  <c r="G870" i="9"/>
  <c r="F871" i="9"/>
  <c r="H871" i="9" s="1"/>
  <c r="G871" i="9"/>
  <c r="F872" i="9"/>
  <c r="G872" i="9"/>
  <c r="H872" i="9"/>
  <c r="F873" i="9"/>
  <c r="G873" i="9"/>
  <c r="H873" i="9"/>
  <c r="F874" i="9"/>
  <c r="H874" i="9" s="1"/>
  <c r="G874" i="9"/>
  <c r="F875" i="9"/>
  <c r="H875" i="9" s="1"/>
  <c r="G875" i="9"/>
  <c r="F876" i="9"/>
  <c r="G876" i="9"/>
  <c r="H876" i="9"/>
  <c r="F877" i="9"/>
  <c r="G877" i="9"/>
  <c r="H877" i="9"/>
  <c r="F878" i="9"/>
  <c r="H878" i="9" s="1"/>
  <c r="G878" i="9"/>
  <c r="F879" i="9"/>
  <c r="H879" i="9" s="1"/>
  <c r="G879" i="9"/>
  <c r="F880" i="9"/>
  <c r="G880" i="9"/>
  <c r="H880" i="9"/>
  <c r="F881" i="9"/>
  <c r="G881" i="9"/>
  <c r="H881" i="9"/>
  <c r="F882" i="9"/>
  <c r="H882" i="9" s="1"/>
  <c r="G882" i="9"/>
  <c r="F883" i="9"/>
  <c r="H883" i="9" s="1"/>
  <c r="G883" i="9"/>
  <c r="F884" i="9"/>
  <c r="G884" i="9"/>
  <c r="H884" i="9"/>
  <c r="F885" i="9"/>
  <c r="G885" i="9"/>
  <c r="H885" i="9"/>
  <c r="F886" i="9"/>
  <c r="H886" i="9" s="1"/>
  <c r="G886" i="9"/>
  <c r="F887" i="9"/>
  <c r="H887" i="9" s="1"/>
  <c r="G887" i="9"/>
  <c r="F888" i="9"/>
  <c r="G888" i="9"/>
  <c r="H888" i="9"/>
  <c r="F889" i="9"/>
  <c r="G889" i="9"/>
  <c r="H889" i="9"/>
  <c r="F890" i="9"/>
  <c r="H890" i="9" s="1"/>
  <c r="G890" i="9"/>
  <c r="F891" i="9"/>
  <c r="H891" i="9" s="1"/>
  <c r="G891" i="9"/>
  <c r="F892" i="9"/>
  <c r="G892" i="9"/>
  <c r="H892" i="9"/>
  <c r="F893" i="9"/>
  <c r="G893" i="9"/>
  <c r="H893" i="9"/>
  <c r="F894" i="9"/>
  <c r="H894" i="9" s="1"/>
  <c r="G894" i="9"/>
  <c r="F895" i="9"/>
  <c r="H895" i="9" s="1"/>
  <c r="G895" i="9"/>
  <c r="F896" i="9"/>
  <c r="G896" i="9"/>
  <c r="H896" i="9"/>
  <c r="F897" i="9"/>
  <c r="G897" i="9"/>
  <c r="H897" i="9"/>
  <c r="F898" i="9"/>
  <c r="H898" i="9" s="1"/>
  <c r="G898" i="9"/>
  <c r="F899" i="9"/>
  <c r="H899" i="9" s="1"/>
  <c r="G899" i="9"/>
  <c r="F900" i="9"/>
  <c r="G900" i="9"/>
  <c r="H900" i="9"/>
  <c r="F901" i="9"/>
  <c r="G901" i="9"/>
  <c r="H901" i="9"/>
  <c r="F902" i="9"/>
  <c r="H902" i="9" s="1"/>
  <c r="G902" i="9"/>
  <c r="F903" i="9"/>
  <c r="H903" i="9" s="1"/>
  <c r="G903" i="9"/>
  <c r="F904" i="9"/>
  <c r="G904" i="9"/>
  <c r="H904" i="9"/>
  <c r="F905" i="9"/>
  <c r="G905" i="9"/>
  <c r="H905" i="9"/>
  <c r="F906" i="9"/>
  <c r="H906" i="9" s="1"/>
  <c r="G906" i="9"/>
  <c r="F907" i="9"/>
  <c r="H907" i="9" s="1"/>
  <c r="G907" i="9"/>
  <c r="F908" i="9"/>
  <c r="G908" i="9"/>
  <c r="H908" i="9"/>
  <c r="F909" i="9"/>
  <c r="G909" i="9"/>
  <c r="H909" i="9"/>
  <c r="F910" i="9"/>
  <c r="H910" i="9" s="1"/>
  <c r="G910" i="9"/>
  <c r="F911" i="9"/>
  <c r="H911" i="9" s="1"/>
  <c r="G911" i="9"/>
  <c r="F912" i="9"/>
  <c r="G912" i="9"/>
  <c r="H912" i="9"/>
  <c r="F913" i="9"/>
  <c r="G913" i="9"/>
  <c r="H913" i="9"/>
  <c r="F914" i="9"/>
  <c r="H914" i="9" s="1"/>
  <c r="G914" i="9"/>
  <c r="F915" i="9"/>
  <c r="H915" i="9" s="1"/>
  <c r="G915" i="9"/>
  <c r="F916" i="9"/>
  <c r="G916" i="9"/>
  <c r="H916" i="9"/>
  <c r="F917" i="9"/>
  <c r="G917" i="9"/>
  <c r="H917" i="9"/>
  <c r="F918" i="9"/>
  <c r="H918" i="9" s="1"/>
  <c r="G918" i="9"/>
  <c r="F919" i="9"/>
  <c r="H919" i="9" s="1"/>
  <c r="G919" i="9"/>
  <c r="F920" i="9"/>
  <c r="G920" i="9"/>
  <c r="H920" i="9"/>
  <c r="F921" i="9"/>
  <c r="G921" i="9"/>
  <c r="H921" i="9"/>
  <c r="F922" i="9"/>
  <c r="H922" i="9" s="1"/>
  <c r="G922" i="9"/>
  <c r="F923" i="9"/>
  <c r="H923" i="9" s="1"/>
  <c r="G923" i="9"/>
  <c r="F924" i="9"/>
  <c r="G924" i="9"/>
  <c r="H924" i="9"/>
  <c r="F925" i="9"/>
  <c r="G925" i="9"/>
  <c r="H925" i="9"/>
  <c r="F926" i="9"/>
  <c r="H926" i="9" s="1"/>
  <c r="G926" i="9"/>
  <c r="F927" i="9"/>
  <c r="H927" i="9" s="1"/>
  <c r="G927" i="9"/>
  <c r="F928" i="9"/>
  <c r="G928" i="9"/>
  <c r="H928" i="9"/>
  <c r="F929" i="9"/>
  <c r="G929" i="9"/>
  <c r="H929" i="9"/>
  <c r="F930" i="9"/>
  <c r="H930" i="9" s="1"/>
  <c r="G930" i="9"/>
  <c r="F931" i="9"/>
  <c r="H931" i="9" s="1"/>
  <c r="G931" i="9"/>
  <c r="F932" i="9"/>
  <c r="G932" i="9"/>
  <c r="H932" i="9"/>
  <c r="F933" i="9"/>
  <c r="G933" i="9"/>
  <c r="H933" i="9"/>
  <c r="F934" i="9"/>
  <c r="H934" i="9" s="1"/>
  <c r="G934" i="9"/>
  <c r="F935" i="9"/>
  <c r="H935" i="9" s="1"/>
  <c r="G935" i="9"/>
  <c r="F936" i="9"/>
  <c r="G936" i="9"/>
  <c r="H936" i="9"/>
  <c r="F937" i="9"/>
  <c r="G937" i="9"/>
  <c r="H937" i="9"/>
  <c r="F938" i="9"/>
  <c r="H938" i="9" s="1"/>
  <c r="G938" i="9"/>
  <c r="F939" i="9"/>
  <c r="H939" i="9" s="1"/>
  <c r="G939" i="9"/>
  <c r="F940" i="9"/>
  <c r="G940" i="9"/>
  <c r="H940" i="9"/>
  <c r="F941" i="9"/>
  <c r="G941" i="9"/>
  <c r="H941" i="9"/>
  <c r="F942" i="9"/>
  <c r="H942" i="9" s="1"/>
  <c r="G942" i="9"/>
  <c r="F943" i="9"/>
  <c r="H943" i="9" s="1"/>
  <c r="G943" i="9"/>
  <c r="F944" i="9"/>
  <c r="G944" i="9"/>
  <c r="H944" i="9"/>
  <c r="F945" i="9"/>
  <c r="G945" i="9"/>
  <c r="H945" i="9"/>
  <c r="F946" i="9"/>
  <c r="H946" i="9" s="1"/>
  <c r="G946" i="9"/>
  <c r="F947" i="9"/>
  <c r="H947" i="9" s="1"/>
  <c r="G947" i="9"/>
  <c r="F948" i="9"/>
  <c r="G948" i="9"/>
  <c r="H948" i="9"/>
  <c r="F949" i="9"/>
  <c r="G949" i="9"/>
  <c r="H949" i="9"/>
  <c r="F950" i="9"/>
  <c r="H950" i="9" s="1"/>
  <c r="G950" i="9"/>
  <c r="F951" i="9"/>
  <c r="H951" i="9" s="1"/>
  <c r="G951" i="9"/>
  <c r="F952" i="9"/>
  <c r="G952" i="9"/>
  <c r="H952" i="9"/>
  <c r="F953" i="9"/>
  <c r="G953" i="9"/>
  <c r="H953" i="9"/>
  <c r="F954" i="9"/>
  <c r="H954" i="9" s="1"/>
  <c r="G954" i="9"/>
  <c r="F955" i="9"/>
  <c r="H955" i="9" s="1"/>
  <c r="G955" i="9"/>
  <c r="F956" i="9"/>
  <c r="G956" i="9"/>
  <c r="H956" i="9"/>
  <c r="F957" i="9"/>
  <c r="G957" i="9"/>
  <c r="H957" i="9"/>
  <c r="F958" i="9"/>
  <c r="H958" i="9" s="1"/>
  <c r="G958" i="9"/>
  <c r="F959" i="9"/>
  <c r="H959" i="9" s="1"/>
  <c r="G959" i="9"/>
  <c r="F960" i="9"/>
  <c r="G960" i="9"/>
  <c r="H960" i="9"/>
  <c r="F961" i="9"/>
  <c r="G961" i="9"/>
  <c r="H961" i="9"/>
  <c r="F962" i="9"/>
  <c r="H962" i="9" s="1"/>
  <c r="G962" i="9"/>
  <c r="F963" i="9"/>
  <c r="H963" i="9" s="1"/>
  <c r="G963" i="9"/>
  <c r="F964" i="9"/>
  <c r="G964" i="9"/>
  <c r="H964" i="9"/>
  <c r="F965" i="9"/>
  <c r="G965" i="9"/>
  <c r="H965" i="9"/>
  <c r="F966" i="9"/>
  <c r="H966" i="9" s="1"/>
  <c r="G966" i="9"/>
  <c r="F967" i="9"/>
  <c r="H967" i="9" s="1"/>
  <c r="G967" i="9"/>
  <c r="F968" i="9"/>
  <c r="G968" i="9"/>
  <c r="H968" i="9"/>
  <c r="F969" i="9"/>
  <c r="G969" i="9"/>
  <c r="H969" i="9"/>
  <c r="F970" i="9"/>
  <c r="H970" i="9" s="1"/>
  <c r="G970" i="9"/>
  <c r="F971" i="9"/>
  <c r="H971" i="9" s="1"/>
  <c r="G971" i="9"/>
  <c r="F972" i="9"/>
  <c r="G972" i="9"/>
  <c r="H972" i="9"/>
  <c r="F973" i="9"/>
  <c r="G973" i="9"/>
  <c r="H973" i="9"/>
  <c r="F974" i="9"/>
  <c r="H974" i="9" s="1"/>
  <c r="G974" i="9"/>
  <c r="F975" i="9"/>
  <c r="H975" i="9" s="1"/>
  <c r="G975" i="9"/>
  <c r="F976" i="9"/>
  <c r="G976" i="9"/>
  <c r="H976" i="9"/>
  <c r="F977" i="9"/>
  <c r="G977" i="9"/>
  <c r="H977" i="9"/>
  <c r="F978" i="9"/>
  <c r="H978" i="9" s="1"/>
  <c r="G978" i="9"/>
  <c r="F979" i="9"/>
  <c r="H979" i="9" s="1"/>
  <c r="G979" i="9"/>
  <c r="F980" i="9"/>
  <c r="G980" i="9"/>
  <c r="H980" i="9"/>
  <c r="F981" i="9"/>
  <c r="G981" i="9"/>
  <c r="H981" i="9"/>
  <c r="F982" i="9"/>
  <c r="H982" i="9" s="1"/>
  <c r="G982" i="9"/>
  <c r="F983" i="9"/>
  <c r="H983" i="9" s="1"/>
  <c r="G983" i="9"/>
  <c r="F984" i="9"/>
  <c r="G984" i="9"/>
  <c r="H984" i="9"/>
  <c r="F985" i="9"/>
  <c r="G985" i="9"/>
  <c r="H985" i="9"/>
  <c r="F986" i="9"/>
  <c r="H986" i="9" s="1"/>
  <c r="G986" i="9"/>
  <c r="F987" i="9"/>
  <c r="H987" i="9" s="1"/>
  <c r="G987" i="9"/>
  <c r="F988" i="9"/>
  <c r="G988" i="9"/>
  <c r="H988" i="9"/>
  <c r="F989" i="9"/>
  <c r="G989" i="9"/>
  <c r="H989" i="9"/>
  <c r="F990" i="9"/>
  <c r="H990" i="9" s="1"/>
  <c r="G990" i="9"/>
  <c r="F991" i="9"/>
  <c r="H991" i="9" s="1"/>
  <c r="G991" i="9"/>
  <c r="F992" i="9"/>
  <c r="G992" i="9"/>
  <c r="H992" i="9"/>
  <c r="F993" i="9"/>
  <c r="G993" i="9"/>
  <c r="H993" i="9"/>
  <c r="F994" i="9"/>
  <c r="H994" i="9" s="1"/>
  <c r="G994" i="9"/>
  <c r="F995" i="9"/>
  <c r="H995" i="9" s="1"/>
  <c r="G995" i="9"/>
  <c r="F996" i="9"/>
  <c r="G996" i="9"/>
  <c r="H996" i="9"/>
  <c r="F997" i="9"/>
  <c r="G997" i="9"/>
  <c r="H997" i="9"/>
  <c r="F998" i="9"/>
  <c r="H998" i="9" s="1"/>
  <c r="G998" i="9"/>
  <c r="F999" i="9"/>
  <c r="H999" i="9" s="1"/>
  <c r="G999" i="9"/>
  <c r="F1000" i="9"/>
  <c r="G1000" i="9"/>
  <c r="H1000" i="9"/>
  <c r="F1001" i="9"/>
  <c r="G1001" i="9"/>
  <c r="H1001" i="9"/>
  <c r="H2" i="9"/>
  <c r="G2" i="9"/>
  <c r="F2" i="9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X659" i="10" l="1"/>
  <c r="X656" i="10"/>
  <c r="H674" i="9"/>
  <c r="H678" i="9"/>
  <c r="H340" i="9"/>
  <c r="B19" i="2"/>
  <c r="B17" i="2"/>
  <c r="K4" i="2"/>
  <c r="K5" i="2"/>
  <c r="K6" i="2"/>
  <c r="K7" i="2"/>
  <c r="K8" i="2"/>
  <c r="K9" i="2"/>
  <c r="K10" i="2"/>
  <c r="K11" i="2"/>
  <c r="K12" i="2"/>
  <c r="K13" i="2"/>
  <c r="K14" i="2"/>
  <c r="K3" i="2"/>
  <c r="B15" i="2"/>
  <c r="J4" i="2"/>
  <c r="J5" i="2"/>
  <c r="J6" i="2"/>
  <c r="J7" i="2"/>
  <c r="J8" i="2"/>
  <c r="J9" i="2"/>
  <c r="J10" i="2"/>
  <c r="J11" i="2"/>
  <c r="J12" i="2"/>
  <c r="J13" i="2"/>
  <c r="J14" i="2"/>
  <c r="J3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D8" i="3"/>
  <c r="F8" i="3" s="1"/>
  <c r="D24" i="3"/>
  <c r="F24" i="3" s="1"/>
  <c r="D40" i="3"/>
  <c r="F40" i="3" s="1"/>
  <c r="D56" i="3"/>
  <c r="F56" i="3" s="1"/>
  <c r="D72" i="3"/>
  <c r="F72" i="3" s="1"/>
  <c r="D88" i="3"/>
  <c r="F88" i="3" s="1"/>
  <c r="D104" i="3"/>
  <c r="F104" i="3" s="1"/>
  <c r="D120" i="3"/>
  <c r="F120" i="3" s="1"/>
  <c r="D136" i="3"/>
  <c r="F136" i="3" s="1"/>
  <c r="D152" i="3"/>
  <c r="F152" i="3" s="1"/>
  <c r="D168" i="3"/>
  <c r="F168" i="3" s="1"/>
  <c r="D184" i="3"/>
  <c r="F184" i="3" s="1"/>
  <c r="D200" i="3"/>
  <c r="F200" i="3" s="1"/>
  <c r="D216" i="3"/>
  <c r="F216" i="3" s="1"/>
  <c r="D232" i="3"/>
  <c r="F232" i="3" s="1"/>
  <c r="D248" i="3"/>
  <c r="F248" i="3" s="1"/>
  <c r="D256" i="3"/>
  <c r="F256" i="3" s="1"/>
  <c r="D264" i="3"/>
  <c r="F264" i="3" s="1"/>
  <c r="D272" i="3"/>
  <c r="F272" i="3" s="1"/>
  <c r="D280" i="3"/>
  <c r="F280" i="3" s="1"/>
  <c r="D288" i="3"/>
  <c r="F288" i="3" s="1"/>
  <c r="D296" i="3"/>
  <c r="F296" i="3" s="1"/>
  <c r="D304" i="3"/>
  <c r="F304" i="3" s="1"/>
  <c r="D308" i="3"/>
  <c r="F308" i="3" s="1"/>
  <c r="D312" i="3"/>
  <c r="F312" i="3" s="1"/>
  <c r="D316" i="3"/>
  <c r="F316" i="3" s="1"/>
  <c r="D320" i="3"/>
  <c r="F320" i="3" s="1"/>
  <c r="D324" i="3"/>
  <c r="F324" i="3" s="1"/>
  <c r="D328" i="3"/>
  <c r="F328" i="3" s="1"/>
  <c r="D332" i="3"/>
  <c r="F332" i="3" s="1"/>
  <c r="D335" i="3"/>
  <c r="F335" i="3" s="1"/>
  <c r="D336" i="3"/>
  <c r="F336" i="3" s="1"/>
  <c r="D337" i="3"/>
  <c r="F337" i="3" s="1"/>
  <c r="D339" i="3"/>
  <c r="F339" i="3" s="1"/>
  <c r="D340" i="3"/>
  <c r="F340" i="3" s="1"/>
  <c r="D341" i="3"/>
  <c r="F341" i="3" s="1"/>
  <c r="D343" i="3"/>
  <c r="F343" i="3" s="1"/>
  <c r="D344" i="3"/>
  <c r="F344" i="3" s="1"/>
  <c r="D345" i="3"/>
  <c r="F345" i="3" s="1"/>
  <c r="D346" i="3"/>
  <c r="F346" i="3" s="1"/>
  <c r="D347" i="3"/>
  <c r="F347" i="3" s="1"/>
  <c r="D348" i="3"/>
  <c r="F348" i="3" s="1"/>
  <c r="D349" i="3"/>
  <c r="F349" i="3" s="1"/>
  <c r="D350" i="3"/>
  <c r="F350" i="3" s="1"/>
  <c r="D351" i="3"/>
  <c r="F351" i="3" s="1"/>
  <c r="D352" i="3"/>
  <c r="F352" i="3" s="1"/>
  <c r="D353" i="3"/>
  <c r="F353" i="3" s="1"/>
  <c r="D354" i="3"/>
  <c r="F354" i="3" s="1"/>
  <c r="D355" i="3"/>
  <c r="F355" i="3" s="1"/>
  <c r="D356" i="3"/>
  <c r="F356" i="3" s="1"/>
  <c r="D357" i="3"/>
  <c r="F357" i="3" s="1"/>
  <c r="D358" i="3"/>
  <c r="F358" i="3" s="1"/>
  <c r="D359" i="3"/>
  <c r="F359" i="3" s="1"/>
  <c r="D360" i="3"/>
  <c r="F360" i="3" s="1"/>
  <c r="D361" i="3"/>
  <c r="F361" i="3" s="1"/>
  <c r="D362" i="3"/>
  <c r="F362" i="3" s="1"/>
  <c r="D363" i="3"/>
  <c r="F363" i="3" s="1"/>
  <c r="D364" i="3"/>
  <c r="F364" i="3" s="1"/>
  <c r="D365" i="3"/>
  <c r="F365" i="3" s="1"/>
  <c r="D366" i="3"/>
  <c r="F366" i="3" s="1"/>
  <c r="D367" i="3"/>
  <c r="F367" i="3" s="1"/>
  <c r="D368" i="3"/>
  <c r="F368" i="3" s="1"/>
  <c r="D369" i="3"/>
  <c r="F369" i="3" s="1"/>
  <c r="D370" i="3"/>
  <c r="F370" i="3" s="1"/>
  <c r="D371" i="3"/>
  <c r="F371" i="3" s="1"/>
  <c r="D372" i="3"/>
  <c r="F372" i="3" s="1"/>
  <c r="D373" i="3"/>
  <c r="F373" i="3" s="1"/>
  <c r="D374" i="3"/>
  <c r="F374" i="3" s="1"/>
  <c r="D375" i="3"/>
  <c r="F375" i="3" s="1"/>
  <c r="D376" i="3"/>
  <c r="F376" i="3" s="1"/>
  <c r="D377" i="3"/>
  <c r="F377" i="3" s="1"/>
  <c r="D378" i="3"/>
  <c r="F378" i="3" s="1"/>
  <c r="D379" i="3"/>
  <c r="F379" i="3" s="1"/>
  <c r="D380" i="3"/>
  <c r="F380" i="3" s="1"/>
  <c r="D381" i="3"/>
  <c r="F381" i="3" s="1"/>
  <c r="D382" i="3"/>
  <c r="F382" i="3" s="1"/>
  <c r="D383" i="3"/>
  <c r="F383" i="3" s="1"/>
  <c r="D384" i="3"/>
  <c r="F384" i="3" s="1"/>
  <c r="D385" i="3"/>
  <c r="F385" i="3" s="1"/>
  <c r="D386" i="3"/>
  <c r="F386" i="3" s="1"/>
  <c r="D387" i="3"/>
  <c r="F387" i="3" s="1"/>
  <c r="D388" i="3"/>
  <c r="F388" i="3" s="1"/>
  <c r="D389" i="3"/>
  <c r="F389" i="3" s="1"/>
  <c r="D390" i="3"/>
  <c r="F390" i="3" s="1"/>
  <c r="D391" i="3"/>
  <c r="F391" i="3" s="1"/>
  <c r="D392" i="3"/>
  <c r="F392" i="3" s="1"/>
  <c r="D393" i="3"/>
  <c r="F393" i="3" s="1"/>
  <c r="D394" i="3"/>
  <c r="F394" i="3" s="1"/>
  <c r="D395" i="3"/>
  <c r="F395" i="3" s="1"/>
  <c r="D396" i="3"/>
  <c r="F396" i="3" s="1"/>
  <c r="D397" i="3"/>
  <c r="F397" i="3" s="1"/>
  <c r="D398" i="3"/>
  <c r="F398" i="3" s="1"/>
  <c r="D399" i="3"/>
  <c r="F399" i="3" s="1"/>
  <c r="D400" i="3"/>
  <c r="F400" i="3" s="1"/>
  <c r="D401" i="3"/>
  <c r="F401" i="3" s="1"/>
  <c r="D402" i="3"/>
  <c r="F402" i="3" s="1"/>
  <c r="D403" i="3"/>
  <c r="F403" i="3" s="1"/>
  <c r="D404" i="3"/>
  <c r="F404" i="3" s="1"/>
  <c r="D405" i="3"/>
  <c r="F405" i="3" s="1"/>
  <c r="D406" i="3"/>
  <c r="F406" i="3" s="1"/>
  <c r="D407" i="3"/>
  <c r="F407" i="3" s="1"/>
  <c r="D408" i="3"/>
  <c r="F408" i="3" s="1"/>
  <c r="D409" i="3"/>
  <c r="F409" i="3" s="1"/>
  <c r="D410" i="3"/>
  <c r="F410" i="3" s="1"/>
  <c r="D411" i="3"/>
  <c r="F411" i="3" s="1"/>
  <c r="D412" i="3"/>
  <c r="F412" i="3" s="1"/>
  <c r="D413" i="3"/>
  <c r="F413" i="3" s="1"/>
  <c r="D414" i="3"/>
  <c r="F414" i="3" s="1"/>
  <c r="D415" i="3"/>
  <c r="F415" i="3" s="1"/>
  <c r="D416" i="3"/>
  <c r="F416" i="3" s="1"/>
  <c r="D417" i="3"/>
  <c r="F417" i="3" s="1"/>
  <c r="D418" i="3"/>
  <c r="F418" i="3" s="1"/>
  <c r="D419" i="3"/>
  <c r="F419" i="3" s="1"/>
  <c r="D420" i="3"/>
  <c r="F420" i="3" s="1"/>
  <c r="D421" i="3"/>
  <c r="F421" i="3" s="1"/>
  <c r="D422" i="3"/>
  <c r="F422" i="3" s="1"/>
  <c r="D423" i="3"/>
  <c r="F423" i="3" s="1"/>
  <c r="D424" i="3"/>
  <c r="F424" i="3" s="1"/>
  <c r="D425" i="3"/>
  <c r="F425" i="3" s="1"/>
  <c r="D426" i="3"/>
  <c r="F426" i="3" s="1"/>
  <c r="D427" i="3"/>
  <c r="F427" i="3" s="1"/>
  <c r="D428" i="3"/>
  <c r="F428" i="3" s="1"/>
  <c r="D429" i="3"/>
  <c r="F429" i="3" s="1"/>
  <c r="D430" i="3"/>
  <c r="F430" i="3" s="1"/>
  <c r="D431" i="3"/>
  <c r="F431" i="3" s="1"/>
  <c r="D432" i="3"/>
  <c r="F432" i="3" s="1"/>
  <c r="D433" i="3"/>
  <c r="F433" i="3" s="1"/>
  <c r="D434" i="3"/>
  <c r="F434" i="3" s="1"/>
  <c r="D435" i="3"/>
  <c r="F435" i="3" s="1"/>
  <c r="D436" i="3"/>
  <c r="F436" i="3" s="1"/>
  <c r="D437" i="3"/>
  <c r="F437" i="3" s="1"/>
  <c r="D438" i="3"/>
  <c r="F438" i="3" s="1"/>
  <c r="D439" i="3"/>
  <c r="F439" i="3" s="1"/>
  <c r="D440" i="3"/>
  <c r="F440" i="3" s="1"/>
  <c r="D441" i="3"/>
  <c r="F441" i="3" s="1"/>
  <c r="D442" i="3"/>
  <c r="F442" i="3" s="1"/>
  <c r="D443" i="3"/>
  <c r="F443" i="3" s="1"/>
  <c r="D444" i="3"/>
  <c r="F444" i="3" s="1"/>
  <c r="D445" i="3"/>
  <c r="F445" i="3" s="1"/>
  <c r="D446" i="3"/>
  <c r="F446" i="3" s="1"/>
  <c r="D447" i="3"/>
  <c r="F447" i="3" s="1"/>
  <c r="D448" i="3"/>
  <c r="F448" i="3" s="1"/>
  <c r="D449" i="3"/>
  <c r="F449" i="3" s="1"/>
  <c r="D450" i="3"/>
  <c r="F450" i="3" s="1"/>
  <c r="D451" i="3"/>
  <c r="F451" i="3" s="1"/>
  <c r="D452" i="3"/>
  <c r="F452" i="3" s="1"/>
  <c r="D453" i="3"/>
  <c r="F453" i="3" s="1"/>
  <c r="D454" i="3"/>
  <c r="F454" i="3" s="1"/>
  <c r="D455" i="3"/>
  <c r="F455" i="3" s="1"/>
  <c r="D456" i="3"/>
  <c r="F456" i="3" s="1"/>
  <c r="D457" i="3"/>
  <c r="F457" i="3" s="1"/>
  <c r="D458" i="3"/>
  <c r="F458" i="3" s="1"/>
  <c r="D459" i="3"/>
  <c r="F459" i="3" s="1"/>
  <c r="D460" i="3"/>
  <c r="F460" i="3" s="1"/>
  <c r="D461" i="3"/>
  <c r="F461" i="3" s="1"/>
  <c r="D462" i="3"/>
  <c r="F462" i="3" s="1"/>
  <c r="D463" i="3"/>
  <c r="F463" i="3" s="1"/>
  <c r="D464" i="3"/>
  <c r="F464" i="3" s="1"/>
  <c r="D465" i="3"/>
  <c r="F465" i="3" s="1"/>
  <c r="D466" i="3"/>
  <c r="F466" i="3" s="1"/>
  <c r="D467" i="3"/>
  <c r="F467" i="3" s="1"/>
  <c r="D468" i="3"/>
  <c r="F468" i="3" s="1"/>
  <c r="D469" i="3"/>
  <c r="F469" i="3" s="1"/>
  <c r="D470" i="3"/>
  <c r="F470" i="3" s="1"/>
  <c r="D471" i="3"/>
  <c r="F471" i="3" s="1"/>
  <c r="D472" i="3"/>
  <c r="F472" i="3" s="1"/>
  <c r="D473" i="3"/>
  <c r="F473" i="3" s="1"/>
  <c r="D474" i="3"/>
  <c r="F474" i="3" s="1"/>
  <c r="D475" i="3"/>
  <c r="F475" i="3" s="1"/>
  <c r="D476" i="3"/>
  <c r="F476" i="3" s="1"/>
  <c r="D477" i="3"/>
  <c r="F477" i="3" s="1"/>
  <c r="D478" i="3"/>
  <c r="F478" i="3" s="1"/>
  <c r="D479" i="3"/>
  <c r="F479" i="3" s="1"/>
  <c r="D480" i="3"/>
  <c r="F480" i="3" s="1"/>
  <c r="D481" i="3"/>
  <c r="F481" i="3" s="1"/>
  <c r="D482" i="3"/>
  <c r="F482" i="3" s="1"/>
  <c r="D483" i="3"/>
  <c r="F483" i="3" s="1"/>
  <c r="D484" i="3"/>
  <c r="F484" i="3" s="1"/>
  <c r="D485" i="3"/>
  <c r="F485" i="3" s="1"/>
  <c r="D486" i="3"/>
  <c r="F486" i="3" s="1"/>
  <c r="D487" i="3"/>
  <c r="F487" i="3" s="1"/>
  <c r="D488" i="3"/>
  <c r="F488" i="3" s="1"/>
  <c r="D489" i="3"/>
  <c r="F489" i="3" s="1"/>
  <c r="D490" i="3"/>
  <c r="F490" i="3" s="1"/>
  <c r="D491" i="3"/>
  <c r="F491" i="3" s="1"/>
  <c r="D492" i="3"/>
  <c r="F492" i="3" s="1"/>
  <c r="D493" i="3"/>
  <c r="F493" i="3" s="1"/>
  <c r="D494" i="3"/>
  <c r="F494" i="3" s="1"/>
  <c r="D495" i="3"/>
  <c r="F495" i="3" s="1"/>
  <c r="D496" i="3"/>
  <c r="F496" i="3" s="1"/>
  <c r="D497" i="3"/>
  <c r="F497" i="3" s="1"/>
  <c r="D498" i="3"/>
  <c r="F498" i="3" s="1"/>
  <c r="D499" i="3"/>
  <c r="F499" i="3" s="1"/>
  <c r="D500" i="3"/>
  <c r="F500" i="3" s="1"/>
  <c r="D501" i="3"/>
  <c r="F501" i="3" s="1"/>
  <c r="D502" i="3"/>
  <c r="F502" i="3" s="1"/>
  <c r="D503" i="3"/>
  <c r="F503" i="3" s="1"/>
  <c r="D504" i="3"/>
  <c r="F504" i="3" s="1"/>
  <c r="D505" i="3"/>
  <c r="F505" i="3" s="1"/>
  <c r="D506" i="3"/>
  <c r="F506" i="3" s="1"/>
  <c r="D507" i="3"/>
  <c r="F507" i="3" s="1"/>
  <c r="D508" i="3"/>
  <c r="F508" i="3" s="1"/>
  <c r="D509" i="3"/>
  <c r="F509" i="3" s="1"/>
  <c r="D510" i="3"/>
  <c r="F510" i="3" s="1"/>
  <c r="D511" i="3"/>
  <c r="F511" i="3" s="1"/>
  <c r="D512" i="3"/>
  <c r="F512" i="3" s="1"/>
  <c r="D513" i="3"/>
  <c r="F513" i="3" s="1"/>
  <c r="D514" i="3"/>
  <c r="F514" i="3" s="1"/>
  <c r="D515" i="3"/>
  <c r="F515" i="3" s="1"/>
  <c r="D516" i="3"/>
  <c r="F516" i="3" s="1"/>
  <c r="D517" i="3"/>
  <c r="F517" i="3" s="1"/>
  <c r="D518" i="3"/>
  <c r="F518" i="3" s="1"/>
  <c r="D519" i="3"/>
  <c r="F519" i="3" s="1"/>
  <c r="D520" i="3"/>
  <c r="F520" i="3" s="1"/>
  <c r="D521" i="3"/>
  <c r="F521" i="3" s="1"/>
  <c r="D522" i="3"/>
  <c r="F522" i="3" s="1"/>
  <c r="D523" i="3"/>
  <c r="F523" i="3" s="1"/>
  <c r="D524" i="3"/>
  <c r="F524" i="3" s="1"/>
  <c r="D525" i="3"/>
  <c r="F525" i="3" s="1"/>
  <c r="D526" i="3"/>
  <c r="F526" i="3" s="1"/>
  <c r="D527" i="3"/>
  <c r="F527" i="3" s="1"/>
  <c r="D528" i="3"/>
  <c r="F528" i="3" s="1"/>
  <c r="D529" i="3"/>
  <c r="F529" i="3" s="1"/>
  <c r="D530" i="3"/>
  <c r="F530" i="3" s="1"/>
  <c r="D531" i="3"/>
  <c r="F531" i="3" s="1"/>
  <c r="D532" i="3"/>
  <c r="F532" i="3" s="1"/>
  <c r="D533" i="3"/>
  <c r="F533" i="3" s="1"/>
  <c r="D534" i="3"/>
  <c r="F534" i="3" s="1"/>
  <c r="D535" i="3"/>
  <c r="F535" i="3" s="1"/>
  <c r="D536" i="3"/>
  <c r="F536" i="3" s="1"/>
  <c r="D537" i="3"/>
  <c r="F537" i="3" s="1"/>
  <c r="D538" i="3"/>
  <c r="F538" i="3" s="1"/>
  <c r="D539" i="3"/>
  <c r="F539" i="3" s="1"/>
  <c r="D540" i="3"/>
  <c r="F540" i="3" s="1"/>
  <c r="D541" i="3"/>
  <c r="F541" i="3" s="1"/>
  <c r="D542" i="3"/>
  <c r="F542" i="3" s="1"/>
  <c r="D543" i="3"/>
  <c r="F543" i="3" s="1"/>
  <c r="D544" i="3"/>
  <c r="F544" i="3" s="1"/>
  <c r="D545" i="3"/>
  <c r="F545" i="3" s="1"/>
  <c r="D546" i="3"/>
  <c r="F546" i="3" s="1"/>
  <c r="D547" i="3"/>
  <c r="F547" i="3" s="1"/>
  <c r="D548" i="3"/>
  <c r="F548" i="3" s="1"/>
  <c r="D549" i="3"/>
  <c r="F549" i="3" s="1"/>
  <c r="D550" i="3"/>
  <c r="F550" i="3" s="1"/>
  <c r="D551" i="3"/>
  <c r="F551" i="3" s="1"/>
  <c r="D552" i="3"/>
  <c r="F552" i="3" s="1"/>
  <c r="D553" i="3"/>
  <c r="F553" i="3" s="1"/>
  <c r="D554" i="3"/>
  <c r="F554" i="3" s="1"/>
  <c r="D555" i="3"/>
  <c r="F555" i="3" s="1"/>
  <c r="D556" i="3"/>
  <c r="F556" i="3" s="1"/>
  <c r="D557" i="3"/>
  <c r="F557" i="3" s="1"/>
  <c r="D558" i="3"/>
  <c r="F558" i="3" s="1"/>
  <c r="D559" i="3"/>
  <c r="F559" i="3" s="1"/>
  <c r="D560" i="3"/>
  <c r="F560" i="3" s="1"/>
  <c r="D561" i="3"/>
  <c r="F561" i="3" s="1"/>
  <c r="D562" i="3"/>
  <c r="F562" i="3" s="1"/>
  <c r="D563" i="3"/>
  <c r="F563" i="3" s="1"/>
  <c r="D564" i="3"/>
  <c r="F564" i="3" s="1"/>
  <c r="D565" i="3"/>
  <c r="F565" i="3" s="1"/>
  <c r="D566" i="3"/>
  <c r="F566" i="3" s="1"/>
  <c r="D567" i="3"/>
  <c r="F567" i="3" s="1"/>
  <c r="D568" i="3"/>
  <c r="F568" i="3" s="1"/>
  <c r="D569" i="3"/>
  <c r="F569" i="3" s="1"/>
  <c r="D570" i="3"/>
  <c r="F570" i="3" s="1"/>
  <c r="D571" i="3"/>
  <c r="F571" i="3" s="1"/>
  <c r="D572" i="3"/>
  <c r="F572" i="3" s="1"/>
  <c r="D573" i="3"/>
  <c r="F573" i="3" s="1"/>
  <c r="D574" i="3"/>
  <c r="F574" i="3" s="1"/>
  <c r="D575" i="3"/>
  <c r="F575" i="3" s="1"/>
  <c r="D576" i="3"/>
  <c r="F576" i="3" s="1"/>
  <c r="D577" i="3"/>
  <c r="F577" i="3" s="1"/>
  <c r="D578" i="3"/>
  <c r="F578" i="3" s="1"/>
  <c r="D579" i="3"/>
  <c r="F579" i="3" s="1"/>
  <c r="D580" i="3"/>
  <c r="F580" i="3" s="1"/>
  <c r="D581" i="3"/>
  <c r="F581" i="3" s="1"/>
  <c r="D582" i="3"/>
  <c r="F582" i="3" s="1"/>
  <c r="D583" i="3"/>
  <c r="F583" i="3" s="1"/>
  <c r="D584" i="3"/>
  <c r="F584" i="3" s="1"/>
  <c r="D585" i="3"/>
  <c r="F585" i="3" s="1"/>
  <c r="D586" i="3"/>
  <c r="F586" i="3" s="1"/>
  <c r="D587" i="3"/>
  <c r="F587" i="3" s="1"/>
  <c r="D588" i="3"/>
  <c r="F588" i="3" s="1"/>
  <c r="D589" i="3"/>
  <c r="F589" i="3" s="1"/>
  <c r="D590" i="3"/>
  <c r="F590" i="3" s="1"/>
  <c r="D591" i="3"/>
  <c r="F591" i="3" s="1"/>
  <c r="D592" i="3"/>
  <c r="F592" i="3" s="1"/>
  <c r="D593" i="3"/>
  <c r="F593" i="3" s="1"/>
  <c r="D594" i="3"/>
  <c r="F594" i="3" s="1"/>
  <c r="D595" i="3"/>
  <c r="F595" i="3" s="1"/>
  <c r="D596" i="3"/>
  <c r="F596" i="3" s="1"/>
  <c r="D597" i="3"/>
  <c r="F597" i="3" s="1"/>
  <c r="D598" i="3"/>
  <c r="F598" i="3" s="1"/>
  <c r="D599" i="3"/>
  <c r="F599" i="3" s="1"/>
  <c r="D600" i="3"/>
  <c r="F600" i="3" s="1"/>
  <c r="D601" i="3"/>
  <c r="F601" i="3" s="1"/>
  <c r="D602" i="3"/>
  <c r="F602" i="3" s="1"/>
  <c r="D603" i="3"/>
  <c r="F603" i="3" s="1"/>
  <c r="D604" i="3"/>
  <c r="F604" i="3" s="1"/>
  <c r="D605" i="3"/>
  <c r="F605" i="3" s="1"/>
  <c r="D606" i="3"/>
  <c r="F606" i="3" s="1"/>
  <c r="D607" i="3"/>
  <c r="F607" i="3" s="1"/>
  <c r="D608" i="3"/>
  <c r="F608" i="3" s="1"/>
  <c r="D609" i="3"/>
  <c r="F609" i="3" s="1"/>
  <c r="D610" i="3"/>
  <c r="F610" i="3" s="1"/>
  <c r="D611" i="3"/>
  <c r="F611" i="3" s="1"/>
  <c r="D612" i="3"/>
  <c r="F612" i="3" s="1"/>
  <c r="D613" i="3"/>
  <c r="F613" i="3" s="1"/>
  <c r="D614" i="3"/>
  <c r="F614" i="3" s="1"/>
  <c r="D615" i="3"/>
  <c r="F615" i="3" s="1"/>
  <c r="D616" i="3"/>
  <c r="F616" i="3" s="1"/>
  <c r="D617" i="3"/>
  <c r="F617" i="3" s="1"/>
  <c r="D618" i="3"/>
  <c r="F618" i="3" s="1"/>
  <c r="D619" i="3"/>
  <c r="F619" i="3" s="1"/>
  <c r="D620" i="3"/>
  <c r="F620" i="3" s="1"/>
  <c r="D621" i="3"/>
  <c r="F621" i="3" s="1"/>
  <c r="D622" i="3"/>
  <c r="F622" i="3" s="1"/>
  <c r="D623" i="3"/>
  <c r="F623" i="3" s="1"/>
  <c r="D624" i="3"/>
  <c r="F624" i="3" s="1"/>
  <c r="D625" i="3"/>
  <c r="F625" i="3" s="1"/>
  <c r="D626" i="3"/>
  <c r="F626" i="3" s="1"/>
  <c r="D627" i="3"/>
  <c r="F627" i="3" s="1"/>
  <c r="D628" i="3"/>
  <c r="F628" i="3" s="1"/>
  <c r="D629" i="3"/>
  <c r="F629" i="3" s="1"/>
  <c r="D630" i="3"/>
  <c r="F630" i="3" s="1"/>
  <c r="D631" i="3"/>
  <c r="F631" i="3" s="1"/>
  <c r="D632" i="3"/>
  <c r="F632" i="3" s="1"/>
  <c r="D633" i="3"/>
  <c r="F633" i="3" s="1"/>
  <c r="D634" i="3"/>
  <c r="F634" i="3" s="1"/>
  <c r="D635" i="3"/>
  <c r="F635" i="3" s="1"/>
  <c r="D636" i="3"/>
  <c r="F636" i="3" s="1"/>
  <c r="D637" i="3"/>
  <c r="F637" i="3" s="1"/>
  <c r="D638" i="3"/>
  <c r="F638" i="3" s="1"/>
  <c r="D639" i="3"/>
  <c r="F639" i="3" s="1"/>
  <c r="D640" i="3"/>
  <c r="F640" i="3" s="1"/>
  <c r="D641" i="3"/>
  <c r="F641" i="3" s="1"/>
  <c r="D642" i="3"/>
  <c r="F642" i="3" s="1"/>
  <c r="D643" i="3"/>
  <c r="F643" i="3" s="1"/>
  <c r="D644" i="3"/>
  <c r="F644" i="3" s="1"/>
  <c r="D645" i="3"/>
  <c r="F645" i="3" s="1"/>
  <c r="D646" i="3"/>
  <c r="F646" i="3" s="1"/>
  <c r="D647" i="3"/>
  <c r="F647" i="3" s="1"/>
  <c r="D648" i="3"/>
  <c r="F648" i="3" s="1"/>
  <c r="D649" i="3"/>
  <c r="F649" i="3" s="1"/>
  <c r="D650" i="3"/>
  <c r="F650" i="3" s="1"/>
  <c r="D651" i="3"/>
  <c r="F651" i="3" s="1"/>
  <c r="D652" i="3"/>
  <c r="F652" i="3" s="1"/>
  <c r="D653" i="3"/>
  <c r="F653" i="3" s="1"/>
  <c r="D654" i="3"/>
  <c r="F654" i="3" s="1"/>
  <c r="D655" i="3"/>
  <c r="F655" i="3" s="1"/>
  <c r="D656" i="3"/>
  <c r="F656" i="3" s="1"/>
  <c r="D657" i="3"/>
  <c r="F657" i="3" s="1"/>
  <c r="D658" i="3"/>
  <c r="F658" i="3" s="1"/>
  <c r="D659" i="3"/>
  <c r="F659" i="3" s="1"/>
  <c r="D660" i="3"/>
  <c r="F660" i="3" s="1"/>
  <c r="D661" i="3"/>
  <c r="F661" i="3" s="1"/>
  <c r="D662" i="3"/>
  <c r="F662" i="3" s="1"/>
  <c r="D663" i="3"/>
  <c r="F663" i="3" s="1"/>
  <c r="D664" i="3"/>
  <c r="F664" i="3" s="1"/>
  <c r="D665" i="3"/>
  <c r="F665" i="3" s="1"/>
  <c r="D666" i="3"/>
  <c r="F666" i="3" s="1"/>
  <c r="D667" i="3"/>
  <c r="F667" i="3" s="1"/>
  <c r="D668" i="3"/>
  <c r="F668" i="3" s="1"/>
  <c r="D669" i="3"/>
  <c r="F669" i="3" s="1"/>
  <c r="D670" i="3"/>
  <c r="F670" i="3" s="1"/>
  <c r="D671" i="3"/>
  <c r="F671" i="3" s="1"/>
  <c r="D672" i="3"/>
  <c r="F672" i="3" s="1"/>
  <c r="D673" i="3"/>
  <c r="F673" i="3" s="1"/>
  <c r="D674" i="3"/>
  <c r="F674" i="3" s="1"/>
  <c r="D675" i="3"/>
  <c r="F675" i="3" s="1"/>
  <c r="D676" i="3"/>
  <c r="F676" i="3" s="1"/>
  <c r="D677" i="3"/>
  <c r="F677" i="3" s="1"/>
  <c r="D678" i="3"/>
  <c r="F678" i="3" s="1"/>
  <c r="D679" i="3"/>
  <c r="F679" i="3" s="1"/>
  <c r="D680" i="3"/>
  <c r="F680" i="3" s="1"/>
  <c r="D681" i="3"/>
  <c r="F681" i="3" s="1"/>
  <c r="D682" i="3"/>
  <c r="F682" i="3" s="1"/>
  <c r="D683" i="3"/>
  <c r="F683" i="3" s="1"/>
  <c r="D684" i="3"/>
  <c r="F684" i="3" s="1"/>
  <c r="D685" i="3"/>
  <c r="F685" i="3" s="1"/>
  <c r="D686" i="3"/>
  <c r="F686" i="3" s="1"/>
  <c r="D687" i="3"/>
  <c r="F687" i="3" s="1"/>
  <c r="D688" i="3"/>
  <c r="F688" i="3" s="1"/>
  <c r="D689" i="3"/>
  <c r="F689" i="3" s="1"/>
  <c r="D690" i="3"/>
  <c r="F690" i="3" s="1"/>
  <c r="D691" i="3"/>
  <c r="F691" i="3" s="1"/>
  <c r="D692" i="3"/>
  <c r="F692" i="3" s="1"/>
  <c r="D693" i="3"/>
  <c r="F693" i="3" s="1"/>
  <c r="D694" i="3"/>
  <c r="F694" i="3" s="1"/>
  <c r="D695" i="3"/>
  <c r="F695" i="3" s="1"/>
  <c r="D696" i="3"/>
  <c r="F696" i="3" s="1"/>
  <c r="D697" i="3"/>
  <c r="F697" i="3" s="1"/>
  <c r="D698" i="3"/>
  <c r="F698" i="3" s="1"/>
  <c r="D699" i="3"/>
  <c r="F699" i="3" s="1"/>
  <c r="D700" i="3"/>
  <c r="F700" i="3" s="1"/>
  <c r="D701" i="3"/>
  <c r="F701" i="3" s="1"/>
  <c r="D702" i="3"/>
  <c r="F702" i="3" s="1"/>
  <c r="D703" i="3"/>
  <c r="F703" i="3" s="1"/>
  <c r="D704" i="3"/>
  <c r="F704" i="3" s="1"/>
  <c r="D705" i="3"/>
  <c r="F705" i="3" s="1"/>
  <c r="D706" i="3"/>
  <c r="F706" i="3" s="1"/>
  <c r="D707" i="3"/>
  <c r="F707" i="3" s="1"/>
  <c r="D708" i="3"/>
  <c r="F708" i="3" s="1"/>
  <c r="D709" i="3"/>
  <c r="F709" i="3" s="1"/>
  <c r="D710" i="3"/>
  <c r="F710" i="3" s="1"/>
  <c r="D711" i="3"/>
  <c r="F711" i="3" s="1"/>
  <c r="D712" i="3"/>
  <c r="F712" i="3" s="1"/>
  <c r="D713" i="3"/>
  <c r="F713" i="3" s="1"/>
  <c r="D714" i="3"/>
  <c r="F714" i="3" s="1"/>
  <c r="D715" i="3"/>
  <c r="F715" i="3" s="1"/>
  <c r="D716" i="3"/>
  <c r="F716" i="3" s="1"/>
  <c r="D717" i="3"/>
  <c r="F717" i="3" s="1"/>
  <c r="D718" i="3"/>
  <c r="F718" i="3" s="1"/>
  <c r="D719" i="3"/>
  <c r="F719" i="3" s="1"/>
  <c r="D720" i="3"/>
  <c r="F720" i="3" s="1"/>
  <c r="D721" i="3"/>
  <c r="F721" i="3" s="1"/>
  <c r="D722" i="3"/>
  <c r="F722" i="3" s="1"/>
  <c r="D723" i="3"/>
  <c r="F723" i="3" s="1"/>
  <c r="D724" i="3"/>
  <c r="F724" i="3" s="1"/>
  <c r="D725" i="3"/>
  <c r="F725" i="3" s="1"/>
  <c r="D726" i="3"/>
  <c r="F726" i="3" s="1"/>
  <c r="D727" i="3"/>
  <c r="F727" i="3" s="1"/>
  <c r="D728" i="3"/>
  <c r="F728" i="3" s="1"/>
  <c r="D729" i="3"/>
  <c r="F729" i="3" s="1"/>
  <c r="D730" i="3"/>
  <c r="F730" i="3" s="1"/>
  <c r="D731" i="3"/>
  <c r="F731" i="3" s="1"/>
  <c r="D732" i="3"/>
  <c r="F732" i="3" s="1"/>
  <c r="D733" i="3"/>
  <c r="F733" i="3" s="1"/>
  <c r="D734" i="3"/>
  <c r="F734" i="3" s="1"/>
  <c r="D735" i="3"/>
  <c r="F735" i="3" s="1"/>
  <c r="D736" i="3"/>
  <c r="F736" i="3" s="1"/>
  <c r="D737" i="3"/>
  <c r="F737" i="3" s="1"/>
  <c r="D738" i="3"/>
  <c r="F738" i="3" s="1"/>
  <c r="D739" i="3"/>
  <c r="F739" i="3" s="1"/>
  <c r="D740" i="3"/>
  <c r="F740" i="3" s="1"/>
  <c r="D741" i="3"/>
  <c r="F741" i="3" s="1"/>
  <c r="D742" i="3"/>
  <c r="F742" i="3" s="1"/>
  <c r="D743" i="3"/>
  <c r="F743" i="3" s="1"/>
  <c r="D744" i="3"/>
  <c r="F744" i="3" s="1"/>
  <c r="D745" i="3"/>
  <c r="F745" i="3" s="1"/>
  <c r="D746" i="3"/>
  <c r="F746" i="3" s="1"/>
  <c r="D747" i="3"/>
  <c r="F747" i="3" s="1"/>
  <c r="D748" i="3"/>
  <c r="F748" i="3" s="1"/>
  <c r="D749" i="3"/>
  <c r="F749" i="3" s="1"/>
  <c r="D750" i="3"/>
  <c r="F750" i="3" s="1"/>
  <c r="D751" i="3"/>
  <c r="F751" i="3" s="1"/>
  <c r="D752" i="3"/>
  <c r="F752" i="3" s="1"/>
  <c r="D753" i="3"/>
  <c r="F753" i="3" s="1"/>
  <c r="D754" i="3"/>
  <c r="F754" i="3" s="1"/>
  <c r="D755" i="3"/>
  <c r="F755" i="3" s="1"/>
  <c r="D756" i="3"/>
  <c r="F756" i="3" s="1"/>
  <c r="D757" i="3"/>
  <c r="F757" i="3" s="1"/>
  <c r="D758" i="3"/>
  <c r="F758" i="3" s="1"/>
  <c r="D759" i="3"/>
  <c r="F759" i="3" s="1"/>
  <c r="D760" i="3"/>
  <c r="F760" i="3" s="1"/>
  <c r="D761" i="3"/>
  <c r="F761" i="3" s="1"/>
  <c r="D762" i="3"/>
  <c r="F762" i="3" s="1"/>
  <c r="D763" i="3"/>
  <c r="F763" i="3" s="1"/>
  <c r="D764" i="3"/>
  <c r="F764" i="3" s="1"/>
  <c r="D765" i="3"/>
  <c r="F765" i="3" s="1"/>
  <c r="D766" i="3"/>
  <c r="F766" i="3" s="1"/>
  <c r="D767" i="3"/>
  <c r="F767" i="3" s="1"/>
  <c r="D768" i="3"/>
  <c r="F768" i="3" s="1"/>
  <c r="D769" i="3"/>
  <c r="F769" i="3" s="1"/>
  <c r="D770" i="3"/>
  <c r="F770" i="3" s="1"/>
  <c r="D771" i="3"/>
  <c r="F771" i="3" s="1"/>
  <c r="D772" i="3"/>
  <c r="F772" i="3" s="1"/>
  <c r="D773" i="3"/>
  <c r="F773" i="3" s="1"/>
  <c r="D774" i="3"/>
  <c r="F774" i="3" s="1"/>
  <c r="D775" i="3"/>
  <c r="F775" i="3" s="1"/>
  <c r="D776" i="3"/>
  <c r="F776" i="3" s="1"/>
  <c r="D777" i="3"/>
  <c r="F777" i="3" s="1"/>
  <c r="D778" i="3"/>
  <c r="F778" i="3" s="1"/>
  <c r="D779" i="3"/>
  <c r="F779" i="3" s="1"/>
  <c r="D780" i="3"/>
  <c r="F780" i="3" s="1"/>
  <c r="D781" i="3"/>
  <c r="F781" i="3" s="1"/>
  <c r="D782" i="3"/>
  <c r="F782" i="3" s="1"/>
  <c r="D783" i="3"/>
  <c r="F783" i="3" s="1"/>
  <c r="D784" i="3"/>
  <c r="F784" i="3" s="1"/>
  <c r="D785" i="3"/>
  <c r="F785" i="3" s="1"/>
  <c r="D786" i="3"/>
  <c r="F786" i="3" s="1"/>
  <c r="D787" i="3"/>
  <c r="F787" i="3" s="1"/>
  <c r="D788" i="3"/>
  <c r="F788" i="3" s="1"/>
  <c r="D789" i="3"/>
  <c r="F789" i="3" s="1"/>
  <c r="D790" i="3"/>
  <c r="F790" i="3" s="1"/>
  <c r="D791" i="3"/>
  <c r="F791" i="3" s="1"/>
  <c r="D792" i="3"/>
  <c r="F792" i="3" s="1"/>
  <c r="D793" i="3"/>
  <c r="F793" i="3" s="1"/>
  <c r="D794" i="3"/>
  <c r="F794" i="3" s="1"/>
  <c r="D795" i="3"/>
  <c r="F795" i="3" s="1"/>
  <c r="D796" i="3"/>
  <c r="F796" i="3" s="1"/>
  <c r="D797" i="3"/>
  <c r="F797" i="3" s="1"/>
  <c r="D798" i="3"/>
  <c r="F798" i="3" s="1"/>
  <c r="D799" i="3"/>
  <c r="F799" i="3" s="1"/>
  <c r="D800" i="3"/>
  <c r="F800" i="3" s="1"/>
  <c r="D801" i="3"/>
  <c r="F801" i="3" s="1"/>
  <c r="D802" i="3"/>
  <c r="F802" i="3" s="1"/>
  <c r="D803" i="3"/>
  <c r="F803" i="3" s="1"/>
  <c r="D804" i="3"/>
  <c r="F804" i="3" s="1"/>
  <c r="D805" i="3"/>
  <c r="F805" i="3" s="1"/>
  <c r="D806" i="3"/>
  <c r="F806" i="3" s="1"/>
  <c r="D807" i="3"/>
  <c r="F807" i="3" s="1"/>
  <c r="D808" i="3"/>
  <c r="F808" i="3" s="1"/>
  <c r="D809" i="3"/>
  <c r="F809" i="3" s="1"/>
  <c r="D810" i="3"/>
  <c r="F810" i="3" s="1"/>
  <c r="D811" i="3"/>
  <c r="F811" i="3" s="1"/>
  <c r="D812" i="3"/>
  <c r="F812" i="3" s="1"/>
  <c r="D813" i="3"/>
  <c r="F813" i="3" s="1"/>
  <c r="D814" i="3"/>
  <c r="F814" i="3" s="1"/>
  <c r="D815" i="3"/>
  <c r="F815" i="3" s="1"/>
  <c r="D2" i="3"/>
  <c r="F2" i="3" s="1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B13" i="2" s="1"/>
  <c r="D5" i="3" l="1"/>
  <c r="F5" i="3" s="1"/>
  <c r="D9" i="3"/>
  <c r="F9" i="3" s="1"/>
  <c r="D13" i="3"/>
  <c r="F13" i="3" s="1"/>
  <c r="D17" i="3"/>
  <c r="F17" i="3" s="1"/>
  <c r="D21" i="3"/>
  <c r="F21" i="3" s="1"/>
  <c r="D25" i="3"/>
  <c r="F25" i="3" s="1"/>
  <c r="D29" i="3"/>
  <c r="F29" i="3" s="1"/>
  <c r="D33" i="3"/>
  <c r="F33" i="3" s="1"/>
  <c r="D37" i="3"/>
  <c r="F37" i="3" s="1"/>
  <c r="D41" i="3"/>
  <c r="F41" i="3" s="1"/>
  <c r="D45" i="3"/>
  <c r="F45" i="3" s="1"/>
  <c r="D49" i="3"/>
  <c r="F49" i="3" s="1"/>
  <c r="D53" i="3"/>
  <c r="F53" i="3" s="1"/>
  <c r="D57" i="3"/>
  <c r="F57" i="3" s="1"/>
  <c r="D61" i="3"/>
  <c r="F61" i="3" s="1"/>
  <c r="D65" i="3"/>
  <c r="F65" i="3" s="1"/>
  <c r="D69" i="3"/>
  <c r="F69" i="3" s="1"/>
  <c r="D73" i="3"/>
  <c r="F73" i="3" s="1"/>
  <c r="D77" i="3"/>
  <c r="F77" i="3" s="1"/>
  <c r="D81" i="3"/>
  <c r="F81" i="3" s="1"/>
  <c r="D85" i="3"/>
  <c r="F85" i="3" s="1"/>
  <c r="D89" i="3"/>
  <c r="F89" i="3" s="1"/>
  <c r="D93" i="3"/>
  <c r="F93" i="3" s="1"/>
  <c r="D97" i="3"/>
  <c r="F97" i="3" s="1"/>
  <c r="D101" i="3"/>
  <c r="F101" i="3" s="1"/>
  <c r="D105" i="3"/>
  <c r="F105" i="3" s="1"/>
  <c r="D109" i="3"/>
  <c r="F109" i="3" s="1"/>
  <c r="D113" i="3"/>
  <c r="F113" i="3" s="1"/>
  <c r="D117" i="3"/>
  <c r="F117" i="3" s="1"/>
  <c r="D121" i="3"/>
  <c r="F121" i="3" s="1"/>
  <c r="D125" i="3"/>
  <c r="F125" i="3" s="1"/>
  <c r="D129" i="3"/>
  <c r="F129" i="3" s="1"/>
  <c r="D133" i="3"/>
  <c r="F133" i="3" s="1"/>
  <c r="D137" i="3"/>
  <c r="F137" i="3" s="1"/>
  <c r="D141" i="3"/>
  <c r="F141" i="3" s="1"/>
  <c r="D145" i="3"/>
  <c r="F145" i="3" s="1"/>
  <c r="D149" i="3"/>
  <c r="F149" i="3" s="1"/>
  <c r="D153" i="3"/>
  <c r="F153" i="3" s="1"/>
  <c r="D157" i="3"/>
  <c r="F157" i="3" s="1"/>
  <c r="D161" i="3"/>
  <c r="F161" i="3" s="1"/>
  <c r="D165" i="3"/>
  <c r="F165" i="3" s="1"/>
  <c r="D169" i="3"/>
  <c r="F169" i="3" s="1"/>
  <c r="D173" i="3"/>
  <c r="F173" i="3" s="1"/>
  <c r="D177" i="3"/>
  <c r="F177" i="3" s="1"/>
  <c r="D181" i="3"/>
  <c r="F181" i="3" s="1"/>
  <c r="D185" i="3"/>
  <c r="F185" i="3" s="1"/>
  <c r="D189" i="3"/>
  <c r="F189" i="3" s="1"/>
  <c r="D193" i="3"/>
  <c r="F193" i="3" s="1"/>
  <c r="D197" i="3"/>
  <c r="F197" i="3" s="1"/>
  <c r="D201" i="3"/>
  <c r="F201" i="3" s="1"/>
  <c r="D205" i="3"/>
  <c r="F205" i="3" s="1"/>
  <c r="D209" i="3"/>
  <c r="F209" i="3" s="1"/>
  <c r="D213" i="3"/>
  <c r="F213" i="3" s="1"/>
  <c r="D217" i="3"/>
  <c r="F217" i="3" s="1"/>
  <c r="D221" i="3"/>
  <c r="F221" i="3" s="1"/>
  <c r="D225" i="3"/>
  <c r="F225" i="3" s="1"/>
  <c r="D229" i="3"/>
  <c r="F229" i="3" s="1"/>
  <c r="D233" i="3"/>
  <c r="F233" i="3" s="1"/>
  <c r="D237" i="3"/>
  <c r="F237" i="3" s="1"/>
  <c r="D241" i="3"/>
  <c r="F241" i="3" s="1"/>
  <c r="D245" i="3"/>
  <c r="F245" i="3" s="1"/>
  <c r="D249" i="3"/>
  <c r="F249" i="3" s="1"/>
  <c r="D253" i="3"/>
  <c r="F253" i="3" s="1"/>
  <c r="D257" i="3"/>
  <c r="F257" i="3" s="1"/>
  <c r="D261" i="3"/>
  <c r="F261" i="3" s="1"/>
  <c r="D265" i="3"/>
  <c r="F265" i="3" s="1"/>
  <c r="D269" i="3"/>
  <c r="F269" i="3" s="1"/>
  <c r="D273" i="3"/>
  <c r="F273" i="3" s="1"/>
  <c r="D277" i="3"/>
  <c r="F277" i="3" s="1"/>
  <c r="D281" i="3"/>
  <c r="F281" i="3" s="1"/>
  <c r="D285" i="3"/>
  <c r="F285" i="3" s="1"/>
  <c r="D289" i="3"/>
  <c r="F289" i="3" s="1"/>
  <c r="D293" i="3"/>
  <c r="F293" i="3" s="1"/>
  <c r="D297" i="3"/>
  <c r="F297" i="3" s="1"/>
  <c r="D301" i="3"/>
  <c r="F301" i="3" s="1"/>
  <c r="D305" i="3"/>
  <c r="F305" i="3" s="1"/>
  <c r="D309" i="3"/>
  <c r="F309" i="3" s="1"/>
  <c r="D313" i="3"/>
  <c r="F313" i="3" s="1"/>
  <c r="D317" i="3"/>
  <c r="F317" i="3" s="1"/>
  <c r="D321" i="3"/>
  <c r="F321" i="3" s="1"/>
  <c r="D325" i="3"/>
  <c r="F325" i="3" s="1"/>
  <c r="D329" i="3"/>
  <c r="F329" i="3" s="1"/>
  <c r="D333" i="3"/>
  <c r="F333" i="3" s="1"/>
  <c r="D6" i="3"/>
  <c r="F6" i="3" s="1"/>
  <c r="D10" i="3"/>
  <c r="F10" i="3" s="1"/>
  <c r="D14" i="3"/>
  <c r="F14" i="3" s="1"/>
  <c r="D18" i="3"/>
  <c r="F18" i="3" s="1"/>
  <c r="D22" i="3"/>
  <c r="F22" i="3" s="1"/>
  <c r="D26" i="3"/>
  <c r="F26" i="3" s="1"/>
  <c r="D30" i="3"/>
  <c r="F30" i="3" s="1"/>
  <c r="D34" i="3"/>
  <c r="F34" i="3" s="1"/>
  <c r="D38" i="3"/>
  <c r="F38" i="3" s="1"/>
  <c r="D42" i="3"/>
  <c r="F42" i="3" s="1"/>
  <c r="D46" i="3"/>
  <c r="F46" i="3" s="1"/>
  <c r="D50" i="3"/>
  <c r="F50" i="3" s="1"/>
  <c r="D54" i="3"/>
  <c r="F54" i="3" s="1"/>
  <c r="D58" i="3"/>
  <c r="F58" i="3" s="1"/>
  <c r="D62" i="3"/>
  <c r="F62" i="3" s="1"/>
  <c r="D66" i="3"/>
  <c r="F66" i="3" s="1"/>
  <c r="D70" i="3"/>
  <c r="F70" i="3" s="1"/>
  <c r="D74" i="3"/>
  <c r="F74" i="3" s="1"/>
  <c r="D78" i="3"/>
  <c r="F78" i="3" s="1"/>
  <c r="D82" i="3"/>
  <c r="F82" i="3" s="1"/>
  <c r="D86" i="3"/>
  <c r="F86" i="3" s="1"/>
  <c r="D90" i="3"/>
  <c r="F90" i="3" s="1"/>
  <c r="D94" i="3"/>
  <c r="F94" i="3" s="1"/>
  <c r="D98" i="3"/>
  <c r="F98" i="3" s="1"/>
  <c r="D102" i="3"/>
  <c r="F102" i="3" s="1"/>
  <c r="D106" i="3"/>
  <c r="F106" i="3" s="1"/>
  <c r="D110" i="3"/>
  <c r="F110" i="3" s="1"/>
  <c r="D114" i="3"/>
  <c r="F114" i="3" s="1"/>
  <c r="D118" i="3"/>
  <c r="F118" i="3" s="1"/>
  <c r="D122" i="3"/>
  <c r="F122" i="3" s="1"/>
  <c r="D126" i="3"/>
  <c r="F126" i="3" s="1"/>
  <c r="D130" i="3"/>
  <c r="F130" i="3" s="1"/>
  <c r="D134" i="3"/>
  <c r="F134" i="3" s="1"/>
  <c r="D138" i="3"/>
  <c r="F138" i="3" s="1"/>
  <c r="D142" i="3"/>
  <c r="F142" i="3" s="1"/>
  <c r="D146" i="3"/>
  <c r="F146" i="3" s="1"/>
  <c r="D150" i="3"/>
  <c r="F150" i="3" s="1"/>
  <c r="D154" i="3"/>
  <c r="F154" i="3" s="1"/>
  <c r="D158" i="3"/>
  <c r="F158" i="3" s="1"/>
  <c r="D162" i="3"/>
  <c r="F162" i="3" s="1"/>
  <c r="D166" i="3"/>
  <c r="F166" i="3" s="1"/>
  <c r="D170" i="3"/>
  <c r="F170" i="3" s="1"/>
  <c r="D174" i="3"/>
  <c r="F174" i="3" s="1"/>
  <c r="D178" i="3"/>
  <c r="F178" i="3" s="1"/>
  <c r="D182" i="3"/>
  <c r="F182" i="3" s="1"/>
  <c r="D186" i="3"/>
  <c r="F186" i="3" s="1"/>
  <c r="D190" i="3"/>
  <c r="F190" i="3" s="1"/>
  <c r="D194" i="3"/>
  <c r="F194" i="3" s="1"/>
  <c r="D198" i="3"/>
  <c r="F198" i="3" s="1"/>
  <c r="D202" i="3"/>
  <c r="F202" i="3" s="1"/>
  <c r="D206" i="3"/>
  <c r="F206" i="3" s="1"/>
  <c r="D210" i="3"/>
  <c r="F210" i="3" s="1"/>
  <c r="D214" i="3"/>
  <c r="F214" i="3" s="1"/>
  <c r="D218" i="3"/>
  <c r="F218" i="3" s="1"/>
  <c r="D222" i="3"/>
  <c r="F222" i="3" s="1"/>
  <c r="D226" i="3"/>
  <c r="F226" i="3" s="1"/>
  <c r="D230" i="3"/>
  <c r="F230" i="3" s="1"/>
  <c r="D234" i="3"/>
  <c r="F234" i="3" s="1"/>
  <c r="D238" i="3"/>
  <c r="F238" i="3" s="1"/>
  <c r="D242" i="3"/>
  <c r="F242" i="3" s="1"/>
  <c r="D246" i="3"/>
  <c r="F246" i="3" s="1"/>
  <c r="D250" i="3"/>
  <c r="F250" i="3" s="1"/>
  <c r="D254" i="3"/>
  <c r="F254" i="3" s="1"/>
  <c r="D258" i="3"/>
  <c r="F258" i="3" s="1"/>
  <c r="D262" i="3"/>
  <c r="F262" i="3" s="1"/>
  <c r="D266" i="3"/>
  <c r="F266" i="3" s="1"/>
  <c r="D270" i="3"/>
  <c r="F270" i="3" s="1"/>
  <c r="D274" i="3"/>
  <c r="F274" i="3" s="1"/>
  <c r="D278" i="3"/>
  <c r="F278" i="3" s="1"/>
  <c r="D282" i="3"/>
  <c r="F282" i="3" s="1"/>
  <c r="D286" i="3"/>
  <c r="F286" i="3" s="1"/>
  <c r="D290" i="3"/>
  <c r="F290" i="3" s="1"/>
  <c r="D294" i="3"/>
  <c r="F294" i="3" s="1"/>
  <c r="D298" i="3"/>
  <c r="F298" i="3" s="1"/>
  <c r="D302" i="3"/>
  <c r="F302" i="3" s="1"/>
  <c r="D306" i="3"/>
  <c r="F306" i="3" s="1"/>
  <c r="D310" i="3"/>
  <c r="F310" i="3" s="1"/>
  <c r="D314" i="3"/>
  <c r="F314" i="3" s="1"/>
  <c r="D318" i="3"/>
  <c r="F318" i="3" s="1"/>
  <c r="D322" i="3"/>
  <c r="F322" i="3" s="1"/>
  <c r="D326" i="3"/>
  <c r="F326" i="3" s="1"/>
  <c r="D330" i="3"/>
  <c r="F330" i="3" s="1"/>
  <c r="D334" i="3"/>
  <c r="F334" i="3" s="1"/>
  <c r="D338" i="3"/>
  <c r="F338" i="3" s="1"/>
  <c r="D342" i="3"/>
  <c r="F342" i="3" s="1"/>
  <c r="D3" i="3"/>
  <c r="F3" i="3" s="1"/>
  <c r="D7" i="3"/>
  <c r="F7" i="3" s="1"/>
  <c r="D11" i="3"/>
  <c r="F11" i="3" s="1"/>
  <c r="D15" i="3"/>
  <c r="F15" i="3" s="1"/>
  <c r="D19" i="3"/>
  <c r="F19" i="3" s="1"/>
  <c r="D23" i="3"/>
  <c r="F23" i="3" s="1"/>
  <c r="D27" i="3"/>
  <c r="F27" i="3" s="1"/>
  <c r="D31" i="3"/>
  <c r="F31" i="3" s="1"/>
  <c r="D35" i="3"/>
  <c r="F35" i="3" s="1"/>
  <c r="D39" i="3"/>
  <c r="F39" i="3" s="1"/>
  <c r="D43" i="3"/>
  <c r="F43" i="3" s="1"/>
  <c r="D47" i="3"/>
  <c r="F47" i="3" s="1"/>
  <c r="D51" i="3"/>
  <c r="F51" i="3" s="1"/>
  <c r="D55" i="3"/>
  <c r="F55" i="3" s="1"/>
  <c r="D59" i="3"/>
  <c r="F59" i="3" s="1"/>
  <c r="D63" i="3"/>
  <c r="F63" i="3" s="1"/>
  <c r="D67" i="3"/>
  <c r="F67" i="3" s="1"/>
  <c r="D71" i="3"/>
  <c r="F71" i="3" s="1"/>
  <c r="D75" i="3"/>
  <c r="F75" i="3" s="1"/>
  <c r="D79" i="3"/>
  <c r="F79" i="3" s="1"/>
  <c r="D83" i="3"/>
  <c r="F83" i="3" s="1"/>
  <c r="D87" i="3"/>
  <c r="F87" i="3" s="1"/>
  <c r="D91" i="3"/>
  <c r="F91" i="3" s="1"/>
  <c r="D95" i="3"/>
  <c r="F95" i="3" s="1"/>
  <c r="D99" i="3"/>
  <c r="F99" i="3" s="1"/>
  <c r="D103" i="3"/>
  <c r="F103" i="3" s="1"/>
  <c r="D107" i="3"/>
  <c r="F107" i="3" s="1"/>
  <c r="D111" i="3"/>
  <c r="F111" i="3" s="1"/>
  <c r="D115" i="3"/>
  <c r="F115" i="3" s="1"/>
  <c r="D119" i="3"/>
  <c r="F119" i="3" s="1"/>
  <c r="D123" i="3"/>
  <c r="F123" i="3" s="1"/>
  <c r="D127" i="3"/>
  <c r="F127" i="3" s="1"/>
  <c r="D131" i="3"/>
  <c r="F131" i="3" s="1"/>
  <c r="D135" i="3"/>
  <c r="F135" i="3" s="1"/>
  <c r="D139" i="3"/>
  <c r="F139" i="3" s="1"/>
  <c r="D143" i="3"/>
  <c r="F143" i="3" s="1"/>
  <c r="D147" i="3"/>
  <c r="F147" i="3" s="1"/>
  <c r="D151" i="3"/>
  <c r="F151" i="3" s="1"/>
  <c r="D155" i="3"/>
  <c r="F155" i="3" s="1"/>
  <c r="D159" i="3"/>
  <c r="F159" i="3" s="1"/>
  <c r="D163" i="3"/>
  <c r="F163" i="3" s="1"/>
  <c r="D167" i="3"/>
  <c r="F167" i="3" s="1"/>
  <c r="D171" i="3"/>
  <c r="F171" i="3" s="1"/>
  <c r="D175" i="3"/>
  <c r="F175" i="3" s="1"/>
  <c r="D179" i="3"/>
  <c r="F179" i="3" s="1"/>
  <c r="D183" i="3"/>
  <c r="F183" i="3" s="1"/>
  <c r="D187" i="3"/>
  <c r="F187" i="3" s="1"/>
  <c r="D191" i="3"/>
  <c r="F191" i="3" s="1"/>
  <c r="D195" i="3"/>
  <c r="F195" i="3" s="1"/>
  <c r="D199" i="3"/>
  <c r="F199" i="3" s="1"/>
  <c r="D203" i="3"/>
  <c r="F203" i="3" s="1"/>
  <c r="D207" i="3"/>
  <c r="F207" i="3" s="1"/>
  <c r="D211" i="3"/>
  <c r="F211" i="3" s="1"/>
  <c r="D215" i="3"/>
  <c r="F215" i="3" s="1"/>
  <c r="D219" i="3"/>
  <c r="F219" i="3" s="1"/>
  <c r="D223" i="3"/>
  <c r="F223" i="3" s="1"/>
  <c r="D227" i="3"/>
  <c r="F227" i="3" s="1"/>
  <c r="D231" i="3"/>
  <c r="F231" i="3" s="1"/>
  <c r="D235" i="3"/>
  <c r="F235" i="3" s="1"/>
  <c r="D239" i="3"/>
  <c r="F239" i="3" s="1"/>
  <c r="D243" i="3"/>
  <c r="F243" i="3" s="1"/>
  <c r="D247" i="3"/>
  <c r="F247" i="3" s="1"/>
  <c r="D251" i="3"/>
  <c r="F251" i="3" s="1"/>
  <c r="D255" i="3"/>
  <c r="F255" i="3" s="1"/>
  <c r="D259" i="3"/>
  <c r="F259" i="3" s="1"/>
  <c r="D263" i="3"/>
  <c r="F263" i="3" s="1"/>
  <c r="D267" i="3"/>
  <c r="F267" i="3" s="1"/>
  <c r="D271" i="3"/>
  <c r="F271" i="3" s="1"/>
  <c r="D275" i="3"/>
  <c r="F275" i="3" s="1"/>
  <c r="D279" i="3"/>
  <c r="F279" i="3" s="1"/>
  <c r="D283" i="3"/>
  <c r="F283" i="3" s="1"/>
  <c r="D287" i="3"/>
  <c r="F287" i="3" s="1"/>
  <c r="D291" i="3"/>
  <c r="F291" i="3" s="1"/>
  <c r="D295" i="3"/>
  <c r="F295" i="3" s="1"/>
  <c r="D299" i="3"/>
  <c r="F299" i="3" s="1"/>
  <c r="D303" i="3"/>
  <c r="F303" i="3" s="1"/>
  <c r="D307" i="3"/>
  <c r="F307" i="3" s="1"/>
  <c r="D311" i="3"/>
  <c r="F311" i="3" s="1"/>
  <c r="D315" i="3"/>
  <c r="F315" i="3" s="1"/>
  <c r="D319" i="3"/>
  <c r="F319" i="3" s="1"/>
  <c r="D323" i="3"/>
  <c r="F323" i="3" s="1"/>
  <c r="D327" i="3"/>
  <c r="F327" i="3" s="1"/>
  <c r="D331" i="3"/>
  <c r="F331" i="3" s="1"/>
  <c r="D292" i="3"/>
  <c r="F292" i="3" s="1"/>
  <c r="D276" i="3"/>
  <c r="F276" i="3" s="1"/>
  <c r="D260" i="3"/>
  <c r="F260" i="3" s="1"/>
  <c r="D244" i="3"/>
  <c r="F244" i="3" s="1"/>
  <c r="D228" i="3"/>
  <c r="F228" i="3" s="1"/>
  <c r="D212" i="3"/>
  <c r="F212" i="3" s="1"/>
  <c r="D196" i="3"/>
  <c r="F196" i="3" s="1"/>
  <c r="D180" i="3"/>
  <c r="F180" i="3" s="1"/>
  <c r="D164" i="3"/>
  <c r="F164" i="3" s="1"/>
  <c r="D148" i="3"/>
  <c r="F148" i="3" s="1"/>
  <c r="D132" i="3"/>
  <c r="F132" i="3" s="1"/>
  <c r="D116" i="3"/>
  <c r="F116" i="3" s="1"/>
  <c r="D100" i="3"/>
  <c r="F100" i="3" s="1"/>
  <c r="D84" i="3"/>
  <c r="F84" i="3" s="1"/>
  <c r="D68" i="3"/>
  <c r="F68" i="3" s="1"/>
  <c r="D52" i="3"/>
  <c r="F52" i="3" s="1"/>
  <c r="D36" i="3"/>
  <c r="F36" i="3" s="1"/>
  <c r="D20" i="3"/>
  <c r="F20" i="3" s="1"/>
  <c r="D4" i="3"/>
  <c r="F4" i="3" s="1"/>
  <c r="D240" i="3"/>
  <c r="F240" i="3" s="1"/>
  <c r="D224" i="3"/>
  <c r="F224" i="3" s="1"/>
  <c r="D208" i="3"/>
  <c r="F208" i="3" s="1"/>
  <c r="D192" i="3"/>
  <c r="F192" i="3" s="1"/>
  <c r="D176" i="3"/>
  <c r="F176" i="3" s="1"/>
  <c r="D160" i="3"/>
  <c r="F160" i="3" s="1"/>
  <c r="D144" i="3"/>
  <c r="F144" i="3" s="1"/>
  <c r="D128" i="3"/>
  <c r="F128" i="3" s="1"/>
  <c r="D112" i="3"/>
  <c r="F112" i="3" s="1"/>
  <c r="D96" i="3"/>
  <c r="F96" i="3" s="1"/>
  <c r="D80" i="3"/>
  <c r="F80" i="3" s="1"/>
  <c r="D64" i="3"/>
  <c r="F64" i="3" s="1"/>
  <c r="D48" i="3"/>
  <c r="F48" i="3" s="1"/>
  <c r="D32" i="3"/>
  <c r="F32" i="3" s="1"/>
  <c r="D16" i="3"/>
  <c r="F16" i="3" s="1"/>
  <c r="D300" i="3"/>
  <c r="F300" i="3" s="1"/>
  <c r="D284" i="3"/>
  <c r="F284" i="3" s="1"/>
  <c r="D268" i="3"/>
  <c r="F268" i="3" s="1"/>
  <c r="D252" i="3"/>
  <c r="F252" i="3" s="1"/>
  <c r="D236" i="3"/>
  <c r="F236" i="3" s="1"/>
  <c r="D220" i="3"/>
  <c r="F220" i="3" s="1"/>
  <c r="D204" i="3"/>
  <c r="F204" i="3" s="1"/>
  <c r="D188" i="3"/>
  <c r="F188" i="3" s="1"/>
  <c r="D172" i="3"/>
  <c r="F172" i="3" s="1"/>
  <c r="D156" i="3"/>
  <c r="F156" i="3" s="1"/>
  <c r="D140" i="3"/>
  <c r="F140" i="3" s="1"/>
  <c r="D124" i="3"/>
  <c r="F124" i="3" s="1"/>
  <c r="D108" i="3"/>
  <c r="F108" i="3" s="1"/>
  <c r="D92" i="3"/>
  <c r="F92" i="3" s="1"/>
  <c r="D76" i="3"/>
  <c r="F76" i="3" s="1"/>
  <c r="D60" i="3"/>
  <c r="F60" i="3" s="1"/>
  <c r="D44" i="3"/>
  <c r="F44" i="3" s="1"/>
  <c r="D28" i="3"/>
  <c r="F28" i="3" s="1"/>
  <c r="D12" i="3"/>
  <c r="F12" i="3" s="1"/>
</calcChain>
</file>

<file path=xl/sharedStrings.xml><?xml version="1.0" encoding="utf-8"?>
<sst xmlns="http://schemas.openxmlformats.org/spreadsheetml/2006/main" count="18751" uniqueCount="517">
  <si>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</si>
  <si>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</si>
  <si>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</si>
  <si>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</si>
  <si>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</si>
  <si>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</si>
  <si>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Лебедева Виктория Дмитриевна</t>
  </si>
  <si>
    <t>2023-09-01</t>
  </si>
  <si>
    <t>Яковлев Артем Игоревич</t>
  </si>
  <si>
    <t>Семенов Дмитрий Олегович</t>
  </si>
  <si>
    <t>Кузнецов Дмитрий Львович</t>
  </si>
  <si>
    <t>Новикова Екатерина Ивановна</t>
  </si>
  <si>
    <t>Семенова Ирина Валерьевна</t>
  </si>
  <si>
    <t>Егорова Юлия Алексеевна</t>
  </si>
  <si>
    <t>Громова Мария Ильинична</t>
  </si>
  <si>
    <t>Петров Илья Михайлович</t>
  </si>
  <si>
    <t>2023-09-04</t>
  </si>
  <si>
    <t>Кузнецова Полина Романовна</t>
  </si>
  <si>
    <t>Сидорова Елена Васильевна</t>
  </si>
  <si>
    <t>Лебедева Полина Ивановна</t>
  </si>
  <si>
    <t>Кузнецов Никита Андреевич</t>
  </si>
  <si>
    <t>Белов Алексей Константинович</t>
  </si>
  <si>
    <t>Кузнецова Мария Юрьевна</t>
  </si>
  <si>
    <t>Петрова Вероника Александровна</t>
  </si>
  <si>
    <t>Васильев Матвей Романович</t>
  </si>
  <si>
    <t>Егоров Артем Никитич</t>
  </si>
  <si>
    <t>2023-09-05</t>
  </si>
  <si>
    <t>Орлова София Станиславовна</t>
  </si>
  <si>
    <t>Иванова Анна Сергеевна</t>
  </si>
  <si>
    <t>Орлова Ирина Ильинична</t>
  </si>
  <si>
    <t>Орлов Георгий Кириллович</t>
  </si>
  <si>
    <t>2023-09-06</t>
  </si>
  <si>
    <t>Петрова Валерия Павловна</t>
  </si>
  <si>
    <t>2023-09-07</t>
  </si>
  <si>
    <t>Федоров Илья Владимирович</t>
  </si>
  <si>
    <t>Степанова Полина Артемовна</t>
  </si>
  <si>
    <t>Новиков Михаил Владимирович</t>
  </si>
  <si>
    <t>Иванов Александр Павлович</t>
  </si>
  <si>
    <t>2023-09-08</t>
  </si>
  <si>
    <t>Петров Иван Артемович</t>
  </si>
  <si>
    <t>Фролов Сергей Викторович</t>
  </si>
  <si>
    <t>Федоров Роман Дмитриевич</t>
  </si>
  <si>
    <t>Новикова Людмила Кирилловна</t>
  </si>
  <si>
    <t>Кузнецова Дарья Дмитриевна</t>
  </si>
  <si>
    <t>2023-09-11</t>
  </si>
  <si>
    <t>Орлов Павел Денисович</t>
  </si>
  <si>
    <t>Морозов Сергей Олегович</t>
  </si>
  <si>
    <t>Новикова Ольга Петровна</t>
  </si>
  <si>
    <t>Лебедева Анна Викторовна</t>
  </si>
  <si>
    <t>Лебедев Артем Кириллович</t>
  </si>
  <si>
    <t>Петров Владимир Кириллович</t>
  </si>
  <si>
    <t>Лебедев Илья Станиславович</t>
  </si>
  <si>
    <t>Морозов Максим Андреевич</t>
  </si>
  <si>
    <t>Волкова Татьяна Кирилловна</t>
  </si>
  <si>
    <t>Козлова София Станиславовна</t>
  </si>
  <si>
    <t>Лебедев Владимир Сергеевич</t>
  </si>
  <si>
    <t>Смирнов Павел Геннадьевич</t>
  </si>
  <si>
    <t>2023-09-12</t>
  </si>
  <si>
    <t>Семенов Матвей Александрович</t>
  </si>
  <si>
    <t>Лебедев Владимир Егорович</t>
  </si>
  <si>
    <t>Орлов Михаил Никитич</t>
  </si>
  <si>
    <t>Козлова Татьяна Михайловна</t>
  </si>
  <si>
    <t>Морозова Полина Александровна</t>
  </si>
  <si>
    <t>Егорова Ирина Павловна</t>
  </si>
  <si>
    <t>2023-09-13</t>
  </si>
  <si>
    <t>Сидорова Мария Павловна</t>
  </si>
  <si>
    <t>Петров Алексей Сергеевич</t>
  </si>
  <si>
    <t>Кузнецов Михаил Артемович</t>
  </si>
  <si>
    <t>2023-09-14</t>
  </si>
  <si>
    <t>Орлов Александр Иванович</t>
  </si>
  <si>
    <t>Петров Илья Андреевич</t>
  </si>
  <si>
    <t>Алексеева Светлана Станиславовна</t>
  </si>
  <si>
    <t>Павлов Георгий Андреевич</t>
  </si>
  <si>
    <t>2023-09-18</t>
  </si>
  <si>
    <t>Козлов Роман Александрович</t>
  </si>
  <si>
    <t>Лебедева Дарья Никитична</t>
  </si>
  <si>
    <t>Федоров Михаил Кириллович</t>
  </si>
  <si>
    <t>Сидоров Александр Артемович</t>
  </si>
  <si>
    <t>Петров Павел Кириллович</t>
  </si>
  <si>
    <t>2023-09-19</t>
  </si>
  <si>
    <t>Николаев Артем Олегович</t>
  </si>
  <si>
    <t>Новиков Иван Андреевич</t>
  </si>
  <si>
    <t>2023-09-20</t>
  </si>
  <si>
    <t>Иванов Илья Артемович</t>
  </si>
  <si>
    <t>Морозова Мария Дмитриевна</t>
  </si>
  <si>
    <t>Лебедев Дмитрий Викторович</t>
  </si>
  <si>
    <t>2023-09-21</t>
  </si>
  <si>
    <t>Федорова Ольга Викторовна</t>
  </si>
  <si>
    <t>Федоров Владимир Артемович</t>
  </si>
  <si>
    <t>Васильев Никита Павлович</t>
  </si>
  <si>
    <t>Попова Алиса Ильинична</t>
  </si>
  <si>
    <t>2023-09-22</t>
  </si>
  <si>
    <t>Попов Алексей Кириллович</t>
  </si>
  <si>
    <t>2023-09-25</t>
  </si>
  <si>
    <t>Павлов Кирилл Артемович</t>
  </si>
  <si>
    <t>Васильев Матвей Андреевич</t>
  </si>
  <si>
    <t>Егорова Мария Викторовна</t>
  </si>
  <si>
    <t>Новиков Роман Романович</t>
  </si>
  <si>
    <t>2023-09-26</t>
  </si>
  <si>
    <t>Сидорова Ксения Дмитриевна</t>
  </si>
  <si>
    <t>Федоров Дмитрий Михайлович</t>
  </si>
  <si>
    <t>Орлова Полина Олеговна</t>
  </si>
  <si>
    <t>2023-09-27</t>
  </si>
  <si>
    <t>Волков Александр Юрьевич</t>
  </si>
  <si>
    <t>2023-09-28</t>
  </si>
  <si>
    <t>Новикова Ирина Геннадьевна</t>
  </si>
  <si>
    <t>Попова Людмила Ивановна</t>
  </si>
  <si>
    <t>Морозова Светлана Артемовна</t>
  </si>
  <si>
    <t>2023-09-29</t>
  </si>
  <si>
    <t>Попов Иван Михайлович</t>
  </si>
  <si>
    <t>Сидоров Роман Кириллович</t>
  </si>
  <si>
    <t>Семенов Максим Геннадьевич</t>
  </si>
  <si>
    <t>Егоров Никита Ильич</t>
  </si>
  <si>
    <t>2023-10-02</t>
  </si>
  <si>
    <t>Егоров Максим Олегович</t>
  </si>
  <si>
    <t>Морозова София Геннадьевна</t>
  </si>
  <si>
    <t>Орлов Матвей Алексеевич</t>
  </si>
  <si>
    <t>Смирнова Алиса Сергеевна</t>
  </si>
  <si>
    <t>2023-10-04</t>
  </si>
  <si>
    <t>Семенова Полина Артемовна</t>
  </si>
  <si>
    <t>2023-10-05</t>
  </si>
  <si>
    <t>2023-10-06</t>
  </si>
  <si>
    <t>Степанов Александр Станиславович</t>
  </si>
  <si>
    <t>Лебедев Матвей Кириллович</t>
  </si>
  <si>
    <t>Иванов Дмитрий Павлович</t>
  </si>
  <si>
    <t>2023-10-09</t>
  </si>
  <si>
    <t>Николаева Юлия Егоровна</t>
  </si>
  <si>
    <t>Смирнов Артем Егорович</t>
  </si>
  <si>
    <t>2023-10-10</t>
  </si>
  <si>
    <t>2023-10-11</t>
  </si>
  <si>
    <t>Васильева Ирина Павловна</t>
  </si>
  <si>
    <t>Лебедева Виктория Михайловна</t>
  </si>
  <si>
    <t>2023-10-12</t>
  </si>
  <si>
    <t>2023-10-13</t>
  </si>
  <si>
    <t>2023-10-16</t>
  </si>
  <si>
    <t>Сидорова Александра Александровна</t>
  </si>
  <si>
    <t>Егоров Константин Ильич</t>
  </si>
  <si>
    <t>Сидоров Кирилл Кириллович</t>
  </si>
  <si>
    <t>Орлова Людмила Михайловна</t>
  </si>
  <si>
    <t>2023-10-17</t>
  </si>
  <si>
    <t>Васильева Людмила Ивановна</t>
  </si>
  <si>
    <t>Павлова Екатерина Егоровна</t>
  </si>
  <si>
    <t>2023-10-18</t>
  </si>
  <si>
    <t>2023-10-19</t>
  </si>
  <si>
    <t>Егорова Алиса Егоровна</t>
  </si>
  <si>
    <t>2023-10-20</t>
  </si>
  <si>
    <t>Морозов Павел Ильич</t>
  </si>
  <si>
    <t>Морозов Андрей Никитич</t>
  </si>
  <si>
    <t>2023-10-23</t>
  </si>
  <si>
    <t>Петров Иван Егорович</t>
  </si>
  <si>
    <t>Егоров Артур Владимирович</t>
  </si>
  <si>
    <t>Федоров Илья Егорович</t>
  </si>
  <si>
    <t>Иванов Кирилл Владимирович</t>
  </si>
  <si>
    <t>Степанов Илья Викторович</t>
  </si>
  <si>
    <t>Павлов Михаил Геннадьевич</t>
  </si>
  <si>
    <t>2023-10-24</t>
  </si>
  <si>
    <t>Лебедев Никита Сергеевич</t>
  </si>
  <si>
    <t>2023-10-25</t>
  </si>
  <si>
    <t>Сидорова Наталья Викторовна</t>
  </si>
  <si>
    <t>2023-10-26</t>
  </si>
  <si>
    <t>Васильев Матвей Геннадьевич</t>
  </si>
  <si>
    <t>2023-10-27</t>
  </si>
  <si>
    <t>Смирнов Георгий Ильич</t>
  </si>
  <si>
    <t>Смирнова Юлия Олеговна</t>
  </si>
  <si>
    <t>2023-10-30</t>
  </si>
  <si>
    <t>Смирнов Дмитрий Никитич</t>
  </si>
  <si>
    <t>Сидоров Дмитрий Кириллович</t>
  </si>
  <si>
    <t>Попова Виктория Геннадьевна</t>
  </si>
  <si>
    <t>Егорова Татьяна Александровна</t>
  </si>
  <si>
    <t>Павлов Роман Владимирович</t>
  </si>
  <si>
    <t>2023-10-31</t>
  </si>
  <si>
    <t>Орлова Юлия Алексеевна</t>
  </si>
  <si>
    <t>2023-11-01</t>
  </si>
  <si>
    <t>Васильев Павел Егорович</t>
  </si>
  <si>
    <t>Морозова Валерия Ильинична</t>
  </si>
  <si>
    <t>2023-11-02</t>
  </si>
  <si>
    <t>Алексеева Елена Кирилловна</t>
  </si>
  <si>
    <t>2023-11-03</t>
  </si>
  <si>
    <t>Кузнецов Иван Ильич</t>
  </si>
  <si>
    <t>2023-11-06</t>
  </si>
  <si>
    <t>Сидорова Елена Кирилловна</t>
  </si>
  <si>
    <t>Новикова Екатерина Михайловна</t>
  </si>
  <si>
    <t>Смирнова София Андреевна</t>
  </si>
  <si>
    <t>Лебедев Максим Михайлович</t>
  </si>
  <si>
    <t>2023-11-08</t>
  </si>
  <si>
    <t>Кузнецов Илья Артемович</t>
  </si>
  <si>
    <t>Кузнецов Дмитрий Павлович</t>
  </si>
  <si>
    <t>2023-11-09</t>
  </si>
  <si>
    <t>2023-11-10</t>
  </si>
  <si>
    <t>2023-11-13</t>
  </si>
  <si>
    <t>Петров Алексей Олегович</t>
  </si>
  <si>
    <t>Павлов Алексей Геннадьевич</t>
  </si>
  <si>
    <t>Федорова Ксения Романовна</t>
  </si>
  <si>
    <t>Николаева Полина Егоровна</t>
  </si>
  <si>
    <t>Семенова Наталья Павловна</t>
  </si>
  <si>
    <t>Новикова Ирина Юрьевна</t>
  </si>
  <si>
    <t>2023-11-14</t>
  </si>
  <si>
    <t>Федорова Виктория Михайловна</t>
  </si>
  <si>
    <t>2023-11-15</t>
  </si>
  <si>
    <t>Федорова Людмила Кирилловна</t>
  </si>
  <si>
    <t>Васильев Михаил Павлович</t>
  </si>
  <si>
    <t>2023-11-16</t>
  </si>
  <si>
    <t>Николаев Роман Ильич</t>
  </si>
  <si>
    <t>Смирнова Дарья Александровна</t>
  </si>
  <si>
    <t>2023-11-17</t>
  </si>
  <si>
    <t>Новиков Дмитрий Станиславович</t>
  </si>
  <si>
    <t>2023-11-20</t>
  </si>
  <si>
    <t>Смирнова Светлана Владимировна</t>
  </si>
  <si>
    <t>Петров Александр Александрович</t>
  </si>
  <si>
    <t>Козлов Роман Сергеевич</t>
  </si>
  <si>
    <t>Попов Илья Егорович</t>
  </si>
  <si>
    <t>2023-11-21</t>
  </si>
  <si>
    <t>2023-11-22</t>
  </si>
  <si>
    <t>2023-11-23</t>
  </si>
  <si>
    <t>Кузнецова Людмила Егоровна</t>
  </si>
  <si>
    <t>2023-11-24</t>
  </si>
  <si>
    <t>2023-11-27</t>
  </si>
  <si>
    <t>Степанова Юлия Андреевна</t>
  </si>
  <si>
    <t>2023-11-28</t>
  </si>
  <si>
    <t>2023-11-29</t>
  </si>
  <si>
    <t>2023-11-30</t>
  </si>
  <si>
    <t>Васильев Константин Геннадьевич</t>
  </si>
  <si>
    <t>Козлов Илья Егорович</t>
  </si>
  <si>
    <t>2023-12-01</t>
  </si>
  <si>
    <t>2023-12-04</t>
  </si>
  <si>
    <t>Кузнецов Сергей Кириллович</t>
  </si>
  <si>
    <t>2023-12-05</t>
  </si>
  <si>
    <t>Николаев Роман Викторович</t>
  </si>
  <si>
    <t>2023-12-06</t>
  </si>
  <si>
    <t>2023-12-07</t>
  </si>
  <si>
    <t>2023-12-11</t>
  </si>
  <si>
    <t>Смирнов Михаил Никитич</t>
  </si>
  <si>
    <t>Семенов Артем Дмитриевич</t>
  </si>
  <si>
    <t>2023-12-12</t>
  </si>
  <si>
    <t>Попов Егор Викторович</t>
  </si>
  <si>
    <t>Васильева София Александровна</t>
  </si>
  <si>
    <t>2023-12-13</t>
  </si>
  <si>
    <t>2023-12-14</t>
  </si>
  <si>
    <t>Егоров Артур Егорович</t>
  </si>
  <si>
    <t>2023-12-15</t>
  </si>
  <si>
    <t>2023-12-18</t>
  </si>
  <si>
    <t>2023-12-19</t>
  </si>
  <si>
    <t>Орлов Илья Владимирович</t>
  </si>
  <si>
    <t>2023-12-20</t>
  </si>
  <si>
    <t>Кузнецов Георгий Алексеевич</t>
  </si>
  <si>
    <t>Семенов Артур Михайлович</t>
  </si>
  <si>
    <t>2023-12-21</t>
  </si>
  <si>
    <t>Новикова Мария Викторовна</t>
  </si>
  <si>
    <t>2023-12-22</t>
  </si>
  <si>
    <t>2023-12-25</t>
  </si>
  <si>
    <t>Алексеева Ольга Сергеевна</t>
  </si>
  <si>
    <t>Егорова Наталья Дмитриевна</t>
  </si>
  <si>
    <t>Кузнецов Георгий Кириллович</t>
  </si>
  <si>
    <t>2023-12-27</t>
  </si>
  <si>
    <t>2023-12-28</t>
  </si>
  <si>
    <t>2023-12-29</t>
  </si>
  <si>
    <t>Попова Полина Алексеевна</t>
  </si>
  <si>
    <t>2024-01-01</t>
  </si>
  <si>
    <t>Орлова Валерия Юрьевна</t>
  </si>
  <si>
    <t>2024-01-02</t>
  </si>
  <si>
    <t>2024-01-03</t>
  </si>
  <si>
    <t>2024-01-04</t>
  </si>
  <si>
    <t>Лебедев Иван Павлович</t>
  </si>
  <si>
    <t>Васильев Константин Алексеевич</t>
  </si>
  <si>
    <t>2024-01-05</t>
  </si>
  <si>
    <t>2024-01-08</t>
  </si>
  <si>
    <t>2024-01-09</t>
  </si>
  <si>
    <t>2024-01-10</t>
  </si>
  <si>
    <t>Попова Юлия Дмитриевна</t>
  </si>
  <si>
    <t>2024-01-11</t>
  </si>
  <si>
    <t>Новиков Георгий Романович</t>
  </si>
  <si>
    <t>2024-01-15</t>
  </si>
  <si>
    <t>2024-01-16</t>
  </si>
  <si>
    <t>Павлов Георгий Александрович</t>
  </si>
  <si>
    <t>2024-01-17</t>
  </si>
  <si>
    <t>2024-01-18</t>
  </si>
  <si>
    <t>Кузнецова Ирина Владимировна</t>
  </si>
  <si>
    <t>Николаев Егор Романович</t>
  </si>
  <si>
    <t>2024-01-19</t>
  </si>
  <si>
    <t>Козлов Роман Владимирович</t>
  </si>
  <si>
    <t>Морозова Ольга Дмитриевна</t>
  </si>
  <si>
    <t>2024-01-22</t>
  </si>
  <si>
    <t>Морозов Никита Сергеевич</t>
  </si>
  <si>
    <t>2024-01-23</t>
  </si>
  <si>
    <t>Иванов Константин Никитич</t>
  </si>
  <si>
    <t>2024-01-24</t>
  </si>
  <si>
    <t>2024-01-25</t>
  </si>
  <si>
    <t>2024-01-26</t>
  </si>
  <si>
    <t>2024-01-29</t>
  </si>
  <si>
    <t>Морозов Артем Александрович</t>
  </si>
  <si>
    <t>Орлова Дарья Кирилловна</t>
  </si>
  <si>
    <t>Степанов Егор Павлович</t>
  </si>
  <si>
    <t>2024-01-30</t>
  </si>
  <si>
    <t>2024-01-31</t>
  </si>
  <si>
    <t>2024-02-01</t>
  </si>
  <si>
    <t>2024-02-02</t>
  </si>
  <si>
    <t>2024-02-05</t>
  </si>
  <si>
    <t>Васильев Илья Александрович</t>
  </si>
  <si>
    <t>2024-02-06</t>
  </si>
  <si>
    <t>2024-02-07</t>
  </si>
  <si>
    <t>Волков Роман Иванович</t>
  </si>
  <si>
    <t>2024-02-08</t>
  </si>
  <si>
    <t>Кузнецова Татьяна Егоровна</t>
  </si>
  <si>
    <t>2024-02-09</t>
  </si>
  <si>
    <t>2024-02-12</t>
  </si>
  <si>
    <t>Алексеев Матвей Александрович</t>
  </si>
  <si>
    <t>2024-02-13</t>
  </si>
  <si>
    <t>2024-02-14</t>
  </si>
  <si>
    <t>2024-02-15</t>
  </si>
  <si>
    <t>2024-02-16</t>
  </si>
  <si>
    <t>2024-02-19</t>
  </si>
  <si>
    <t>Степанов Михаил Александрович</t>
  </si>
  <si>
    <t>Лебедева Юлия Олеговна</t>
  </si>
  <si>
    <t>2024-02-20</t>
  </si>
  <si>
    <t>2024-02-21</t>
  </si>
  <si>
    <t>Николаева София Геннадьевна</t>
  </si>
  <si>
    <t>2024-02-22</t>
  </si>
  <si>
    <t>2024-02-26</t>
  </si>
  <si>
    <t>Смирнов Андрей Алексеевич</t>
  </si>
  <si>
    <t>2024-02-27</t>
  </si>
  <si>
    <t>2024-02-28</t>
  </si>
  <si>
    <t>2024-02-29</t>
  </si>
  <si>
    <t>2024-03-04</t>
  </si>
  <si>
    <t>Лебедев Константин Алексеевич</t>
  </si>
  <si>
    <t>Павлов Илья Никитич</t>
  </si>
  <si>
    <t>2024-03-05</t>
  </si>
  <si>
    <t>2024-03-08</t>
  </si>
  <si>
    <t>2024-03-11</t>
  </si>
  <si>
    <t>2024-03-13</t>
  </si>
  <si>
    <t>2024-03-14</t>
  </si>
  <si>
    <t>2024-03-15</t>
  </si>
  <si>
    <t>2024-03-18</t>
  </si>
  <si>
    <t>Смирнова Алиса Кирилловна</t>
  </si>
  <si>
    <t>2024-03-19</t>
  </si>
  <si>
    <t>2024-03-20</t>
  </si>
  <si>
    <t>2024-03-21</t>
  </si>
  <si>
    <t>2024-03-22</t>
  </si>
  <si>
    <t>2024-03-25</t>
  </si>
  <si>
    <t>Степанова Мария Ильинична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</si>
  <si>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</si>
  <si>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</si>
  <si>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</si>
  <si>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</si>
  <si>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</si>
  <si>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</si>
  <si>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</si>
  <si>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</si>
  <si>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</si>
  <si>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</si>
  <si>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</si>
  <si>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</si>
  <si>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</si>
  <si>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</si>
  <si>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</si>
  <si>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</si>
  <si>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</si>
  <si>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</si>
  <si>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</si>
  <si>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</si>
  <si>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</si>
  <si>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Морозов Кирилл Геннадьевич</t>
  </si>
  <si>
    <t>2024-04-25</t>
  </si>
  <si>
    <t>2024-04-26</t>
  </si>
  <si>
    <t>2024-04-29</t>
  </si>
  <si>
    <t>Орлов Сергей Иванович</t>
  </si>
  <si>
    <t>2024-04-30</t>
  </si>
  <si>
    <t>2024-05-01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</si>
  <si>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</si>
  <si>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</si>
  <si>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</si>
  <si>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</si>
  <si>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</si>
  <si>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</si>
  <si>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</si>
  <si>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</si>
  <si>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</si>
  <si>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</si>
  <si>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</si>
  <si>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</si>
  <si>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</si>
  <si>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Павлов Павел Юрьевич</t>
  </si>
  <si>
    <t>2024-05-22</t>
  </si>
  <si>
    <t>2024-05-23</t>
  </si>
  <si>
    <t>2024-05-24</t>
  </si>
  <si>
    <t>2024-05-27</t>
  </si>
  <si>
    <t>2024-05-28</t>
  </si>
  <si>
    <t>2024-05-29</t>
  </si>
  <si>
    <t>Лебедева Татьяна Павловна</t>
  </si>
  <si>
    <t>Лебедева Елена Олеговна</t>
  </si>
  <si>
    <t>2024-05-30</t>
  </si>
  <si>
    <t>2024-05-31</t>
  </si>
  <si>
    <t>2024-06-03</t>
  </si>
  <si>
    <t>2024-06-04</t>
  </si>
  <si>
    <t>2024-06-05</t>
  </si>
  <si>
    <t>Павлова София Владимировна</t>
  </si>
  <si>
    <t>2024-06-06</t>
  </si>
  <si>
    <t>2024-06-07</t>
  </si>
  <si>
    <t>2024-06-10</t>
  </si>
  <si>
    <t>Козлова Екатерина Олеговна</t>
  </si>
  <si>
    <t>2024-06-11</t>
  </si>
  <si>
    <t>2024-06-12</t>
  </si>
  <si>
    <t>2024-06-13</t>
  </si>
  <si>
    <t>Новикова Анна Геннадьевна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</si>
  <si>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</si>
  <si>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</si>
  <si>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</si>
  <si>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</si>
  <si>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</si>
  <si>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</si>
  <si>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</si>
  <si>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</si>
  <si>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</si>
  <si>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Васильева Александра Александровна</t>
  </si>
  <si>
    <t>2024-06-27</t>
  </si>
  <si>
    <t>2024-06-28</t>
  </si>
  <si>
    <t>2024-07-01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</si>
  <si>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</si>
  <si>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</si>
  <si>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</si>
  <si>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</si>
  <si>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</si>
  <si>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</si>
  <si>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</si>
  <si>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</si>
  <si>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</si>
  <si>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</si>
  <si>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</si>
  <si>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</si>
  <si>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</si>
  <si>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</si>
  <si>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</si>
  <si>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</si>
  <si>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</si>
  <si>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</si>
  <si>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</si>
  <si>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</si>
  <si>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</si>
  <si>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</si>
  <si>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</si>
  <si>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</si>
  <si>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Кузнецова Юлия Андреевна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</si>
  <si>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</si>
  <si>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</si>
  <si>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</si>
  <si>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</si>
  <si>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</si>
  <si>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</si>
  <si>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</si>
  <si>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</si>
  <si>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2024-08-19</t>
  </si>
  <si>
    <t>2024-08-20</t>
  </si>
  <si>
    <t>2024-08-21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</si>
  <si>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</si>
  <si>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</si>
  <si>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</si>
  <si>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</si>
  <si>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</si>
  <si>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</si>
  <si>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</si>
  <si>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</si>
  <si>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</si>
  <si>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</si>
  <si>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</si>
  <si>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</si>
  <si>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</si>
  <si>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</si>
  <si>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</si>
  <si>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</si>
  <si>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</si>
  <si>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</si>
  <si>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</si>
  <si>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</si>
  <si>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</si>
  <si>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</si>
  <si>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</si>
  <si>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</si>
  <si>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</si>
  <si>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</si>
  <si>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</si>
  <si>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</si>
  <si>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</si>
  <si>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</si>
  <si>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</si>
  <si>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</si>
  <si>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</si>
  <si>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</si>
  <si>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</si>
  <si>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</si>
  <si>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</si>
  <si>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</si>
  <si>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</si>
  <si>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</si>
  <si>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</si>
  <si>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</si>
  <si>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</si>
  <si>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</si>
  <si>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</si>
  <si>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</si>
  <si>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</si>
  <si>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</si>
  <si>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</si>
  <si>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</si>
  <si>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</si>
  <si>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</si>
  <si>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</si>
  <si>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</si>
  <si>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</si>
  <si>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</si>
  <si>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</si>
  <si>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Дата 1</t>
  </si>
  <si>
    <t>Дата 2</t>
  </si>
  <si>
    <t>Кол-во</t>
  </si>
  <si>
    <t>Менеджеры</t>
  </si>
  <si>
    <t>Год</t>
  </si>
  <si>
    <t>Месяц</t>
  </si>
  <si>
    <t>ГМ</t>
  </si>
  <si>
    <t>Шемякина Варвара Алексеевна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</si>
</sst>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72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horizontal="center" vertical="top"/>
    </xf>
    <xf numFmtId="0" fontId="0" fillId="0" borderId="0" xfId="0" applyNumberFormat="1"/>
    <xf numFmtId="0" fontId="3" fillId="0" borderId="0" xfId="0" applyNumberFormat="1" applyFont="1"/>
    <xf numFmtId="0" fontId="0" fillId="3" borderId="1" xfId="0" applyNumberFormat="1" applyFill="1" applyBorder="1" applyAlignment="1">
      <alignment horizontal="left"/>
    </xf>
    <xf numFmtId="9" fontId="0" fillId="3" borderId="1" xfId="2" applyNumberFormat="1" applyFon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9" fontId="0" fillId="3" borderId="1" xfId="2" applyFont="1" applyFill="1" applyBorder="1"/>
    <xf numFmtId="0" fontId="0" fillId="3" borderId="1" xfId="2" applyNumberFormat="1" applyFont="1" applyFill="1" applyBorder="1"/>
    <xf numFmtId="172" fontId="0" fillId="3" borderId="1" xfId="2" applyNumberFormat="1" applyFont="1" applyFill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H12" sqref="H12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31810</v>
      </c>
      <c r="E2">
        <v>5</v>
      </c>
    </row>
    <row r="3" spans="1:5" x14ac:dyDescent="0.3">
      <c r="A3" t="s">
        <v>8</v>
      </c>
      <c r="B3" t="s">
        <v>9</v>
      </c>
      <c r="C3" t="s">
        <v>7</v>
      </c>
      <c r="D3">
        <v>79983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65103</v>
      </c>
      <c r="E4">
        <v>7</v>
      </c>
    </row>
    <row r="5" spans="1:5" x14ac:dyDescent="0.3">
      <c r="A5" t="s">
        <v>12</v>
      </c>
      <c r="B5" t="s">
        <v>13</v>
      </c>
      <c r="C5" t="s">
        <v>7</v>
      </c>
      <c r="D5">
        <v>45916</v>
      </c>
      <c r="E5">
        <v>8</v>
      </c>
    </row>
    <row r="6" spans="1:5" x14ac:dyDescent="0.3">
      <c r="A6" t="s">
        <v>14</v>
      </c>
      <c r="B6" t="s">
        <v>15</v>
      </c>
      <c r="C6" t="s">
        <v>16</v>
      </c>
      <c r="D6">
        <v>26479</v>
      </c>
      <c r="E6">
        <v>7</v>
      </c>
    </row>
    <row r="7" spans="1:5" x14ac:dyDescent="0.3">
      <c r="A7" t="s">
        <v>8</v>
      </c>
      <c r="B7" t="s">
        <v>17</v>
      </c>
      <c r="C7" t="s">
        <v>16</v>
      </c>
      <c r="D7">
        <v>65924</v>
      </c>
      <c r="E7">
        <v>8</v>
      </c>
    </row>
    <row r="8" spans="1:5" x14ac:dyDescent="0.3">
      <c r="A8" t="s">
        <v>18</v>
      </c>
      <c r="B8" t="s">
        <v>19</v>
      </c>
      <c r="C8" t="s">
        <v>16</v>
      </c>
      <c r="D8">
        <v>84442</v>
      </c>
      <c r="E8">
        <v>5</v>
      </c>
    </row>
    <row r="9" spans="1:5" x14ac:dyDescent="0.3">
      <c r="A9" t="s">
        <v>8</v>
      </c>
      <c r="B9" t="s">
        <v>20</v>
      </c>
      <c r="C9" t="s">
        <v>16</v>
      </c>
      <c r="D9">
        <v>36848</v>
      </c>
      <c r="E9">
        <v>6</v>
      </c>
    </row>
    <row r="10" spans="1:5" x14ac:dyDescent="0.3">
      <c r="A10" t="s">
        <v>21</v>
      </c>
      <c r="B10" t="s">
        <v>22</v>
      </c>
      <c r="C10" t="s">
        <v>16</v>
      </c>
      <c r="D10">
        <v>27991</v>
      </c>
      <c r="E10">
        <v>7</v>
      </c>
    </row>
    <row r="11" spans="1:5" x14ac:dyDescent="0.3">
      <c r="A11" t="s">
        <v>14</v>
      </c>
      <c r="B11" t="s">
        <v>23</v>
      </c>
      <c r="C11" t="s">
        <v>16</v>
      </c>
      <c r="D11">
        <v>21080</v>
      </c>
      <c r="E11">
        <v>9</v>
      </c>
    </row>
    <row r="12" spans="1:5" x14ac:dyDescent="0.3">
      <c r="A12" t="s">
        <v>8</v>
      </c>
      <c r="B12" t="s">
        <v>24</v>
      </c>
      <c r="C12" t="s">
        <v>16</v>
      </c>
      <c r="D12">
        <v>13650</v>
      </c>
      <c r="E12">
        <v>4</v>
      </c>
    </row>
    <row r="13" spans="1:5" x14ac:dyDescent="0.3">
      <c r="A13" t="s">
        <v>18</v>
      </c>
      <c r="B13" t="s">
        <v>25</v>
      </c>
      <c r="C13" t="s">
        <v>26</v>
      </c>
      <c r="D13">
        <v>36816</v>
      </c>
      <c r="E13">
        <v>2</v>
      </c>
    </row>
    <row r="14" spans="1:5" x14ac:dyDescent="0.3">
      <c r="A14" t="s">
        <v>18</v>
      </c>
      <c r="B14" t="s">
        <v>27</v>
      </c>
      <c r="C14" t="s">
        <v>26</v>
      </c>
      <c r="D14">
        <v>17474</v>
      </c>
      <c r="E14">
        <v>2</v>
      </c>
    </row>
    <row r="15" spans="1:5" x14ac:dyDescent="0.3">
      <c r="A15" t="s">
        <v>28</v>
      </c>
      <c r="B15" t="s">
        <v>29</v>
      </c>
      <c r="C15" t="s">
        <v>26</v>
      </c>
      <c r="D15">
        <v>30692</v>
      </c>
      <c r="E15">
        <v>5</v>
      </c>
    </row>
    <row r="16" spans="1:5" x14ac:dyDescent="0.3">
      <c r="A16" t="s">
        <v>12</v>
      </c>
      <c r="B16" t="s">
        <v>30</v>
      </c>
      <c r="C16" t="s">
        <v>31</v>
      </c>
      <c r="D16">
        <v>44283</v>
      </c>
      <c r="E16">
        <v>6</v>
      </c>
    </row>
    <row r="17" spans="1:5" x14ac:dyDescent="0.3">
      <c r="A17" t="s">
        <v>12</v>
      </c>
      <c r="B17" t="s">
        <v>32</v>
      </c>
      <c r="C17" t="s">
        <v>33</v>
      </c>
      <c r="D17">
        <v>54765</v>
      </c>
      <c r="E17">
        <v>8</v>
      </c>
    </row>
    <row r="18" spans="1:5" x14ac:dyDescent="0.3">
      <c r="A18" t="s">
        <v>28</v>
      </c>
      <c r="B18" t="s">
        <v>34</v>
      </c>
      <c r="C18" t="s">
        <v>33</v>
      </c>
      <c r="D18">
        <v>74884</v>
      </c>
      <c r="E18">
        <v>1</v>
      </c>
    </row>
    <row r="19" spans="1:5" x14ac:dyDescent="0.3">
      <c r="A19" t="s">
        <v>14</v>
      </c>
      <c r="B19" t="s">
        <v>34</v>
      </c>
      <c r="C19" t="s">
        <v>33</v>
      </c>
      <c r="D19">
        <v>91344</v>
      </c>
      <c r="E19">
        <v>4</v>
      </c>
    </row>
    <row r="20" spans="1:5" x14ac:dyDescent="0.3">
      <c r="A20" t="s">
        <v>5</v>
      </c>
      <c r="B20" t="s">
        <v>35</v>
      </c>
      <c r="C20" t="s">
        <v>33</v>
      </c>
      <c r="D20">
        <v>25225</v>
      </c>
      <c r="E20">
        <v>7</v>
      </c>
    </row>
    <row r="21" spans="1:5" x14ac:dyDescent="0.3">
      <c r="A21" t="s">
        <v>14</v>
      </c>
      <c r="B21" t="s">
        <v>36</v>
      </c>
      <c r="C21" t="s">
        <v>33</v>
      </c>
      <c r="D21">
        <v>46372</v>
      </c>
      <c r="E21">
        <v>7</v>
      </c>
    </row>
    <row r="22" spans="1:5" x14ac:dyDescent="0.3">
      <c r="A22" t="s">
        <v>14</v>
      </c>
      <c r="B22" t="s">
        <v>37</v>
      </c>
      <c r="C22" t="s">
        <v>38</v>
      </c>
      <c r="D22">
        <v>11951</v>
      </c>
      <c r="E22">
        <v>3</v>
      </c>
    </row>
    <row r="23" spans="1:5" x14ac:dyDescent="0.3">
      <c r="A23" t="s">
        <v>10</v>
      </c>
      <c r="B23" t="s">
        <v>39</v>
      </c>
      <c r="C23" t="s">
        <v>38</v>
      </c>
      <c r="D23">
        <v>52185</v>
      </c>
      <c r="E23">
        <v>4</v>
      </c>
    </row>
    <row r="24" spans="1:5" x14ac:dyDescent="0.3">
      <c r="A24" t="s">
        <v>40</v>
      </c>
      <c r="B24" t="s">
        <v>41</v>
      </c>
      <c r="C24" t="s">
        <v>38</v>
      </c>
      <c r="D24">
        <v>15458</v>
      </c>
      <c r="E24">
        <v>7</v>
      </c>
    </row>
    <row r="25" spans="1:5" x14ac:dyDescent="0.3">
      <c r="A25" t="s">
        <v>10</v>
      </c>
      <c r="B25" t="s">
        <v>42</v>
      </c>
      <c r="C25" t="s">
        <v>38</v>
      </c>
      <c r="D25">
        <v>37625</v>
      </c>
      <c r="E25">
        <v>8</v>
      </c>
    </row>
    <row r="26" spans="1:5" x14ac:dyDescent="0.3">
      <c r="A26" t="s">
        <v>40</v>
      </c>
      <c r="B26" t="s">
        <v>43</v>
      </c>
      <c r="C26" t="s">
        <v>44</v>
      </c>
      <c r="D26">
        <v>20131</v>
      </c>
      <c r="E26">
        <v>10</v>
      </c>
    </row>
    <row r="27" spans="1:5" x14ac:dyDescent="0.3">
      <c r="A27" t="s">
        <v>45</v>
      </c>
      <c r="B27" t="s">
        <v>46</v>
      </c>
      <c r="C27" t="s">
        <v>44</v>
      </c>
      <c r="D27">
        <v>15365</v>
      </c>
      <c r="E27">
        <v>5</v>
      </c>
    </row>
    <row r="28" spans="1:5" x14ac:dyDescent="0.3">
      <c r="A28" t="s">
        <v>47</v>
      </c>
      <c r="B28" t="s">
        <v>48</v>
      </c>
      <c r="C28" t="s">
        <v>44</v>
      </c>
      <c r="D28">
        <v>65716</v>
      </c>
      <c r="E28">
        <v>6</v>
      </c>
    </row>
    <row r="29" spans="1:5" x14ac:dyDescent="0.3">
      <c r="A29" t="s">
        <v>8</v>
      </c>
      <c r="B29" t="s">
        <v>49</v>
      </c>
      <c r="C29" t="s">
        <v>44</v>
      </c>
      <c r="D29">
        <v>98163</v>
      </c>
      <c r="E29">
        <v>8</v>
      </c>
    </row>
    <row r="30" spans="1:5" x14ac:dyDescent="0.3">
      <c r="A30" t="s">
        <v>40</v>
      </c>
      <c r="B30" t="s">
        <v>32</v>
      </c>
      <c r="C30" t="s">
        <v>44</v>
      </c>
      <c r="D30">
        <v>11301</v>
      </c>
      <c r="E30">
        <v>9</v>
      </c>
    </row>
    <row r="31" spans="1:5" x14ac:dyDescent="0.3">
      <c r="A31" t="s">
        <v>50</v>
      </c>
      <c r="B31" t="s">
        <v>51</v>
      </c>
      <c r="C31" t="s">
        <v>44</v>
      </c>
      <c r="D31">
        <v>16140</v>
      </c>
      <c r="E31">
        <v>1</v>
      </c>
    </row>
    <row r="32" spans="1:5" x14ac:dyDescent="0.3">
      <c r="A32" t="s">
        <v>40</v>
      </c>
      <c r="B32" t="s">
        <v>52</v>
      </c>
      <c r="C32" t="s">
        <v>44</v>
      </c>
      <c r="D32">
        <v>97934</v>
      </c>
      <c r="E32">
        <v>6</v>
      </c>
    </row>
    <row r="33" spans="1:5" x14ac:dyDescent="0.3">
      <c r="A33" t="s">
        <v>47</v>
      </c>
      <c r="B33" t="s">
        <v>53</v>
      </c>
      <c r="C33" t="s">
        <v>44</v>
      </c>
      <c r="D33">
        <v>40642</v>
      </c>
      <c r="E33">
        <v>3</v>
      </c>
    </row>
    <row r="34" spans="1:5" x14ac:dyDescent="0.3">
      <c r="A34" t="s">
        <v>18</v>
      </c>
      <c r="B34" t="s">
        <v>54</v>
      </c>
      <c r="C34" t="s">
        <v>44</v>
      </c>
      <c r="D34">
        <v>38005</v>
      </c>
      <c r="E34">
        <v>6</v>
      </c>
    </row>
    <row r="35" spans="1:5" x14ac:dyDescent="0.3">
      <c r="A35" t="s">
        <v>8</v>
      </c>
      <c r="B35" t="s">
        <v>55</v>
      </c>
      <c r="C35" t="s">
        <v>44</v>
      </c>
      <c r="D35">
        <v>36138</v>
      </c>
      <c r="E35">
        <v>7</v>
      </c>
    </row>
    <row r="36" spans="1:5" x14ac:dyDescent="0.3">
      <c r="A36" t="s">
        <v>28</v>
      </c>
      <c r="B36" t="s">
        <v>56</v>
      </c>
      <c r="C36" t="s">
        <v>57</v>
      </c>
      <c r="D36">
        <v>46656</v>
      </c>
      <c r="E36">
        <v>9</v>
      </c>
    </row>
    <row r="37" spans="1:5" x14ac:dyDescent="0.3">
      <c r="A37" t="s">
        <v>8</v>
      </c>
      <c r="B37" t="s">
        <v>58</v>
      </c>
      <c r="C37" t="s">
        <v>57</v>
      </c>
      <c r="D37">
        <v>82879</v>
      </c>
      <c r="E37">
        <v>3</v>
      </c>
    </row>
    <row r="38" spans="1:5" x14ac:dyDescent="0.3">
      <c r="A38" t="s">
        <v>14</v>
      </c>
      <c r="B38" t="s">
        <v>59</v>
      </c>
      <c r="C38" t="s">
        <v>57</v>
      </c>
      <c r="D38">
        <v>76375</v>
      </c>
      <c r="E38">
        <v>5</v>
      </c>
    </row>
    <row r="39" spans="1:5" x14ac:dyDescent="0.3">
      <c r="A39" t="s">
        <v>45</v>
      </c>
      <c r="B39" t="s">
        <v>60</v>
      </c>
      <c r="C39" t="s">
        <v>57</v>
      </c>
      <c r="D39">
        <v>79759</v>
      </c>
      <c r="E39">
        <v>9</v>
      </c>
    </row>
    <row r="40" spans="1:5" x14ac:dyDescent="0.3">
      <c r="A40" t="s">
        <v>40</v>
      </c>
      <c r="B40" t="s">
        <v>61</v>
      </c>
      <c r="C40" t="s">
        <v>57</v>
      </c>
      <c r="D40">
        <v>74925</v>
      </c>
      <c r="E40">
        <v>9</v>
      </c>
    </row>
    <row r="41" spans="1:5" x14ac:dyDescent="0.3">
      <c r="A41" t="s">
        <v>21</v>
      </c>
      <c r="B41" t="s">
        <v>62</v>
      </c>
      <c r="C41" t="s">
        <v>57</v>
      </c>
      <c r="D41">
        <v>17187</v>
      </c>
      <c r="E41">
        <v>9</v>
      </c>
    </row>
    <row r="42" spans="1:5" x14ac:dyDescent="0.3">
      <c r="A42" t="s">
        <v>8</v>
      </c>
      <c r="B42" t="s">
        <v>63</v>
      </c>
      <c r="C42" t="s">
        <v>64</v>
      </c>
      <c r="D42">
        <v>59754</v>
      </c>
      <c r="E42">
        <v>7</v>
      </c>
    </row>
    <row r="43" spans="1:5" x14ac:dyDescent="0.3">
      <c r="A43" t="s">
        <v>12</v>
      </c>
      <c r="B43" t="s">
        <v>65</v>
      </c>
      <c r="C43" t="s">
        <v>64</v>
      </c>
      <c r="D43">
        <v>12140</v>
      </c>
      <c r="E43">
        <v>5</v>
      </c>
    </row>
    <row r="44" spans="1:5" x14ac:dyDescent="0.3">
      <c r="A44" t="s">
        <v>21</v>
      </c>
      <c r="B44" t="s">
        <v>66</v>
      </c>
      <c r="C44" t="s">
        <v>64</v>
      </c>
      <c r="D44">
        <v>75131</v>
      </c>
      <c r="E44">
        <v>6</v>
      </c>
    </row>
    <row r="45" spans="1:5" x14ac:dyDescent="0.3">
      <c r="A45" t="s">
        <v>8</v>
      </c>
      <c r="B45" t="s">
        <v>67</v>
      </c>
      <c r="C45" t="s">
        <v>68</v>
      </c>
      <c r="D45">
        <v>15221</v>
      </c>
      <c r="E45">
        <v>5</v>
      </c>
    </row>
    <row r="46" spans="1:5" x14ac:dyDescent="0.3">
      <c r="A46" t="s">
        <v>28</v>
      </c>
      <c r="B46" t="s">
        <v>69</v>
      </c>
      <c r="C46" t="s">
        <v>68</v>
      </c>
      <c r="D46">
        <v>56233</v>
      </c>
      <c r="E46">
        <v>9</v>
      </c>
    </row>
    <row r="47" spans="1:5" x14ac:dyDescent="0.3">
      <c r="A47" t="s">
        <v>50</v>
      </c>
      <c r="B47" t="s">
        <v>70</v>
      </c>
      <c r="C47" t="s">
        <v>68</v>
      </c>
      <c r="D47">
        <v>67192</v>
      </c>
      <c r="E47">
        <v>5</v>
      </c>
    </row>
    <row r="48" spans="1:5" x14ac:dyDescent="0.3">
      <c r="A48" t="s">
        <v>21</v>
      </c>
      <c r="B48" t="s">
        <v>71</v>
      </c>
      <c r="C48" t="s">
        <v>68</v>
      </c>
      <c r="D48">
        <v>41739</v>
      </c>
      <c r="E48">
        <v>6</v>
      </c>
    </row>
    <row r="49" spans="1:5" x14ac:dyDescent="0.3">
      <c r="A49" t="s">
        <v>28</v>
      </c>
      <c r="B49" t="s">
        <v>72</v>
      </c>
      <c r="C49" t="s">
        <v>73</v>
      </c>
      <c r="D49">
        <v>60873</v>
      </c>
      <c r="E49">
        <v>8</v>
      </c>
    </row>
    <row r="50" spans="1:5" x14ac:dyDescent="0.3">
      <c r="A50" t="s">
        <v>28</v>
      </c>
      <c r="B50" t="s">
        <v>53</v>
      </c>
      <c r="C50" t="s">
        <v>73</v>
      </c>
      <c r="D50">
        <v>56022</v>
      </c>
      <c r="E50">
        <v>7</v>
      </c>
    </row>
    <row r="51" spans="1:5" x14ac:dyDescent="0.3">
      <c r="A51" t="s">
        <v>28</v>
      </c>
      <c r="B51" t="s">
        <v>74</v>
      </c>
      <c r="C51" t="s">
        <v>73</v>
      </c>
      <c r="D51">
        <v>24286</v>
      </c>
      <c r="E51">
        <v>8</v>
      </c>
    </row>
    <row r="52" spans="1:5" x14ac:dyDescent="0.3">
      <c r="A52" t="s">
        <v>12</v>
      </c>
      <c r="B52" t="s">
        <v>75</v>
      </c>
      <c r="C52" t="s">
        <v>73</v>
      </c>
      <c r="D52">
        <v>64221</v>
      </c>
      <c r="E52">
        <v>8</v>
      </c>
    </row>
    <row r="53" spans="1:5" x14ac:dyDescent="0.3">
      <c r="A53" t="s">
        <v>28</v>
      </c>
      <c r="B53" t="s">
        <v>76</v>
      </c>
      <c r="C53" t="s">
        <v>73</v>
      </c>
      <c r="D53">
        <v>37825</v>
      </c>
      <c r="E53">
        <v>5</v>
      </c>
    </row>
    <row r="54" spans="1:5" x14ac:dyDescent="0.3">
      <c r="A54" t="s">
        <v>5</v>
      </c>
      <c r="B54" t="s">
        <v>77</v>
      </c>
      <c r="C54" t="s">
        <v>73</v>
      </c>
      <c r="D54">
        <v>54114</v>
      </c>
      <c r="E54">
        <v>2</v>
      </c>
    </row>
    <row r="55" spans="1:5" x14ac:dyDescent="0.3">
      <c r="A55" t="s">
        <v>45</v>
      </c>
      <c r="B55" t="s">
        <v>30</v>
      </c>
      <c r="C55" t="s">
        <v>73</v>
      </c>
      <c r="D55">
        <v>63953</v>
      </c>
      <c r="E55">
        <v>4</v>
      </c>
    </row>
    <row r="56" spans="1:5" x14ac:dyDescent="0.3">
      <c r="A56" t="s">
        <v>18</v>
      </c>
      <c r="B56" t="s">
        <v>78</v>
      </c>
      <c r="C56" t="s">
        <v>79</v>
      </c>
      <c r="D56">
        <v>63971</v>
      </c>
      <c r="E56">
        <v>6</v>
      </c>
    </row>
    <row r="57" spans="1:5" x14ac:dyDescent="0.3">
      <c r="A57" t="s">
        <v>8</v>
      </c>
      <c r="B57" t="s">
        <v>80</v>
      </c>
      <c r="C57" t="s">
        <v>79</v>
      </c>
      <c r="D57">
        <v>82548</v>
      </c>
      <c r="E57">
        <v>1</v>
      </c>
    </row>
    <row r="58" spans="1:5" x14ac:dyDescent="0.3">
      <c r="A58" t="s">
        <v>14</v>
      </c>
      <c r="B58" t="s">
        <v>53</v>
      </c>
      <c r="C58" t="s">
        <v>79</v>
      </c>
      <c r="D58">
        <v>88460</v>
      </c>
      <c r="E58">
        <v>8</v>
      </c>
    </row>
    <row r="59" spans="1:5" x14ac:dyDescent="0.3">
      <c r="A59" t="s">
        <v>40</v>
      </c>
      <c r="B59" t="s">
        <v>81</v>
      </c>
      <c r="C59" t="s">
        <v>79</v>
      </c>
      <c r="D59">
        <v>32915</v>
      </c>
      <c r="E59">
        <v>7</v>
      </c>
    </row>
    <row r="60" spans="1:5" x14ac:dyDescent="0.3">
      <c r="A60" t="s">
        <v>28</v>
      </c>
      <c r="B60" t="s">
        <v>56</v>
      </c>
      <c r="C60" t="s">
        <v>82</v>
      </c>
      <c r="D60">
        <v>74181</v>
      </c>
      <c r="E60">
        <v>3</v>
      </c>
    </row>
    <row r="61" spans="1:5" x14ac:dyDescent="0.3">
      <c r="A61" t="s">
        <v>47</v>
      </c>
      <c r="B61" t="s">
        <v>83</v>
      </c>
      <c r="C61" t="s">
        <v>82</v>
      </c>
      <c r="D61">
        <v>11612</v>
      </c>
      <c r="E61">
        <v>4</v>
      </c>
    </row>
    <row r="62" spans="1:5" x14ac:dyDescent="0.3">
      <c r="A62" t="s">
        <v>21</v>
      </c>
      <c r="B62" t="s">
        <v>84</v>
      </c>
      <c r="C62" t="s">
        <v>82</v>
      </c>
      <c r="D62">
        <v>56948</v>
      </c>
      <c r="E62">
        <v>8</v>
      </c>
    </row>
    <row r="63" spans="1:5" x14ac:dyDescent="0.3">
      <c r="A63" t="s">
        <v>47</v>
      </c>
      <c r="B63" t="s">
        <v>85</v>
      </c>
      <c r="C63" t="s">
        <v>86</v>
      </c>
      <c r="D63">
        <v>76732</v>
      </c>
      <c r="E63">
        <v>2</v>
      </c>
    </row>
    <row r="64" spans="1:5" x14ac:dyDescent="0.3">
      <c r="A64" t="s">
        <v>45</v>
      </c>
      <c r="B64" t="s">
        <v>87</v>
      </c>
      <c r="C64" t="s">
        <v>86</v>
      </c>
      <c r="D64">
        <v>25833</v>
      </c>
      <c r="E64">
        <v>7</v>
      </c>
    </row>
    <row r="65" spans="1:5" x14ac:dyDescent="0.3">
      <c r="A65" t="s">
        <v>8</v>
      </c>
      <c r="B65" t="s">
        <v>69</v>
      </c>
      <c r="C65" t="s">
        <v>86</v>
      </c>
      <c r="D65">
        <v>18940</v>
      </c>
      <c r="E65">
        <v>3</v>
      </c>
    </row>
    <row r="66" spans="1:5" x14ac:dyDescent="0.3">
      <c r="A66" t="s">
        <v>50</v>
      </c>
      <c r="B66" t="s">
        <v>88</v>
      </c>
      <c r="C66" t="s">
        <v>86</v>
      </c>
      <c r="D66">
        <v>98838</v>
      </c>
      <c r="E66">
        <v>9</v>
      </c>
    </row>
    <row r="67" spans="1:5" x14ac:dyDescent="0.3">
      <c r="A67" t="s">
        <v>21</v>
      </c>
      <c r="B67" t="s">
        <v>89</v>
      </c>
      <c r="C67" t="s">
        <v>86</v>
      </c>
      <c r="D67">
        <v>75010</v>
      </c>
      <c r="E67">
        <v>7</v>
      </c>
    </row>
    <row r="68" spans="1:5" x14ac:dyDescent="0.3">
      <c r="A68" t="s">
        <v>18</v>
      </c>
      <c r="B68" t="s">
        <v>90</v>
      </c>
      <c r="C68" t="s">
        <v>91</v>
      </c>
      <c r="D68">
        <v>15043</v>
      </c>
      <c r="E68">
        <v>7</v>
      </c>
    </row>
    <row r="69" spans="1:5" x14ac:dyDescent="0.3">
      <c r="A69" t="s">
        <v>8</v>
      </c>
      <c r="B69" t="s">
        <v>92</v>
      </c>
      <c r="C69" t="s">
        <v>93</v>
      </c>
      <c r="D69">
        <v>12798</v>
      </c>
      <c r="E69">
        <v>10</v>
      </c>
    </row>
    <row r="70" spans="1:5" x14ac:dyDescent="0.3">
      <c r="A70" t="s">
        <v>18</v>
      </c>
      <c r="B70" t="s">
        <v>78</v>
      </c>
      <c r="C70" t="s">
        <v>93</v>
      </c>
      <c r="D70">
        <v>51162</v>
      </c>
      <c r="E70">
        <v>6</v>
      </c>
    </row>
    <row r="71" spans="1:5" x14ac:dyDescent="0.3">
      <c r="A71" t="s">
        <v>18</v>
      </c>
      <c r="B71" t="s">
        <v>48</v>
      </c>
      <c r="C71" t="s">
        <v>93</v>
      </c>
      <c r="D71">
        <v>48206</v>
      </c>
      <c r="E71">
        <v>7</v>
      </c>
    </row>
    <row r="72" spans="1:5" x14ac:dyDescent="0.3">
      <c r="A72" t="s">
        <v>50</v>
      </c>
      <c r="B72" t="s">
        <v>27</v>
      </c>
      <c r="C72" t="s">
        <v>93</v>
      </c>
      <c r="D72">
        <v>83609</v>
      </c>
      <c r="E72">
        <v>7</v>
      </c>
    </row>
    <row r="73" spans="1:5" x14ac:dyDescent="0.3">
      <c r="A73" t="s">
        <v>18</v>
      </c>
      <c r="B73" t="s">
        <v>94</v>
      </c>
      <c r="C73" t="s">
        <v>93</v>
      </c>
      <c r="D73">
        <v>17884</v>
      </c>
      <c r="E73">
        <v>6</v>
      </c>
    </row>
    <row r="74" spans="1:5" x14ac:dyDescent="0.3">
      <c r="A74" t="s">
        <v>10</v>
      </c>
      <c r="B74" t="s">
        <v>95</v>
      </c>
      <c r="C74" t="s">
        <v>93</v>
      </c>
      <c r="D74">
        <v>36004</v>
      </c>
      <c r="E74">
        <v>6</v>
      </c>
    </row>
    <row r="75" spans="1:5" x14ac:dyDescent="0.3">
      <c r="A75" t="s">
        <v>47</v>
      </c>
      <c r="B75" t="s">
        <v>56</v>
      </c>
      <c r="C75" t="s">
        <v>93</v>
      </c>
      <c r="D75">
        <v>26265</v>
      </c>
      <c r="E75">
        <v>5</v>
      </c>
    </row>
    <row r="76" spans="1:5" x14ac:dyDescent="0.3">
      <c r="A76" t="s">
        <v>47</v>
      </c>
      <c r="B76" t="s">
        <v>96</v>
      </c>
      <c r="C76" t="s">
        <v>93</v>
      </c>
      <c r="D76">
        <v>98681</v>
      </c>
      <c r="E76">
        <v>9</v>
      </c>
    </row>
    <row r="77" spans="1:5" x14ac:dyDescent="0.3">
      <c r="A77" t="s">
        <v>8</v>
      </c>
      <c r="B77" t="s">
        <v>80</v>
      </c>
      <c r="C77" t="s">
        <v>93</v>
      </c>
      <c r="D77">
        <v>40255</v>
      </c>
      <c r="E77">
        <v>2</v>
      </c>
    </row>
    <row r="78" spans="1:5" x14ac:dyDescent="0.3">
      <c r="A78" t="s">
        <v>45</v>
      </c>
      <c r="B78" t="s">
        <v>97</v>
      </c>
      <c r="C78" t="s">
        <v>93</v>
      </c>
      <c r="D78">
        <v>73859</v>
      </c>
      <c r="E78">
        <v>6</v>
      </c>
    </row>
    <row r="79" spans="1:5" x14ac:dyDescent="0.3">
      <c r="A79" t="s">
        <v>50</v>
      </c>
      <c r="B79" t="s">
        <v>43</v>
      </c>
      <c r="C79" t="s">
        <v>98</v>
      </c>
      <c r="D79">
        <v>90174</v>
      </c>
      <c r="E79">
        <v>8</v>
      </c>
    </row>
    <row r="80" spans="1:5" x14ac:dyDescent="0.3">
      <c r="A80" t="s">
        <v>50</v>
      </c>
      <c r="B80" t="s">
        <v>99</v>
      </c>
      <c r="C80" t="s">
        <v>98</v>
      </c>
      <c r="D80">
        <v>15297</v>
      </c>
      <c r="E80">
        <v>9</v>
      </c>
    </row>
    <row r="81" spans="1:5" x14ac:dyDescent="0.3">
      <c r="A81" t="s">
        <v>47</v>
      </c>
      <c r="B81" t="s">
        <v>49</v>
      </c>
      <c r="C81" t="s">
        <v>98</v>
      </c>
      <c r="D81">
        <v>32384</v>
      </c>
      <c r="E81">
        <v>8</v>
      </c>
    </row>
    <row r="82" spans="1:5" x14ac:dyDescent="0.3">
      <c r="A82" t="s">
        <v>10</v>
      </c>
      <c r="B82" t="s">
        <v>100</v>
      </c>
      <c r="C82" t="s">
        <v>98</v>
      </c>
      <c r="D82">
        <v>73564</v>
      </c>
      <c r="E82">
        <v>4</v>
      </c>
    </row>
    <row r="83" spans="1:5" x14ac:dyDescent="0.3">
      <c r="A83" t="s">
        <v>47</v>
      </c>
      <c r="B83" t="s">
        <v>101</v>
      </c>
      <c r="C83" t="s">
        <v>98</v>
      </c>
      <c r="D83">
        <v>99178</v>
      </c>
      <c r="E83">
        <v>7</v>
      </c>
    </row>
    <row r="84" spans="1:5" x14ac:dyDescent="0.3">
      <c r="A84" t="s">
        <v>18</v>
      </c>
      <c r="B84" t="s">
        <v>96</v>
      </c>
      <c r="C84" t="s">
        <v>102</v>
      </c>
      <c r="D84">
        <v>31282</v>
      </c>
      <c r="E84">
        <v>4</v>
      </c>
    </row>
    <row r="85" spans="1:5" x14ac:dyDescent="0.3">
      <c r="A85" t="s">
        <v>40</v>
      </c>
      <c r="B85" t="s">
        <v>100</v>
      </c>
      <c r="C85" t="s">
        <v>102</v>
      </c>
      <c r="D85">
        <v>50297</v>
      </c>
      <c r="E85">
        <v>8</v>
      </c>
    </row>
    <row r="86" spans="1:5" x14ac:dyDescent="0.3">
      <c r="A86" t="s">
        <v>40</v>
      </c>
      <c r="B86" t="s">
        <v>103</v>
      </c>
      <c r="C86" t="s">
        <v>104</v>
      </c>
      <c r="D86">
        <v>82409</v>
      </c>
      <c r="E86">
        <v>9</v>
      </c>
    </row>
    <row r="87" spans="1:5" x14ac:dyDescent="0.3">
      <c r="A87" t="s">
        <v>45</v>
      </c>
      <c r="B87" t="s">
        <v>105</v>
      </c>
      <c r="C87" t="s">
        <v>104</v>
      </c>
      <c r="D87">
        <v>22593</v>
      </c>
      <c r="E87">
        <v>7</v>
      </c>
    </row>
    <row r="88" spans="1:5" x14ac:dyDescent="0.3">
      <c r="A88" t="s">
        <v>28</v>
      </c>
      <c r="B88" t="s">
        <v>106</v>
      </c>
      <c r="C88" t="s">
        <v>104</v>
      </c>
      <c r="D88">
        <v>56057</v>
      </c>
      <c r="E88">
        <v>8</v>
      </c>
    </row>
    <row r="89" spans="1:5" x14ac:dyDescent="0.3">
      <c r="A89" t="s">
        <v>47</v>
      </c>
      <c r="B89" t="s">
        <v>107</v>
      </c>
      <c r="C89" t="s">
        <v>108</v>
      </c>
      <c r="D89">
        <v>30763</v>
      </c>
      <c r="E89">
        <v>8</v>
      </c>
    </row>
    <row r="90" spans="1:5" x14ac:dyDescent="0.3">
      <c r="A90" t="s">
        <v>21</v>
      </c>
      <c r="B90" t="s">
        <v>109</v>
      </c>
      <c r="C90" t="s">
        <v>108</v>
      </c>
      <c r="D90">
        <v>15381</v>
      </c>
      <c r="E90">
        <v>7</v>
      </c>
    </row>
    <row r="91" spans="1:5" x14ac:dyDescent="0.3">
      <c r="A91" t="s">
        <v>5</v>
      </c>
      <c r="B91" t="s">
        <v>36</v>
      </c>
      <c r="C91" t="s">
        <v>108</v>
      </c>
      <c r="D91">
        <v>91834</v>
      </c>
      <c r="E91">
        <v>6</v>
      </c>
    </row>
    <row r="92" spans="1:5" x14ac:dyDescent="0.3">
      <c r="A92" t="s">
        <v>18</v>
      </c>
      <c r="B92" t="s">
        <v>110</v>
      </c>
      <c r="C92" t="s">
        <v>108</v>
      </c>
      <c r="D92">
        <v>27840</v>
      </c>
      <c r="E92">
        <v>8</v>
      </c>
    </row>
    <row r="93" spans="1:5" x14ac:dyDescent="0.3">
      <c r="A93" t="s">
        <v>12</v>
      </c>
      <c r="B93" t="s">
        <v>106</v>
      </c>
      <c r="C93" t="s">
        <v>108</v>
      </c>
      <c r="D93">
        <v>20470</v>
      </c>
      <c r="E93">
        <v>5</v>
      </c>
    </row>
    <row r="94" spans="1:5" x14ac:dyDescent="0.3">
      <c r="A94" t="s">
        <v>45</v>
      </c>
      <c r="B94" t="s">
        <v>111</v>
      </c>
      <c r="C94" t="s">
        <v>108</v>
      </c>
      <c r="D94">
        <v>18241</v>
      </c>
      <c r="E94">
        <v>3</v>
      </c>
    </row>
    <row r="95" spans="1:5" x14ac:dyDescent="0.3">
      <c r="A95" t="s">
        <v>47</v>
      </c>
      <c r="B95" t="s">
        <v>112</v>
      </c>
      <c r="C95" t="s">
        <v>113</v>
      </c>
      <c r="D95">
        <v>79456</v>
      </c>
      <c r="E95">
        <v>6</v>
      </c>
    </row>
    <row r="96" spans="1:5" x14ac:dyDescent="0.3">
      <c r="A96" t="s">
        <v>18</v>
      </c>
      <c r="B96" t="s">
        <v>114</v>
      </c>
      <c r="C96" t="s">
        <v>113</v>
      </c>
      <c r="D96">
        <v>45645</v>
      </c>
      <c r="E96">
        <v>7</v>
      </c>
    </row>
    <row r="97" spans="1:5" x14ac:dyDescent="0.3">
      <c r="A97" t="s">
        <v>12</v>
      </c>
      <c r="B97" t="s">
        <v>110</v>
      </c>
      <c r="C97" t="s">
        <v>113</v>
      </c>
      <c r="D97">
        <v>62307</v>
      </c>
      <c r="E97">
        <v>6</v>
      </c>
    </row>
    <row r="98" spans="1:5" x14ac:dyDescent="0.3">
      <c r="A98" t="s">
        <v>21</v>
      </c>
      <c r="B98" t="s">
        <v>30</v>
      </c>
      <c r="C98" t="s">
        <v>113</v>
      </c>
      <c r="D98">
        <v>97609</v>
      </c>
      <c r="E98">
        <v>6</v>
      </c>
    </row>
    <row r="99" spans="1:5" x14ac:dyDescent="0.3">
      <c r="A99" t="s">
        <v>10</v>
      </c>
      <c r="B99" t="s">
        <v>85</v>
      </c>
      <c r="C99" t="s">
        <v>113</v>
      </c>
      <c r="D99">
        <v>85894</v>
      </c>
      <c r="E99">
        <v>6</v>
      </c>
    </row>
    <row r="100" spans="1:5" x14ac:dyDescent="0.3">
      <c r="A100" t="s">
        <v>5</v>
      </c>
      <c r="B100" t="s">
        <v>115</v>
      </c>
      <c r="C100" t="s">
        <v>113</v>
      </c>
      <c r="D100">
        <v>47269</v>
      </c>
      <c r="E100">
        <v>8</v>
      </c>
    </row>
    <row r="101" spans="1:5" x14ac:dyDescent="0.3">
      <c r="A101" t="s">
        <v>21</v>
      </c>
      <c r="B101" t="s">
        <v>81</v>
      </c>
      <c r="C101" t="s">
        <v>113</v>
      </c>
      <c r="D101">
        <v>19122</v>
      </c>
      <c r="E101">
        <v>10</v>
      </c>
    </row>
    <row r="102" spans="1:5" x14ac:dyDescent="0.3">
      <c r="A102" t="s">
        <v>45</v>
      </c>
      <c r="B102" t="s">
        <v>116</v>
      </c>
      <c r="C102" t="s">
        <v>113</v>
      </c>
      <c r="D102">
        <v>74445</v>
      </c>
      <c r="E102">
        <v>9</v>
      </c>
    </row>
    <row r="103" spans="1:5" x14ac:dyDescent="0.3">
      <c r="A103" t="s">
        <v>8</v>
      </c>
      <c r="B103" t="s">
        <v>117</v>
      </c>
      <c r="C103" t="s">
        <v>118</v>
      </c>
      <c r="D103">
        <v>16663</v>
      </c>
      <c r="E103">
        <v>7</v>
      </c>
    </row>
    <row r="104" spans="1:5" x14ac:dyDescent="0.3">
      <c r="A104" t="s">
        <v>8</v>
      </c>
      <c r="B104" t="s">
        <v>72</v>
      </c>
      <c r="C104" t="s">
        <v>118</v>
      </c>
      <c r="D104">
        <v>41847</v>
      </c>
      <c r="E104">
        <v>5</v>
      </c>
    </row>
    <row r="105" spans="1:5" x14ac:dyDescent="0.3">
      <c r="A105" t="s">
        <v>18</v>
      </c>
      <c r="B105" t="s">
        <v>96</v>
      </c>
      <c r="C105" t="s">
        <v>118</v>
      </c>
      <c r="D105">
        <v>36753</v>
      </c>
      <c r="E105">
        <v>6</v>
      </c>
    </row>
    <row r="106" spans="1:5" x14ac:dyDescent="0.3">
      <c r="A106" t="s">
        <v>28</v>
      </c>
      <c r="B106" t="s">
        <v>119</v>
      </c>
      <c r="C106" t="s">
        <v>120</v>
      </c>
      <c r="D106">
        <v>89218</v>
      </c>
      <c r="E106">
        <v>9</v>
      </c>
    </row>
    <row r="107" spans="1:5" x14ac:dyDescent="0.3">
      <c r="A107" t="s">
        <v>10</v>
      </c>
      <c r="B107" t="s">
        <v>115</v>
      </c>
      <c r="C107" t="s">
        <v>120</v>
      </c>
      <c r="D107">
        <v>70218</v>
      </c>
      <c r="E107">
        <v>6</v>
      </c>
    </row>
    <row r="108" spans="1:5" x14ac:dyDescent="0.3">
      <c r="A108" t="s">
        <v>50</v>
      </c>
      <c r="B108" t="s">
        <v>100</v>
      </c>
      <c r="C108" t="s">
        <v>121</v>
      </c>
      <c r="D108">
        <v>45870</v>
      </c>
      <c r="E108">
        <v>8</v>
      </c>
    </row>
    <row r="109" spans="1:5" x14ac:dyDescent="0.3">
      <c r="A109" t="s">
        <v>47</v>
      </c>
      <c r="B109" t="s">
        <v>122</v>
      </c>
      <c r="C109" t="s">
        <v>121</v>
      </c>
      <c r="D109">
        <v>37785</v>
      </c>
      <c r="E109">
        <v>10</v>
      </c>
    </row>
    <row r="110" spans="1:5" x14ac:dyDescent="0.3">
      <c r="A110" t="s">
        <v>47</v>
      </c>
      <c r="B110" t="s">
        <v>123</v>
      </c>
      <c r="C110" t="s">
        <v>121</v>
      </c>
      <c r="D110">
        <v>16627</v>
      </c>
      <c r="E110">
        <v>7</v>
      </c>
    </row>
    <row r="111" spans="1:5" x14ac:dyDescent="0.3">
      <c r="A111" t="s">
        <v>18</v>
      </c>
      <c r="B111" t="s">
        <v>124</v>
      </c>
      <c r="C111" t="s">
        <v>125</v>
      </c>
      <c r="D111">
        <v>31132</v>
      </c>
      <c r="E111">
        <v>6</v>
      </c>
    </row>
    <row r="112" spans="1:5" x14ac:dyDescent="0.3">
      <c r="A112" t="s">
        <v>45</v>
      </c>
      <c r="B112" t="s">
        <v>126</v>
      </c>
      <c r="C112" t="s">
        <v>125</v>
      </c>
      <c r="D112">
        <v>57940</v>
      </c>
      <c r="E112">
        <v>5</v>
      </c>
    </row>
    <row r="113" spans="1:5" x14ac:dyDescent="0.3">
      <c r="A113" t="s">
        <v>21</v>
      </c>
      <c r="B113" t="s">
        <v>46</v>
      </c>
      <c r="C113" t="s">
        <v>125</v>
      </c>
      <c r="D113">
        <v>50503</v>
      </c>
      <c r="E113">
        <v>7</v>
      </c>
    </row>
    <row r="114" spans="1:5" x14ac:dyDescent="0.3">
      <c r="A114" t="s">
        <v>47</v>
      </c>
      <c r="B114" t="s">
        <v>29</v>
      </c>
      <c r="C114" t="s">
        <v>125</v>
      </c>
      <c r="D114">
        <v>35132</v>
      </c>
      <c r="E114">
        <v>8</v>
      </c>
    </row>
    <row r="115" spans="1:5" x14ac:dyDescent="0.3">
      <c r="A115" t="s">
        <v>28</v>
      </c>
      <c r="B115" t="s">
        <v>127</v>
      </c>
      <c r="C115" t="s">
        <v>125</v>
      </c>
      <c r="D115">
        <v>41656</v>
      </c>
      <c r="E115">
        <v>8</v>
      </c>
    </row>
    <row r="116" spans="1:5" x14ac:dyDescent="0.3">
      <c r="A116" t="s">
        <v>28</v>
      </c>
      <c r="B116" t="s">
        <v>70</v>
      </c>
      <c r="C116" t="s">
        <v>125</v>
      </c>
      <c r="D116">
        <v>85956</v>
      </c>
      <c r="E116">
        <v>8</v>
      </c>
    </row>
    <row r="117" spans="1:5" x14ac:dyDescent="0.3">
      <c r="A117" t="s">
        <v>12</v>
      </c>
      <c r="B117" t="s">
        <v>23</v>
      </c>
      <c r="C117" t="s">
        <v>125</v>
      </c>
      <c r="D117">
        <v>49444</v>
      </c>
      <c r="E117">
        <v>2</v>
      </c>
    </row>
    <row r="118" spans="1:5" x14ac:dyDescent="0.3">
      <c r="A118" t="s">
        <v>47</v>
      </c>
      <c r="B118" t="s">
        <v>124</v>
      </c>
      <c r="C118" t="s">
        <v>125</v>
      </c>
      <c r="D118">
        <v>30688</v>
      </c>
      <c r="E118">
        <v>2</v>
      </c>
    </row>
    <row r="119" spans="1:5" x14ac:dyDescent="0.3">
      <c r="A119" t="s">
        <v>5</v>
      </c>
      <c r="B119" t="s">
        <v>23</v>
      </c>
      <c r="C119" t="s">
        <v>125</v>
      </c>
      <c r="D119">
        <v>54846</v>
      </c>
      <c r="E119">
        <v>9</v>
      </c>
    </row>
    <row r="120" spans="1:5" x14ac:dyDescent="0.3">
      <c r="A120" t="s">
        <v>5</v>
      </c>
      <c r="B120" t="s">
        <v>9</v>
      </c>
      <c r="C120" t="s">
        <v>128</v>
      </c>
      <c r="D120">
        <v>78843</v>
      </c>
      <c r="E120">
        <v>5</v>
      </c>
    </row>
    <row r="121" spans="1:5" x14ac:dyDescent="0.3">
      <c r="A121" t="s">
        <v>28</v>
      </c>
      <c r="B121" t="s">
        <v>66</v>
      </c>
      <c r="C121" t="s">
        <v>128</v>
      </c>
      <c r="D121">
        <v>32021</v>
      </c>
      <c r="E121">
        <v>4</v>
      </c>
    </row>
    <row r="122" spans="1:5" x14ac:dyDescent="0.3">
      <c r="A122" t="s">
        <v>14</v>
      </c>
      <c r="B122" t="s">
        <v>41</v>
      </c>
      <c r="C122" t="s">
        <v>129</v>
      </c>
      <c r="D122">
        <v>40122</v>
      </c>
      <c r="E122">
        <v>6</v>
      </c>
    </row>
    <row r="123" spans="1:5" x14ac:dyDescent="0.3">
      <c r="A123" t="s">
        <v>5</v>
      </c>
      <c r="B123" t="s">
        <v>130</v>
      </c>
      <c r="C123" t="s">
        <v>129</v>
      </c>
      <c r="D123">
        <v>43310</v>
      </c>
      <c r="E123">
        <v>9</v>
      </c>
    </row>
    <row r="124" spans="1:5" x14ac:dyDescent="0.3">
      <c r="A124" t="s">
        <v>50</v>
      </c>
      <c r="B124" t="s">
        <v>131</v>
      </c>
      <c r="C124" t="s">
        <v>132</v>
      </c>
      <c r="D124">
        <v>31896</v>
      </c>
      <c r="E124">
        <v>6</v>
      </c>
    </row>
    <row r="125" spans="1:5" x14ac:dyDescent="0.3">
      <c r="A125" t="s">
        <v>50</v>
      </c>
      <c r="B125" t="s">
        <v>37</v>
      </c>
      <c r="C125" t="s">
        <v>133</v>
      </c>
      <c r="D125">
        <v>79560</v>
      </c>
      <c r="E125">
        <v>5</v>
      </c>
    </row>
    <row r="126" spans="1:5" x14ac:dyDescent="0.3">
      <c r="A126" t="s">
        <v>40</v>
      </c>
      <c r="B126" t="s">
        <v>94</v>
      </c>
      <c r="C126" t="s">
        <v>133</v>
      </c>
      <c r="D126">
        <v>15574</v>
      </c>
      <c r="E126">
        <v>7</v>
      </c>
    </row>
    <row r="127" spans="1:5" x14ac:dyDescent="0.3">
      <c r="A127" t="s">
        <v>45</v>
      </c>
      <c r="B127" t="s">
        <v>95</v>
      </c>
      <c r="C127" t="s">
        <v>134</v>
      </c>
      <c r="D127">
        <v>96775</v>
      </c>
      <c r="E127">
        <v>7</v>
      </c>
    </row>
    <row r="128" spans="1:5" x14ac:dyDescent="0.3">
      <c r="A128" t="s">
        <v>14</v>
      </c>
      <c r="B128" t="s">
        <v>77</v>
      </c>
      <c r="C128" t="s">
        <v>134</v>
      </c>
      <c r="D128">
        <v>27651</v>
      </c>
      <c r="E128">
        <v>4</v>
      </c>
    </row>
    <row r="129" spans="1:5" x14ac:dyDescent="0.3">
      <c r="A129" t="s">
        <v>8</v>
      </c>
      <c r="B129" t="s">
        <v>135</v>
      </c>
      <c r="C129" t="s">
        <v>134</v>
      </c>
      <c r="D129">
        <v>74772</v>
      </c>
      <c r="E129">
        <v>9</v>
      </c>
    </row>
    <row r="130" spans="1:5" x14ac:dyDescent="0.3">
      <c r="A130" t="s">
        <v>45</v>
      </c>
      <c r="B130" t="s">
        <v>109</v>
      </c>
      <c r="C130" t="s">
        <v>134</v>
      </c>
      <c r="D130">
        <v>96616</v>
      </c>
      <c r="E130">
        <v>8</v>
      </c>
    </row>
    <row r="131" spans="1:5" x14ac:dyDescent="0.3">
      <c r="A131" t="s">
        <v>10</v>
      </c>
      <c r="B131" t="s">
        <v>49</v>
      </c>
      <c r="C131" t="s">
        <v>134</v>
      </c>
      <c r="D131">
        <v>91165</v>
      </c>
      <c r="E131">
        <v>4</v>
      </c>
    </row>
    <row r="132" spans="1:5" x14ac:dyDescent="0.3">
      <c r="A132" t="s">
        <v>12</v>
      </c>
      <c r="B132" t="s">
        <v>136</v>
      </c>
      <c r="C132" t="s">
        <v>134</v>
      </c>
      <c r="D132">
        <v>67048</v>
      </c>
      <c r="E132">
        <v>8</v>
      </c>
    </row>
    <row r="133" spans="1:5" x14ac:dyDescent="0.3">
      <c r="A133" t="s">
        <v>10</v>
      </c>
      <c r="B133" t="s">
        <v>137</v>
      </c>
      <c r="C133" t="s">
        <v>134</v>
      </c>
      <c r="D133">
        <v>84811</v>
      </c>
      <c r="E133">
        <v>5</v>
      </c>
    </row>
    <row r="134" spans="1:5" x14ac:dyDescent="0.3">
      <c r="A134" t="s">
        <v>21</v>
      </c>
      <c r="B134" t="s">
        <v>138</v>
      </c>
      <c r="C134" t="s">
        <v>134</v>
      </c>
      <c r="D134">
        <v>97752</v>
      </c>
      <c r="E134">
        <v>7</v>
      </c>
    </row>
    <row r="135" spans="1:5" x14ac:dyDescent="0.3">
      <c r="A135" t="s">
        <v>14</v>
      </c>
      <c r="B135" t="s">
        <v>71</v>
      </c>
      <c r="C135" t="s">
        <v>139</v>
      </c>
      <c r="D135">
        <v>87831</v>
      </c>
      <c r="E135">
        <v>9</v>
      </c>
    </row>
    <row r="136" spans="1:5" x14ac:dyDescent="0.3">
      <c r="A136" t="s">
        <v>40</v>
      </c>
      <c r="B136" t="s">
        <v>140</v>
      </c>
      <c r="C136" t="s">
        <v>139</v>
      </c>
      <c r="D136">
        <v>68123</v>
      </c>
      <c r="E136">
        <v>10</v>
      </c>
    </row>
    <row r="137" spans="1:5" x14ac:dyDescent="0.3">
      <c r="A137" t="s">
        <v>40</v>
      </c>
      <c r="B137" t="s">
        <v>141</v>
      </c>
      <c r="C137" t="s">
        <v>139</v>
      </c>
      <c r="D137">
        <v>46076</v>
      </c>
      <c r="E137">
        <v>8</v>
      </c>
    </row>
    <row r="138" spans="1:5" x14ac:dyDescent="0.3">
      <c r="A138" t="s">
        <v>5</v>
      </c>
      <c r="B138" t="s">
        <v>54</v>
      </c>
      <c r="C138" t="s">
        <v>142</v>
      </c>
      <c r="D138">
        <v>48997</v>
      </c>
      <c r="E138">
        <v>7</v>
      </c>
    </row>
    <row r="139" spans="1:5" x14ac:dyDescent="0.3">
      <c r="A139" t="s">
        <v>8</v>
      </c>
      <c r="B139" t="s">
        <v>126</v>
      </c>
      <c r="C139" t="s">
        <v>143</v>
      </c>
      <c r="D139">
        <v>11028</v>
      </c>
      <c r="E139">
        <v>8</v>
      </c>
    </row>
    <row r="140" spans="1:5" x14ac:dyDescent="0.3">
      <c r="A140" t="s">
        <v>40</v>
      </c>
      <c r="B140" t="s">
        <v>99</v>
      </c>
      <c r="C140" t="s">
        <v>143</v>
      </c>
      <c r="D140">
        <v>42243</v>
      </c>
      <c r="E140">
        <v>6</v>
      </c>
    </row>
    <row r="141" spans="1:5" x14ac:dyDescent="0.3">
      <c r="A141" t="s">
        <v>47</v>
      </c>
      <c r="B141" t="s">
        <v>111</v>
      </c>
      <c r="C141" t="s">
        <v>143</v>
      </c>
      <c r="D141">
        <v>94163</v>
      </c>
      <c r="E141">
        <v>4</v>
      </c>
    </row>
    <row r="142" spans="1:5" x14ac:dyDescent="0.3">
      <c r="A142" t="s">
        <v>47</v>
      </c>
      <c r="B142" t="s">
        <v>107</v>
      </c>
      <c r="C142" t="s">
        <v>143</v>
      </c>
      <c r="D142">
        <v>45391</v>
      </c>
      <c r="E142">
        <v>8</v>
      </c>
    </row>
    <row r="143" spans="1:5" x14ac:dyDescent="0.3">
      <c r="A143" t="s">
        <v>47</v>
      </c>
      <c r="B143" t="s">
        <v>63</v>
      </c>
      <c r="C143" t="s">
        <v>143</v>
      </c>
      <c r="D143">
        <v>57423</v>
      </c>
      <c r="E143">
        <v>1</v>
      </c>
    </row>
    <row r="144" spans="1:5" x14ac:dyDescent="0.3">
      <c r="A144" t="s">
        <v>45</v>
      </c>
      <c r="B144" t="s">
        <v>144</v>
      </c>
      <c r="C144" t="s">
        <v>145</v>
      </c>
      <c r="D144">
        <v>74823</v>
      </c>
      <c r="E144">
        <v>6</v>
      </c>
    </row>
    <row r="145" spans="1:5" x14ac:dyDescent="0.3">
      <c r="A145" t="s">
        <v>5</v>
      </c>
      <c r="B145" t="s">
        <v>43</v>
      </c>
      <c r="C145" t="s">
        <v>145</v>
      </c>
      <c r="D145">
        <v>92528</v>
      </c>
      <c r="E145">
        <v>2</v>
      </c>
    </row>
    <row r="146" spans="1:5" x14ac:dyDescent="0.3">
      <c r="A146" t="s">
        <v>47</v>
      </c>
      <c r="B146" t="s">
        <v>105</v>
      </c>
      <c r="C146" t="s">
        <v>145</v>
      </c>
      <c r="D146">
        <v>65455</v>
      </c>
      <c r="E146">
        <v>7</v>
      </c>
    </row>
    <row r="147" spans="1:5" x14ac:dyDescent="0.3">
      <c r="A147" t="s">
        <v>40</v>
      </c>
      <c r="B147" t="s">
        <v>146</v>
      </c>
      <c r="C147" t="s">
        <v>145</v>
      </c>
      <c r="D147">
        <v>78348</v>
      </c>
      <c r="E147">
        <v>2</v>
      </c>
    </row>
    <row r="148" spans="1:5" x14ac:dyDescent="0.3">
      <c r="A148" t="s">
        <v>18</v>
      </c>
      <c r="B148" t="s">
        <v>126</v>
      </c>
      <c r="C148" t="s">
        <v>145</v>
      </c>
      <c r="D148">
        <v>75538</v>
      </c>
      <c r="E148">
        <v>8</v>
      </c>
    </row>
    <row r="149" spans="1:5" x14ac:dyDescent="0.3">
      <c r="A149" t="s">
        <v>18</v>
      </c>
      <c r="B149" t="s">
        <v>147</v>
      </c>
      <c r="C149" t="s">
        <v>145</v>
      </c>
      <c r="D149">
        <v>94514</v>
      </c>
      <c r="E149">
        <v>8</v>
      </c>
    </row>
    <row r="150" spans="1:5" x14ac:dyDescent="0.3">
      <c r="A150" t="s">
        <v>5</v>
      </c>
      <c r="B150" t="s">
        <v>116</v>
      </c>
      <c r="C150" t="s">
        <v>148</v>
      </c>
      <c r="D150">
        <v>61682</v>
      </c>
      <c r="E150">
        <v>8</v>
      </c>
    </row>
    <row r="151" spans="1:5" x14ac:dyDescent="0.3">
      <c r="A151" t="s">
        <v>5</v>
      </c>
      <c r="B151" t="s">
        <v>149</v>
      </c>
      <c r="C151" t="s">
        <v>148</v>
      </c>
      <c r="D151">
        <v>93856</v>
      </c>
      <c r="E151">
        <v>6</v>
      </c>
    </row>
    <row r="152" spans="1:5" x14ac:dyDescent="0.3">
      <c r="A152" t="s">
        <v>45</v>
      </c>
      <c r="B152" t="s">
        <v>150</v>
      </c>
      <c r="C152" t="s">
        <v>148</v>
      </c>
      <c r="D152">
        <v>60037</v>
      </c>
      <c r="E152">
        <v>8</v>
      </c>
    </row>
    <row r="153" spans="1:5" x14ac:dyDescent="0.3">
      <c r="A153" t="s">
        <v>45</v>
      </c>
      <c r="B153" t="s">
        <v>30</v>
      </c>
      <c r="C153" t="s">
        <v>148</v>
      </c>
      <c r="D153">
        <v>43069</v>
      </c>
      <c r="E153">
        <v>7</v>
      </c>
    </row>
    <row r="154" spans="1:5" x14ac:dyDescent="0.3">
      <c r="A154" t="s">
        <v>47</v>
      </c>
      <c r="B154" t="s">
        <v>24</v>
      </c>
      <c r="C154" t="s">
        <v>148</v>
      </c>
      <c r="D154">
        <v>43212</v>
      </c>
      <c r="E154">
        <v>6</v>
      </c>
    </row>
    <row r="155" spans="1:5" x14ac:dyDescent="0.3">
      <c r="A155" t="s">
        <v>47</v>
      </c>
      <c r="B155" t="s">
        <v>151</v>
      </c>
      <c r="C155" t="s">
        <v>148</v>
      </c>
      <c r="D155">
        <v>91149</v>
      </c>
      <c r="E155">
        <v>9</v>
      </c>
    </row>
    <row r="156" spans="1:5" x14ac:dyDescent="0.3">
      <c r="A156" t="s">
        <v>10</v>
      </c>
      <c r="B156" t="s">
        <v>152</v>
      </c>
      <c r="C156" t="s">
        <v>148</v>
      </c>
      <c r="D156">
        <v>70753</v>
      </c>
      <c r="E156">
        <v>6</v>
      </c>
    </row>
    <row r="157" spans="1:5" x14ac:dyDescent="0.3">
      <c r="A157" t="s">
        <v>12</v>
      </c>
      <c r="B157" t="s">
        <v>153</v>
      </c>
      <c r="C157" t="s">
        <v>148</v>
      </c>
      <c r="D157">
        <v>33409</v>
      </c>
      <c r="E157">
        <v>6</v>
      </c>
    </row>
    <row r="158" spans="1:5" x14ac:dyDescent="0.3">
      <c r="A158" t="s">
        <v>40</v>
      </c>
      <c r="B158" t="s">
        <v>154</v>
      </c>
      <c r="C158" t="s">
        <v>155</v>
      </c>
      <c r="D158">
        <v>88527</v>
      </c>
      <c r="E158">
        <v>4</v>
      </c>
    </row>
    <row r="159" spans="1:5" x14ac:dyDescent="0.3">
      <c r="A159" t="s">
        <v>21</v>
      </c>
      <c r="B159" t="s">
        <v>127</v>
      </c>
      <c r="C159" t="s">
        <v>155</v>
      </c>
      <c r="D159">
        <v>58823</v>
      </c>
      <c r="E159">
        <v>7</v>
      </c>
    </row>
    <row r="160" spans="1:5" x14ac:dyDescent="0.3">
      <c r="A160" t="s">
        <v>12</v>
      </c>
      <c r="B160" t="s">
        <v>156</v>
      </c>
      <c r="C160" t="s">
        <v>155</v>
      </c>
      <c r="D160">
        <v>77088</v>
      </c>
      <c r="E160">
        <v>7</v>
      </c>
    </row>
    <row r="161" spans="1:5" x14ac:dyDescent="0.3">
      <c r="A161" t="s">
        <v>18</v>
      </c>
      <c r="B161" t="s">
        <v>69</v>
      </c>
      <c r="C161" t="s">
        <v>155</v>
      </c>
      <c r="D161">
        <v>11574</v>
      </c>
      <c r="E161">
        <v>5</v>
      </c>
    </row>
    <row r="162" spans="1:5" x14ac:dyDescent="0.3">
      <c r="A162" t="s">
        <v>18</v>
      </c>
      <c r="B162" t="s">
        <v>80</v>
      </c>
      <c r="C162" t="s">
        <v>155</v>
      </c>
      <c r="D162">
        <v>28778</v>
      </c>
      <c r="E162">
        <v>9</v>
      </c>
    </row>
    <row r="163" spans="1:5" x14ac:dyDescent="0.3">
      <c r="A163" t="s">
        <v>45</v>
      </c>
      <c r="B163" t="s">
        <v>48</v>
      </c>
      <c r="C163" t="s">
        <v>157</v>
      </c>
      <c r="D163">
        <v>70760</v>
      </c>
      <c r="E163">
        <v>3</v>
      </c>
    </row>
    <row r="164" spans="1:5" x14ac:dyDescent="0.3">
      <c r="A164" t="s">
        <v>47</v>
      </c>
      <c r="B164" t="s">
        <v>123</v>
      </c>
      <c r="C164" t="s">
        <v>157</v>
      </c>
      <c r="D164">
        <v>86225</v>
      </c>
      <c r="E164">
        <v>0</v>
      </c>
    </row>
    <row r="165" spans="1:5" x14ac:dyDescent="0.3">
      <c r="A165" t="s">
        <v>8</v>
      </c>
      <c r="B165" t="s">
        <v>158</v>
      </c>
      <c r="C165" t="s">
        <v>157</v>
      </c>
      <c r="D165">
        <v>12877</v>
      </c>
      <c r="E165">
        <v>6</v>
      </c>
    </row>
    <row r="166" spans="1:5" x14ac:dyDescent="0.3">
      <c r="A166" t="s">
        <v>5</v>
      </c>
      <c r="B166" t="s">
        <v>126</v>
      </c>
      <c r="C166" t="s">
        <v>157</v>
      </c>
      <c r="D166">
        <v>19121</v>
      </c>
      <c r="E166">
        <v>8</v>
      </c>
    </row>
    <row r="167" spans="1:5" x14ac:dyDescent="0.3">
      <c r="A167" t="s">
        <v>10</v>
      </c>
      <c r="B167" t="s">
        <v>62</v>
      </c>
      <c r="C167" t="s">
        <v>159</v>
      </c>
      <c r="D167">
        <v>25970</v>
      </c>
      <c r="E167">
        <v>10</v>
      </c>
    </row>
    <row r="168" spans="1:5" x14ac:dyDescent="0.3">
      <c r="A168" t="s">
        <v>50</v>
      </c>
      <c r="B168" t="s">
        <v>84</v>
      </c>
      <c r="C168" t="s">
        <v>159</v>
      </c>
      <c r="D168">
        <v>71020</v>
      </c>
      <c r="E168">
        <v>2</v>
      </c>
    </row>
    <row r="169" spans="1:5" x14ac:dyDescent="0.3">
      <c r="A169" t="s">
        <v>45</v>
      </c>
      <c r="B169" t="s">
        <v>25</v>
      </c>
      <c r="C169" t="s">
        <v>159</v>
      </c>
      <c r="D169">
        <v>17682</v>
      </c>
      <c r="E169">
        <v>7</v>
      </c>
    </row>
    <row r="170" spans="1:5" x14ac:dyDescent="0.3">
      <c r="A170" t="s">
        <v>40</v>
      </c>
      <c r="B170" t="s">
        <v>160</v>
      </c>
      <c r="C170" t="s">
        <v>161</v>
      </c>
      <c r="D170">
        <v>67305</v>
      </c>
      <c r="E170">
        <v>8</v>
      </c>
    </row>
    <row r="171" spans="1:5" x14ac:dyDescent="0.3">
      <c r="A171" t="s">
        <v>10</v>
      </c>
      <c r="B171" t="s">
        <v>74</v>
      </c>
      <c r="C171" t="s">
        <v>161</v>
      </c>
      <c r="D171">
        <v>35360</v>
      </c>
      <c r="E171">
        <v>6</v>
      </c>
    </row>
    <row r="172" spans="1:5" x14ac:dyDescent="0.3">
      <c r="A172" t="s">
        <v>14</v>
      </c>
      <c r="B172" t="s">
        <v>162</v>
      </c>
      <c r="C172" t="s">
        <v>161</v>
      </c>
      <c r="D172">
        <v>73023</v>
      </c>
      <c r="E172">
        <v>4</v>
      </c>
    </row>
    <row r="173" spans="1:5" x14ac:dyDescent="0.3">
      <c r="A173" t="s">
        <v>8</v>
      </c>
      <c r="B173" t="s">
        <v>9</v>
      </c>
      <c r="C173" t="s">
        <v>161</v>
      </c>
      <c r="D173">
        <v>36601</v>
      </c>
      <c r="E173">
        <v>6</v>
      </c>
    </row>
    <row r="174" spans="1:5" x14ac:dyDescent="0.3">
      <c r="A174" t="s">
        <v>28</v>
      </c>
      <c r="B174" t="s">
        <v>163</v>
      </c>
      <c r="C174" t="s">
        <v>164</v>
      </c>
      <c r="D174">
        <v>78426</v>
      </c>
      <c r="E174">
        <v>7</v>
      </c>
    </row>
    <row r="175" spans="1:5" x14ac:dyDescent="0.3">
      <c r="A175" t="s">
        <v>40</v>
      </c>
      <c r="B175" t="s">
        <v>89</v>
      </c>
      <c r="C175" t="s">
        <v>164</v>
      </c>
      <c r="D175">
        <v>13239</v>
      </c>
      <c r="E175">
        <v>6</v>
      </c>
    </row>
    <row r="176" spans="1:5" x14ac:dyDescent="0.3">
      <c r="A176" t="s">
        <v>50</v>
      </c>
      <c r="B176" t="s">
        <v>165</v>
      </c>
      <c r="C176" t="s">
        <v>164</v>
      </c>
      <c r="D176">
        <v>88169</v>
      </c>
      <c r="E176">
        <v>8</v>
      </c>
    </row>
    <row r="177" spans="1:5" x14ac:dyDescent="0.3">
      <c r="A177" t="s">
        <v>47</v>
      </c>
      <c r="B177" t="s">
        <v>166</v>
      </c>
      <c r="C177" t="s">
        <v>164</v>
      </c>
      <c r="D177">
        <v>20388</v>
      </c>
      <c r="E177">
        <v>8</v>
      </c>
    </row>
    <row r="178" spans="1:5" x14ac:dyDescent="0.3">
      <c r="A178" t="s">
        <v>40</v>
      </c>
      <c r="B178" t="s">
        <v>116</v>
      </c>
      <c r="C178" t="s">
        <v>164</v>
      </c>
      <c r="D178">
        <v>78270</v>
      </c>
      <c r="E178">
        <v>6</v>
      </c>
    </row>
    <row r="179" spans="1:5" x14ac:dyDescent="0.3">
      <c r="A179" t="s">
        <v>45</v>
      </c>
      <c r="B179" t="s">
        <v>69</v>
      </c>
      <c r="C179" t="s">
        <v>164</v>
      </c>
      <c r="D179">
        <v>47489</v>
      </c>
      <c r="E179">
        <v>4</v>
      </c>
    </row>
    <row r="180" spans="1:5" x14ac:dyDescent="0.3">
      <c r="A180" t="s">
        <v>5</v>
      </c>
      <c r="B180" t="s">
        <v>167</v>
      </c>
      <c r="C180" t="s">
        <v>164</v>
      </c>
      <c r="D180">
        <v>58606</v>
      </c>
      <c r="E180">
        <v>7</v>
      </c>
    </row>
    <row r="181" spans="1:5" x14ac:dyDescent="0.3">
      <c r="A181" t="s">
        <v>8</v>
      </c>
      <c r="B181" t="s">
        <v>168</v>
      </c>
      <c r="C181" t="s">
        <v>164</v>
      </c>
      <c r="D181">
        <v>28988</v>
      </c>
      <c r="E181">
        <v>6</v>
      </c>
    </row>
    <row r="182" spans="1:5" x14ac:dyDescent="0.3">
      <c r="A182" t="s">
        <v>5</v>
      </c>
      <c r="B182" t="s">
        <v>169</v>
      </c>
      <c r="C182" t="s">
        <v>170</v>
      </c>
      <c r="D182">
        <v>97701</v>
      </c>
      <c r="E182">
        <v>7</v>
      </c>
    </row>
    <row r="183" spans="1:5" x14ac:dyDescent="0.3">
      <c r="A183" t="s">
        <v>45</v>
      </c>
      <c r="B183" t="s">
        <v>171</v>
      </c>
      <c r="C183" t="s">
        <v>172</v>
      </c>
      <c r="D183">
        <v>52685</v>
      </c>
      <c r="E183">
        <v>7</v>
      </c>
    </row>
    <row r="184" spans="1:5" x14ac:dyDescent="0.3">
      <c r="A184" t="s">
        <v>21</v>
      </c>
      <c r="B184" t="s">
        <v>173</v>
      </c>
      <c r="C184" t="s">
        <v>172</v>
      </c>
      <c r="D184">
        <v>63672</v>
      </c>
      <c r="E184">
        <v>5</v>
      </c>
    </row>
    <row r="185" spans="1:5" x14ac:dyDescent="0.3">
      <c r="A185" t="s">
        <v>14</v>
      </c>
      <c r="B185" t="s">
        <v>174</v>
      </c>
      <c r="C185" t="s">
        <v>172</v>
      </c>
      <c r="D185">
        <v>72428</v>
      </c>
      <c r="E185">
        <v>4</v>
      </c>
    </row>
    <row r="186" spans="1:5" x14ac:dyDescent="0.3">
      <c r="A186" t="s">
        <v>47</v>
      </c>
      <c r="B186" t="s">
        <v>15</v>
      </c>
      <c r="C186" t="s">
        <v>175</v>
      </c>
      <c r="D186">
        <v>43654</v>
      </c>
      <c r="E186">
        <v>8</v>
      </c>
    </row>
    <row r="187" spans="1:5" x14ac:dyDescent="0.3">
      <c r="A187" t="s">
        <v>5</v>
      </c>
      <c r="B187" t="s">
        <v>147</v>
      </c>
      <c r="C187" t="s">
        <v>175</v>
      </c>
      <c r="D187">
        <v>47609</v>
      </c>
      <c r="E187">
        <v>3</v>
      </c>
    </row>
    <row r="188" spans="1:5" x14ac:dyDescent="0.3">
      <c r="A188" t="s">
        <v>21</v>
      </c>
      <c r="B188" t="s">
        <v>176</v>
      </c>
      <c r="C188" t="s">
        <v>177</v>
      </c>
      <c r="D188">
        <v>56110</v>
      </c>
      <c r="E188">
        <v>10</v>
      </c>
    </row>
    <row r="189" spans="1:5" x14ac:dyDescent="0.3">
      <c r="A189" t="s">
        <v>5</v>
      </c>
      <c r="B189" t="s">
        <v>77</v>
      </c>
      <c r="C189" t="s">
        <v>177</v>
      </c>
      <c r="D189">
        <v>39286</v>
      </c>
      <c r="E189">
        <v>6</v>
      </c>
    </row>
    <row r="190" spans="1:5" x14ac:dyDescent="0.3">
      <c r="A190" t="s">
        <v>47</v>
      </c>
      <c r="B190" t="s">
        <v>101</v>
      </c>
      <c r="C190" t="s">
        <v>177</v>
      </c>
      <c r="D190">
        <v>43102</v>
      </c>
      <c r="E190">
        <v>8</v>
      </c>
    </row>
    <row r="191" spans="1:5" x14ac:dyDescent="0.3">
      <c r="A191" t="s">
        <v>50</v>
      </c>
      <c r="B191" t="s">
        <v>70</v>
      </c>
      <c r="C191" t="s">
        <v>177</v>
      </c>
      <c r="D191">
        <v>26999</v>
      </c>
      <c r="E191">
        <v>9</v>
      </c>
    </row>
    <row r="192" spans="1:5" x14ac:dyDescent="0.3">
      <c r="A192" t="s">
        <v>40</v>
      </c>
      <c r="B192" t="s">
        <v>178</v>
      </c>
      <c r="C192" t="s">
        <v>179</v>
      </c>
      <c r="D192">
        <v>43221</v>
      </c>
      <c r="E192">
        <v>7</v>
      </c>
    </row>
    <row r="193" spans="1:5" x14ac:dyDescent="0.3">
      <c r="A193" t="s">
        <v>45</v>
      </c>
      <c r="B193" t="s">
        <v>174</v>
      </c>
      <c r="C193" t="s">
        <v>179</v>
      </c>
      <c r="D193">
        <v>80252</v>
      </c>
      <c r="E193">
        <v>9</v>
      </c>
    </row>
    <row r="194" spans="1:5" x14ac:dyDescent="0.3">
      <c r="A194" t="s">
        <v>8</v>
      </c>
      <c r="B194" t="s">
        <v>109</v>
      </c>
      <c r="C194" t="s">
        <v>179</v>
      </c>
      <c r="D194">
        <v>38274</v>
      </c>
      <c r="E194">
        <v>4</v>
      </c>
    </row>
    <row r="195" spans="1:5" x14ac:dyDescent="0.3">
      <c r="A195" t="s">
        <v>40</v>
      </c>
      <c r="B195" t="s">
        <v>146</v>
      </c>
      <c r="C195" t="s">
        <v>179</v>
      </c>
      <c r="D195">
        <v>56689</v>
      </c>
      <c r="E195">
        <v>10</v>
      </c>
    </row>
    <row r="196" spans="1:5" x14ac:dyDescent="0.3">
      <c r="A196" t="s">
        <v>40</v>
      </c>
      <c r="B196" t="s">
        <v>72</v>
      </c>
      <c r="C196" t="s">
        <v>179</v>
      </c>
      <c r="D196">
        <v>87019</v>
      </c>
      <c r="E196">
        <v>8</v>
      </c>
    </row>
    <row r="197" spans="1:5" x14ac:dyDescent="0.3">
      <c r="A197" t="s">
        <v>14</v>
      </c>
      <c r="B197" t="s">
        <v>111</v>
      </c>
      <c r="C197" t="s">
        <v>179</v>
      </c>
      <c r="D197">
        <v>45562</v>
      </c>
      <c r="E197">
        <v>4</v>
      </c>
    </row>
    <row r="198" spans="1:5" x14ac:dyDescent="0.3">
      <c r="A198" t="s">
        <v>8</v>
      </c>
      <c r="B198" t="s">
        <v>180</v>
      </c>
      <c r="C198" t="s">
        <v>179</v>
      </c>
      <c r="D198">
        <v>86087</v>
      </c>
      <c r="E198">
        <v>9</v>
      </c>
    </row>
    <row r="199" spans="1:5" x14ac:dyDescent="0.3">
      <c r="A199" t="s">
        <v>14</v>
      </c>
      <c r="B199" t="s">
        <v>103</v>
      </c>
      <c r="C199" t="s">
        <v>179</v>
      </c>
      <c r="D199">
        <v>65600</v>
      </c>
      <c r="E199">
        <v>8</v>
      </c>
    </row>
    <row r="200" spans="1:5" x14ac:dyDescent="0.3">
      <c r="A200" t="s">
        <v>47</v>
      </c>
      <c r="B200" t="s">
        <v>25</v>
      </c>
      <c r="C200" t="s">
        <v>179</v>
      </c>
      <c r="D200">
        <v>68413</v>
      </c>
      <c r="E200">
        <v>8</v>
      </c>
    </row>
    <row r="201" spans="1:5" x14ac:dyDescent="0.3">
      <c r="A201" t="s">
        <v>47</v>
      </c>
      <c r="B201" t="s">
        <v>181</v>
      </c>
      <c r="C201" t="s">
        <v>179</v>
      </c>
      <c r="D201">
        <v>34789</v>
      </c>
      <c r="E201">
        <v>5</v>
      </c>
    </row>
    <row r="202" spans="1:5" x14ac:dyDescent="0.3">
      <c r="A202" t="s">
        <v>50</v>
      </c>
      <c r="B202" t="s">
        <v>182</v>
      </c>
      <c r="C202" t="s">
        <v>179</v>
      </c>
      <c r="D202">
        <v>73009</v>
      </c>
      <c r="E202">
        <v>1</v>
      </c>
    </row>
    <row r="203" spans="1:5" x14ac:dyDescent="0.3">
      <c r="A203" t="s">
        <v>28</v>
      </c>
      <c r="B203" t="s">
        <v>35</v>
      </c>
      <c r="C203" t="s">
        <v>179</v>
      </c>
      <c r="D203">
        <v>94678</v>
      </c>
      <c r="E203">
        <v>7</v>
      </c>
    </row>
    <row r="204" spans="1:5" x14ac:dyDescent="0.3">
      <c r="A204" t="s">
        <v>14</v>
      </c>
      <c r="B204" t="s">
        <v>183</v>
      </c>
      <c r="C204" t="s">
        <v>184</v>
      </c>
      <c r="D204">
        <v>72248</v>
      </c>
      <c r="E204">
        <v>6</v>
      </c>
    </row>
    <row r="205" spans="1:5" x14ac:dyDescent="0.3">
      <c r="A205" t="s">
        <v>28</v>
      </c>
      <c r="B205" t="s">
        <v>185</v>
      </c>
      <c r="C205" t="s">
        <v>184</v>
      </c>
      <c r="D205">
        <v>81823</v>
      </c>
      <c r="E205">
        <v>3</v>
      </c>
    </row>
    <row r="206" spans="1:5" x14ac:dyDescent="0.3">
      <c r="A206" t="s">
        <v>5</v>
      </c>
      <c r="B206" t="s">
        <v>19</v>
      </c>
      <c r="C206" t="s">
        <v>184</v>
      </c>
      <c r="D206">
        <v>95251</v>
      </c>
      <c r="E206">
        <v>4</v>
      </c>
    </row>
    <row r="207" spans="1:5" x14ac:dyDescent="0.3">
      <c r="A207" t="s">
        <v>14</v>
      </c>
      <c r="B207" t="s">
        <v>186</v>
      </c>
      <c r="C207" t="s">
        <v>184</v>
      </c>
      <c r="D207">
        <v>34637</v>
      </c>
      <c r="E207">
        <v>3</v>
      </c>
    </row>
    <row r="208" spans="1:5" x14ac:dyDescent="0.3">
      <c r="A208" t="s">
        <v>21</v>
      </c>
      <c r="B208" t="s">
        <v>88</v>
      </c>
      <c r="C208" t="s">
        <v>187</v>
      </c>
      <c r="D208">
        <v>16248</v>
      </c>
      <c r="E208">
        <v>7</v>
      </c>
    </row>
    <row r="209" spans="1:5" x14ac:dyDescent="0.3">
      <c r="A209" t="s">
        <v>45</v>
      </c>
      <c r="B209" t="s">
        <v>117</v>
      </c>
      <c r="C209" t="s">
        <v>188</v>
      </c>
      <c r="D209">
        <v>26267</v>
      </c>
      <c r="E209">
        <v>3</v>
      </c>
    </row>
    <row r="210" spans="1:5" x14ac:dyDescent="0.3">
      <c r="A210" t="s">
        <v>18</v>
      </c>
      <c r="B210" t="s">
        <v>176</v>
      </c>
      <c r="C210" t="s">
        <v>189</v>
      </c>
      <c r="D210">
        <v>82603</v>
      </c>
      <c r="E210">
        <v>8</v>
      </c>
    </row>
    <row r="211" spans="1:5" x14ac:dyDescent="0.3">
      <c r="A211" t="s">
        <v>18</v>
      </c>
      <c r="B211" t="s">
        <v>190</v>
      </c>
      <c r="C211" t="s">
        <v>189</v>
      </c>
      <c r="D211">
        <v>88926</v>
      </c>
      <c r="E211">
        <v>6</v>
      </c>
    </row>
    <row r="212" spans="1:5" x14ac:dyDescent="0.3">
      <c r="A212" t="s">
        <v>45</v>
      </c>
      <c r="B212" t="s">
        <v>105</v>
      </c>
      <c r="C212" t="s">
        <v>189</v>
      </c>
      <c r="D212">
        <v>12372</v>
      </c>
      <c r="E212">
        <v>0</v>
      </c>
    </row>
    <row r="213" spans="1:5" x14ac:dyDescent="0.3">
      <c r="A213" t="s">
        <v>50</v>
      </c>
      <c r="B213" t="s">
        <v>36</v>
      </c>
      <c r="C213" t="s">
        <v>189</v>
      </c>
      <c r="D213">
        <v>26671</v>
      </c>
      <c r="E213">
        <v>7</v>
      </c>
    </row>
    <row r="214" spans="1:5" x14ac:dyDescent="0.3">
      <c r="A214" t="s">
        <v>28</v>
      </c>
      <c r="B214" t="s">
        <v>191</v>
      </c>
      <c r="C214" t="s">
        <v>189</v>
      </c>
      <c r="D214">
        <v>76489</v>
      </c>
      <c r="E214">
        <v>7</v>
      </c>
    </row>
    <row r="215" spans="1:5" x14ac:dyDescent="0.3">
      <c r="A215" t="s">
        <v>21</v>
      </c>
      <c r="B215" t="s">
        <v>192</v>
      </c>
      <c r="C215" t="s">
        <v>189</v>
      </c>
      <c r="D215">
        <v>66482</v>
      </c>
      <c r="E215">
        <v>7</v>
      </c>
    </row>
    <row r="216" spans="1:5" x14ac:dyDescent="0.3">
      <c r="A216" t="s">
        <v>18</v>
      </c>
      <c r="B216" t="s">
        <v>193</v>
      </c>
      <c r="C216" t="s">
        <v>189</v>
      </c>
      <c r="D216">
        <v>97651</v>
      </c>
      <c r="E216">
        <v>6</v>
      </c>
    </row>
    <row r="217" spans="1:5" x14ac:dyDescent="0.3">
      <c r="A217" t="s">
        <v>18</v>
      </c>
      <c r="B217" t="s">
        <v>140</v>
      </c>
      <c r="C217" t="s">
        <v>189</v>
      </c>
      <c r="D217">
        <v>42670</v>
      </c>
      <c r="E217">
        <v>8</v>
      </c>
    </row>
    <row r="218" spans="1:5" x14ac:dyDescent="0.3">
      <c r="A218" t="s">
        <v>21</v>
      </c>
      <c r="B218" t="s">
        <v>194</v>
      </c>
      <c r="C218" t="s">
        <v>189</v>
      </c>
      <c r="D218">
        <v>49858</v>
      </c>
      <c r="E218">
        <v>4</v>
      </c>
    </row>
    <row r="219" spans="1:5" x14ac:dyDescent="0.3">
      <c r="A219" t="s">
        <v>5</v>
      </c>
      <c r="B219" t="s">
        <v>195</v>
      </c>
      <c r="C219" t="s">
        <v>189</v>
      </c>
      <c r="D219">
        <v>74989</v>
      </c>
      <c r="E219">
        <v>5</v>
      </c>
    </row>
    <row r="220" spans="1:5" x14ac:dyDescent="0.3">
      <c r="A220" t="s">
        <v>18</v>
      </c>
      <c r="B220" t="s">
        <v>24</v>
      </c>
      <c r="C220" t="s">
        <v>196</v>
      </c>
      <c r="D220">
        <v>99722</v>
      </c>
      <c r="E220">
        <v>10</v>
      </c>
    </row>
    <row r="221" spans="1:5" x14ac:dyDescent="0.3">
      <c r="A221" t="s">
        <v>14</v>
      </c>
      <c r="B221" t="s">
        <v>32</v>
      </c>
      <c r="C221" t="s">
        <v>196</v>
      </c>
      <c r="D221">
        <v>52706</v>
      </c>
      <c r="E221">
        <v>7</v>
      </c>
    </row>
    <row r="222" spans="1:5" x14ac:dyDescent="0.3">
      <c r="A222" t="s">
        <v>40</v>
      </c>
      <c r="B222" t="s">
        <v>197</v>
      </c>
      <c r="C222" t="s">
        <v>198</v>
      </c>
      <c r="D222">
        <v>53585</v>
      </c>
      <c r="E222">
        <v>4</v>
      </c>
    </row>
    <row r="223" spans="1:5" x14ac:dyDescent="0.3">
      <c r="A223" t="s">
        <v>21</v>
      </c>
      <c r="B223" t="s">
        <v>199</v>
      </c>
      <c r="C223" t="s">
        <v>198</v>
      </c>
      <c r="D223">
        <v>86902</v>
      </c>
      <c r="E223">
        <v>5</v>
      </c>
    </row>
    <row r="224" spans="1:5" x14ac:dyDescent="0.3">
      <c r="A224" t="s">
        <v>21</v>
      </c>
      <c r="B224" t="s">
        <v>200</v>
      </c>
      <c r="C224" t="s">
        <v>198</v>
      </c>
      <c r="D224">
        <v>71721</v>
      </c>
      <c r="E224">
        <v>9</v>
      </c>
    </row>
    <row r="225" spans="1:5" x14ac:dyDescent="0.3">
      <c r="A225" t="s">
        <v>50</v>
      </c>
      <c r="B225" t="s">
        <v>190</v>
      </c>
      <c r="C225" t="s">
        <v>198</v>
      </c>
      <c r="D225">
        <v>54607</v>
      </c>
      <c r="E225">
        <v>5</v>
      </c>
    </row>
    <row r="226" spans="1:5" x14ac:dyDescent="0.3">
      <c r="A226" t="s">
        <v>10</v>
      </c>
      <c r="B226" t="s">
        <v>6</v>
      </c>
      <c r="C226" t="s">
        <v>201</v>
      </c>
      <c r="D226">
        <v>84692</v>
      </c>
      <c r="E226">
        <v>7</v>
      </c>
    </row>
    <row r="227" spans="1:5" x14ac:dyDescent="0.3">
      <c r="A227" t="s">
        <v>5</v>
      </c>
      <c r="B227" t="s">
        <v>190</v>
      </c>
      <c r="C227" t="s">
        <v>201</v>
      </c>
      <c r="D227">
        <v>52177</v>
      </c>
      <c r="E227">
        <v>5</v>
      </c>
    </row>
    <row r="228" spans="1:5" x14ac:dyDescent="0.3">
      <c r="A228" t="s">
        <v>12</v>
      </c>
      <c r="B228" t="s">
        <v>202</v>
      </c>
      <c r="C228" t="s">
        <v>201</v>
      </c>
      <c r="D228">
        <v>85341</v>
      </c>
      <c r="E228">
        <v>8</v>
      </c>
    </row>
    <row r="229" spans="1:5" x14ac:dyDescent="0.3">
      <c r="A229" t="s">
        <v>5</v>
      </c>
      <c r="B229" t="s">
        <v>9</v>
      </c>
      <c r="C229" t="s">
        <v>201</v>
      </c>
      <c r="D229">
        <v>51725</v>
      </c>
      <c r="E229">
        <v>10</v>
      </c>
    </row>
    <row r="230" spans="1:5" x14ac:dyDescent="0.3">
      <c r="A230" t="s">
        <v>40</v>
      </c>
      <c r="B230" t="s">
        <v>70</v>
      </c>
      <c r="C230" t="s">
        <v>201</v>
      </c>
      <c r="D230">
        <v>62156</v>
      </c>
      <c r="E230">
        <v>6</v>
      </c>
    </row>
    <row r="231" spans="1:5" x14ac:dyDescent="0.3">
      <c r="A231" t="s">
        <v>5</v>
      </c>
      <c r="B231" t="s">
        <v>203</v>
      </c>
      <c r="C231" t="s">
        <v>204</v>
      </c>
      <c r="D231">
        <v>85226</v>
      </c>
      <c r="E231">
        <v>6</v>
      </c>
    </row>
    <row r="232" spans="1:5" x14ac:dyDescent="0.3">
      <c r="A232" t="s">
        <v>10</v>
      </c>
      <c r="B232" t="s">
        <v>205</v>
      </c>
      <c r="C232" t="s">
        <v>206</v>
      </c>
      <c r="D232">
        <v>98728</v>
      </c>
      <c r="E232">
        <v>5</v>
      </c>
    </row>
    <row r="233" spans="1:5" x14ac:dyDescent="0.3">
      <c r="A233" t="s">
        <v>45</v>
      </c>
      <c r="B233" t="s">
        <v>152</v>
      </c>
      <c r="C233" t="s">
        <v>206</v>
      </c>
      <c r="D233">
        <v>45167</v>
      </c>
      <c r="E233">
        <v>9</v>
      </c>
    </row>
    <row r="234" spans="1:5" x14ac:dyDescent="0.3">
      <c r="A234" t="s">
        <v>50</v>
      </c>
      <c r="B234" t="s">
        <v>207</v>
      </c>
      <c r="C234" t="s">
        <v>206</v>
      </c>
      <c r="D234">
        <v>98204</v>
      </c>
      <c r="E234">
        <v>7</v>
      </c>
    </row>
    <row r="235" spans="1:5" x14ac:dyDescent="0.3">
      <c r="A235" t="s">
        <v>5</v>
      </c>
      <c r="B235" t="s">
        <v>208</v>
      </c>
      <c r="C235" t="s">
        <v>206</v>
      </c>
      <c r="D235">
        <v>22089</v>
      </c>
      <c r="E235">
        <v>4</v>
      </c>
    </row>
    <row r="236" spans="1:5" x14ac:dyDescent="0.3">
      <c r="A236" t="s">
        <v>12</v>
      </c>
      <c r="B236" t="s">
        <v>209</v>
      </c>
      <c r="C236" t="s">
        <v>206</v>
      </c>
      <c r="D236">
        <v>96793</v>
      </c>
      <c r="E236">
        <v>6</v>
      </c>
    </row>
    <row r="237" spans="1:5" x14ac:dyDescent="0.3">
      <c r="A237" t="s">
        <v>5</v>
      </c>
      <c r="B237" t="s">
        <v>20</v>
      </c>
      <c r="C237" t="s">
        <v>206</v>
      </c>
      <c r="D237">
        <v>58087</v>
      </c>
      <c r="E237">
        <v>4</v>
      </c>
    </row>
    <row r="238" spans="1:5" x14ac:dyDescent="0.3">
      <c r="A238" t="s">
        <v>50</v>
      </c>
      <c r="B238" t="s">
        <v>154</v>
      </c>
      <c r="C238" t="s">
        <v>206</v>
      </c>
      <c r="D238">
        <v>97014</v>
      </c>
      <c r="E238">
        <v>7</v>
      </c>
    </row>
    <row r="239" spans="1:5" x14ac:dyDescent="0.3">
      <c r="A239" t="s">
        <v>12</v>
      </c>
      <c r="B239" t="s">
        <v>110</v>
      </c>
      <c r="C239" t="s">
        <v>206</v>
      </c>
      <c r="D239">
        <v>91105</v>
      </c>
      <c r="E239">
        <v>10</v>
      </c>
    </row>
    <row r="240" spans="1:5" x14ac:dyDescent="0.3">
      <c r="A240" t="s">
        <v>10</v>
      </c>
      <c r="B240" t="s">
        <v>210</v>
      </c>
      <c r="C240" t="s">
        <v>211</v>
      </c>
      <c r="D240">
        <v>77618</v>
      </c>
      <c r="E240">
        <v>6</v>
      </c>
    </row>
    <row r="241" spans="1:5" x14ac:dyDescent="0.3">
      <c r="A241" t="s">
        <v>50</v>
      </c>
      <c r="B241" t="s">
        <v>83</v>
      </c>
      <c r="C241" t="s">
        <v>211</v>
      </c>
      <c r="D241">
        <v>90017</v>
      </c>
      <c r="E241">
        <v>5</v>
      </c>
    </row>
    <row r="242" spans="1:5" x14ac:dyDescent="0.3">
      <c r="A242" t="s">
        <v>28</v>
      </c>
      <c r="B242" t="s">
        <v>185</v>
      </c>
      <c r="C242" t="s">
        <v>211</v>
      </c>
      <c r="D242">
        <v>72241</v>
      </c>
      <c r="E242">
        <v>3</v>
      </c>
    </row>
    <row r="243" spans="1:5" x14ac:dyDescent="0.3">
      <c r="A243" t="s">
        <v>14</v>
      </c>
      <c r="B243" t="s">
        <v>51</v>
      </c>
      <c r="C243" t="s">
        <v>212</v>
      </c>
      <c r="D243">
        <v>90972</v>
      </c>
      <c r="E243">
        <v>7</v>
      </c>
    </row>
    <row r="244" spans="1:5" x14ac:dyDescent="0.3">
      <c r="A244" t="s">
        <v>28</v>
      </c>
      <c r="B244" t="s">
        <v>174</v>
      </c>
      <c r="C244" t="s">
        <v>212</v>
      </c>
      <c r="D244">
        <v>20618</v>
      </c>
      <c r="E244">
        <v>8</v>
      </c>
    </row>
    <row r="245" spans="1:5" x14ac:dyDescent="0.3">
      <c r="A245" t="s">
        <v>47</v>
      </c>
      <c r="B245" t="s">
        <v>167</v>
      </c>
      <c r="C245" t="s">
        <v>212</v>
      </c>
      <c r="D245">
        <v>89105</v>
      </c>
      <c r="E245">
        <v>4</v>
      </c>
    </row>
    <row r="246" spans="1:5" x14ac:dyDescent="0.3">
      <c r="A246" t="s">
        <v>50</v>
      </c>
      <c r="B246" t="s">
        <v>127</v>
      </c>
      <c r="C246" t="s">
        <v>213</v>
      </c>
      <c r="D246">
        <v>50342</v>
      </c>
      <c r="E246">
        <v>8</v>
      </c>
    </row>
    <row r="247" spans="1:5" x14ac:dyDescent="0.3">
      <c r="A247" t="s">
        <v>45</v>
      </c>
      <c r="B247" t="s">
        <v>214</v>
      </c>
      <c r="C247" t="s">
        <v>213</v>
      </c>
      <c r="D247">
        <v>40117</v>
      </c>
      <c r="E247">
        <v>6</v>
      </c>
    </row>
    <row r="248" spans="1:5" x14ac:dyDescent="0.3">
      <c r="A248" t="s">
        <v>50</v>
      </c>
      <c r="B248" t="s">
        <v>169</v>
      </c>
      <c r="C248" t="s">
        <v>215</v>
      </c>
      <c r="D248">
        <v>91189</v>
      </c>
      <c r="E248">
        <v>5</v>
      </c>
    </row>
    <row r="249" spans="1:5" x14ac:dyDescent="0.3">
      <c r="A249" t="s">
        <v>40</v>
      </c>
      <c r="B249" t="s">
        <v>63</v>
      </c>
      <c r="C249" t="s">
        <v>215</v>
      </c>
      <c r="D249">
        <v>29974</v>
      </c>
      <c r="E249">
        <v>7</v>
      </c>
    </row>
    <row r="250" spans="1:5" x14ac:dyDescent="0.3">
      <c r="A250" t="s">
        <v>45</v>
      </c>
      <c r="B250" t="s">
        <v>107</v>
      </c>
      <c r="C250" t="s">
        <v>215</v>
      </c>
      <c r="D250">
        <v>39078</v>
      </c>
      <c r="E250">
        <v>5</v>
      </c>
    </row>
    <row r="251" spans="1:5" x14ac:dyDescent="0.3">
      <c r="A251" t="s">
        <v>8</v>
      </c>
      <c r="B251" t="s">
        <v>180</v>
      </c>
      <c r="C251" t="s">
        <v>216</v>
      </c>
      <c r="D251">
        <v>60727</v>
      </c>
      <c r="E251">
        <v>3</v>
      </c>
    </row>
    <row r="252" spans="1:5" x14ac:dyDescent="0.3">
      <c r="A252" t="s">
        <v>12</v>
      </c>
      <c r="B252" t="s">
        <v>70</v>
      </c>
      <c r="C252" t="s">
        <v>216</v>
      </c>
      <c r="D252">
        <v>79966</v>
      </c>
      <c r="E252">
        <v>3</v>
      </c>
    </row>
    <row r="253" spans="1:5" x14ac:dyDescent="0.3">
      <c r="A253" t="s">
        <v>14</v>
      </c>
      <c r="B253" t="s">
        <v>54</v>
      </c>
      <c r="C253" t="s">
        <v>216</v>
      </c>
      <c r="D253">
        <v>47867</v>
      </c>
      <c r="E253">
        <v>7</v>
      </c>
    </row>
    <row r="254" spans="1:5" x14ac:dyDescent="0.3">
      <c r="A254" t="s">
        <v>21</v>
      </c>
      <c r="B254" t="s">
        <v>147</v>
      </c>
      <c r="C254" t="s">
        <v>216</v>
      </c>
      <c r="D254">
        <v>32063</v>
      </c>
      <c r="E254">
        <v>1</v>
      </c>
    </row>
    <row r="255" spans="1:5" x14ac:dyDescent="0.3">
      <c r="A255" t="s">
        <v>45</v>
      </c>
      <c r="B255" t="s">
        <v>217</v>
      </c>
      <c r="C255" t="s">
        <v>216</v>
      </c>
      <c r="D255">
        <v>86350</v>
      </c>
      <c r="E255">
        <v>2</v>
      </c>
    </row>
    <row r="256" spans="1:5" x14ac:dyDescent="0.3">
      <c r="A256" t="s">
        <v>50</v>
      </c>
      <c r="B256" t="s">
        <v>34</v>
      </c>
      <c r="C256" t="s">
        <v>216</v>
      </c>
      <c r="D256">
        <v>79305</v>
      </c>
      <c r="E256">
        <v>10</v>
      </c>
    </row>
    <row r="257" spans="1:5" x14ac:dyDescent="0.3">
      <c r="A257" t="s">
        <v>10</v>
      </c>
      <c r="B257" t="s">
        <v>69</v>
      </c>
      <c r="C257" t="s">
        <v>216</v>
      </c>
      <c r="D257">
        <v>78092</v>
      </c>
      <c r="E257">
        <v>5</v>
      </c>
    </row>
    <row r="258" spans="1:5" x14ac:dyDescent="0.3">
      <c r="A258" t="s">
        <v>47</v>
      </c>
      <c r="B258" t="s">
        <v>105</v>
      </c>
      <c r="C258" t="s">
        <v>218</v>
      </c>
      <c r="D258">
        <v>44138</v>
      </c>
      <c r="E258">
        <v>1</v>
      </c>
    </row>
    <row r="259" spans="1:5" x14ac:dyDescent="0.3">
      <c r="A259" t="s">
        <v>10</v>
      </c>
      <c r="B259" t="s">
        <v>144</v>
      </c>
      <c r="C259" t="s">
        <v>218</v>
      </c>
      <c r="D259">
        <v>36596</v>
      </c>
      <c r="E259">
        <v>5</v>
      </c>
    </row>
    <row r="260" spans="1:5" x14ac:dyDescent="0.3">
      <c r="A260" t="s">
        <v>14</v>
      </c>
      <c r="B260" t="s">
        <v>191</v>
      </c>
      <c r="C260" t="s">
        <v>218</v>
      </c>
      <c r="D260">
        <v>80082</v>
      </c>
      <c r="E260">
        <v>5</v>
      </c>
    </row>
    <row r="261" spans="1:5" x14ac:dyDescent="0.3">
      <c r="A261" t="s">
        <v>28</v>
      </c>
      <c r="B261" t="s">
        <v>199</v>
      </c>
      <c r="C261" t="s">
        <v>218</v>
      </c>
      <c r="D261">
        <v>64423</v>
      </c>
      <c r="E261">
        <v>7</v>
      </c>
    </row>
    <row r="262" spans="1:5" x14ac:dyDescent="0.3">
      <c r="A262" t="s">
        <v>12</v>
      </c>
      <c r="B262" t="s">
        <v>66</v>
      </c>
      <c r="C262" t="s">
        <v>219</v>
      </c>
      <c r="D262">
        <v>44555</v>
      </c>
      <c r="E262">
        <v>5</v>
      </c>
    </row>
    <row r="263" spans="1:5" x14ac:dyDescent="0.3">
      <c r="A263" t="s">
        <v>8</v>
      </c>
      <c r="B263" t="s">
        <v>186</v>
      </c>
      <c r="C263" t="s">
        <v>219</v>
      </c>
      <c r="D263">
        <v>12431</v>
      </c>
      <c r="E263">
        <v>9</v>
      </c>
    </row>
    <row r="264" spans="1:5" x14ac:dyDescent="0.3">
      <c r="A264" t="s">
        <v>12</v>
      </c>
      <c r="B264" t="s">
        <v>27</v>
      </c>
      <c r="C264" t="s">
        <v>220</v>
      </c>
      <c r="D264">
        <v>61682</v>
      </c>
      <c r="E264">
        <v>7</v>
      </c>
    </row>
    <row r="265" spans="1:5" x14ac:dyDescent="0.3">
      <c r="A265" t="s">
        <v>10</v>
      </c>
      <c r="B265" t="s">
        <v>221</v>
      </c>
      <c r="C265" t="s">
        <v>220</v>
      </c>
      <c r="D265">
        <v>42111</v>
      </c>
      <c r="E265">
        <v>1</v>
      </c>
    </row>
    <row r="266" spans="1:5" x14ac:dyDescent="0.3">
      <c r="A266" t="s">
        <v>18</v>
      </c>
      <c r="B266" t="s">
        <v>90</v>
      </c>
      <c r="C266" t="s">
        <v>220</v>
      </c>
      <c r="D266">
        <v>23832</v>
      </c>
      <c r="E266">
        <v>6</v>
      </c>
    </row>
    <row r="267" spans="1:5" x14ac:dyDescent="0.3">
      <c r="A267" t="s">
        <v>8</v>
      </c>
      <c r="B267" t="s">
        <v>183</v>
      </c>
      <c r="C267" t="s">
        <v>220</v>
      </c>
      <c r="D267">
        <v>73139</v>
      </c>
      <c r="E267">
        <v>7</v>
      </c>
    </row>
    <row r="268" spans="1:5" x14ac:dyDescent="0.3">
      <c r="A268" t="s">
        <v>14</v>
      </c>
      <c r="B268" t="s">
        <v>222</v>
      </c>
      <c r="C268" t="s">
        <v>220</v>
      </c>
      <c r="D268">
        <v>47846</v>
      </c>
      <c r="E268">
        <v>5</v>
      </c>
    </row>
    <row r="269" spans="1:5" x14ac:dyDescent="0.3">
      <c r="A269" t="s">
        <v>50</v>
      </c>
      <c r="B269" t="s">
        <v>150</v>
      </c>
      <c r="C269" t="s">
        <v>223</v>
      </c>
      <c r="D269">
        <v>70430</v>
      </c>
      <c r="E269">
        <v>6</v>
      </c>
    </row>
    <row r="270" spans="1:5" x14ac:dyDescent="0.3">
      <c r="A270" t="s">
        <v>14</v>
      </c>
      <c r="B270" t="s">
        <v>43</v>
      </c>
      <c r="C270" t="s">
        <v>223</v>
      </c>
      <c r="D270">
        <v>59122</v>
      </c>
      <c r="E270">
        <v>5</v>
      </c>
    </row>
    <row r="271" spans="1:5" x14ac:dyDescent="0.3">
      <c r="A271" t="s">
        <v>45</v>
      </c>
      <c r="B271" t="s">
        <v>89</v>
      </c>
      <c r="C271" t="s">
        <v>224</v>
      </c>
      <c r="D271">
        <v>52240</v>
      </c>
      <c r="E271">
        <v>5</v>
      </c>
    </row>
    <row r="272" spans="1:5" x14ac:dyDescent="0.3">
      <c r="A272" t="s">
        <v>50</v>
      </c>
      <c r="B272" t="s">
        <v>225</v>
      </c>
      <c r="C272" t="s">
        <v>224</v>
      </c>
      <c r="D272">
        <v>52075</v>
      </c>
      <c r="E272">
        <v>8</v>
      </c>
    </row>
    <row r="273" spans="1:5" x14ac:dyDescent="0.3">
      <c r="A273" t="s">
        <v>8</v>
      </c>
      <c r="B273" t="s">
        <v>178</v>
      </c>
      <c r="C273" t="s">
        <v>224</v>
      </c>
      <c r="D273">
        <v>71832</v>
      </c>
      <c r="E273">
        <v>9</v>
      </c>
    </row>
    <row r="274" spans="1:5" x14ac:dyDescent="0.3">
      <c r="A274" t="s">
        <v>40</v>
      </c>
      <c r="B274" t="s">
        <v>123</v>
      </c>
      <c r="C274" t="s">
        <v>224</v>
      </c>
      <c r="D274">
        <v>65056</v>
      </c>
      <c r="E274">
        <v>7</v>
      </c>
    </row>
    <row r="275" spans="1:5" x14ac:dyDescent="0.3">
      <c r="A275" t="s">
        <v>8</v>
      </c>
      <c r="B275" t="s">
        <v>221</v>
      </c>
      <c r="C275" t="s">
        <v>224</v>
      </c>
      <c r="D275">
        <v>19775</v>
      </c>
      <c r="E275">
        <v>4</v>
      </c>
    </row>
    <row r="276" spans="1:5" x14ac:dyDescent="0.3">
      <c r="A276" t="s">
        <v>5</v>
      </c>
      <c r="B276" t="s">
        <v>154</v>
      </c>
      <c r="C276" t="s">
        <v>224</v>
      </c>
      <c r="D276">
        <v>21432</v>
      </c>
      <c r="E276">
        <v>4</v>
      </c>
    </row>
    <row r="277" spans="1:5" x14ac:dyDescent="0.3">
      <c r="A277" t="s">
        <v>28</v>
      </c>
      <c r="B277" t="s">
        <v>88</v>
      </c>
      <c r="C277" t="s">
        <v>224</v>
      </c>
      <c r="D277">
        <v>60660</v>
      </c>
      <c r="E277">
        <v>6</v>
      </c>
    </row>
    <row r="278" spans="1:5" x14ac:dyDescent="0.3">
      <c r="A278" t="s">
        <v>45</v>
      </c>
      <c r="B278" t="s">
        <v>181</v>
      </c>
      <c r="C278" t="s">
        <v>226</v>
      </c>
      <c r="D278">
        <v>23399</v>
      </c>
      <c r="E278">
        <v>5</v>
      </c>
    </row>
    <row r="279" spans="1:5" x14ac:dyDescent="0.3">
      <c r="A279" t="s">
        <v>45</v>
      </c>
      <c r="B279" t="s">
        <v>205</v>
      </c>
      <c r="C279" t="s">
        <v>226</v>
      </c>
      <c r="D279">
        <v>80152</v>
      </c>
      <c r="E279">
        <v>6</v>
      </c>
    </row>
    <row r="280" spans="1:5" x14ac:dyDescent="0.3">
      <c r="A280" t="s">
        <v>14</v>
      </c>
      <c r="B280" t="s">
        <v>227</v>
      </c>
      <c r="C280" t="s">
        <v>228</v>
      </c>
      <c r="D280">
        <v>47967</v>
      </c>
      <c r="E280">
        <v>5</v>
      </c>
    </row>
    <row r="281" spans="1:5" x14ac:dyDescent="0.3">
      <c r="A281" t="s">
        <v>14</v>
      </c>
      <c r="B281" t="s">
        <v>146</v>
      </c>
      <c r="C281" t="s">
        <v>228</v>
      </c>
      <c r="D281">
        <v>90712</v>
      </c>
      <c r="E281">
        <v>7</v>
      </c>
    </row>
    <row r="282" spans="1:5" x14ac:dyDescent="0.3">
      <c r="A282" t="s">
        <v>45</v>
      </c>
      <c r="B282" t="s">
        <v>54</v>
      </c>
      <c r="C282" t="s">
        <v>228</v>
      </c>
      <c r="D282">
        <v>15484</v>
      </c>
      <c r="E282">
        <v>8</v>
      </c>
    </row>
    <row r="283" spans="1:5" x14ac:dyDescent="0.3">
      <c r="A283" t="s">
        <v>14</v>
      </c>
      <c r="B283" t="s">
        <v>107</v>
      </c>
      <c r="C283" t="s">
        <v>229</v>
      </c>
      <c r="D283">
        <v>44651</v>
      </c>
      <c r="E283">
        <v>0</v>
      </c>
    </row>
    <row r="284" spans="1:5" x14ac:dyDescent="0.3">
      <c r="A284" t="s">
        <v>10</v>
      </c>
      <c r="B284" t="s">
        <v>71</v>
      </c>
      <c r="C284" t="s">
        <v>230</v>
      </c>
      <c r="D284">
        <v>95078</v>
      </c>
      <c r="E284">
        <v>5</v>
      </c>
    </row>
    <row r="285" spans="1:5" x14ac:dyDescent="0.3">
      <c r="A285" t="s">
        <v>45</v>
      </c>
      <c r="B285" t="s">
        <v>37</v>
      </c>
      <c r="C285" t="s">
        <v>230</v>
      </c>
      <c r="D285">
        <v>18712</v>
      </c>
      <c r="E285">
        <v>3</v>
      </c>
    </row>
    <row r="286" spans="1:5" x14ac:dyDescent="0.3">
      <c r="A286" t="s">
        <v>28</v>
      </c>
      <c r="B286" t="s">
        <v>72</v>
      </c>
      <c r="C286" t="s">
        <v>230</v>
      </c>
      <c r="D286">
        <v>77451</v>
      </c>
      <c r="E286">
        <v>0</v>
      </c>
    </row>
    <row r="287" spans="1:5" x14ac:dyDescent="0.3">
      <c r="A287" t="s">
        <v>14</v>
      </c>
      <c r="B287" t="s">
        <v>231</v>
      </c>
      <c r="C287" t="s">
        <v>230</v>
      </c>
      <c r="D287">
        <v>72421</v>
      </c>
      <c r="E287">
        <v>7</v>
      </c>
    </row>
    <row r="288" spans="1:5" x14ac:dyDescent="0.3">
      <c r="A288" t="s">
        <v>12</v>
      </c>
      <c r="B288" t="s">
        <v>191</v>
      </c>
      <c r="C288" t="s">
        <v>230</v>
      </c>
      <c r="D288">
        <v>74573</v>
      </c>
      <c r="E288">
        <v>9</v>
      </c>
    </row>
    <row r="289" spans="1:5" x14ac:dyDescent="0.3">
      <c r="A289" t="s">
        <v>8</v>
      </c>
      <c r="B289" t="s">
        <v>84</v>
      </c>
      <c r="C289" t="s">
        <v>230</v>
      </c>
      <c r="D289">
        <v>55997</v>
      </c>
      <c r="E289">
        <v>5</v>
      </c>
    </row>
    <row r="290" spans="1:5" x14ac:dyDescent="0.3">
      <c r="A290" t="s">
        <v>47</v>
      </c>
      <c r="B290" t="s">
        <v>81</v>
      </c>
      <c r="C290" t="s">
        <v>230</v>
      </c>
      <c r="D290">
        <v>83197</v>
      </c>
      <c r="E290">
        <v>7</v>
      </c>
    </row>
    <row r="291" spans="1:5" x14ac:dyDescent="0.3">
      <c r="A291" t="s">
        <v>8</v>
      </c>
      <c r="B291" t="s">
        <v>232</v>
      </c>
      <c r="C291" t="s">
        <v>230</v>
      </c>
      <c r="D291">
        <v>74944</v>
      </c>
      <c r="E291">
        <v>7</v>
      </c>
    </row>
    <row r="292" spans="1:5" x14ac:dyDescent="0.3">
      <c r="A292" t="s">
        <v>50</v>
      </c>
      <c r="B292" t="s">
        <v>146</v>
      </c>
      <c r="C292" t="s">
        <v>230</v>
      </c>
      <c r="D292">
        <v>69581</v>
      </c>
      <c r="E292">
        <v>8</v>
      </c>
    </row>
    <row r="293" spans="1:5" x14ac:dyDescent="0.3">
      <c r="A293" t="s">
        <v>10</v>
      </c>
      <c r="B293" t="s">
        <v>151</v>
      </c>
      <c r="C293" t="s">
        <v>233</v>
      </c>
      <c r="D293">
        <v>62878</v>
      </c>
      <c r="E293">
        <v>10</v>
      </c>
    </row>
    <row r="294" spans="1:5" x14ac:dyDescent="0.3">
      <c r="A294" t="s">
        <v>10</v>
      </c>
      <c r="B294" t="s">
        <v>97</v>
      </c>
      <c r="C294" t="s">
        <v>233</v>
      </c>
      <c r="D294">
        <v>16374</v>
      </c>
      <c r="E294">
        <v>4</v>
      </c>
    </row>
    <row r="295" spans="1:5" x14ac:dyDescent="0.3">
      <c r="A295" t="s">
        <v>12</v>
      </c>
      <c r="B295" t="s">
        <v>234</v>
      </c>
      <c r="C295" t="s">
        <v>233</v>
      </c>
      <c r="D295">
        <v>34305</v>
      </c>
      <c r="E295">
        <v>5</v>
      </c>
    </row>
    <row r="296" spans="1:5" x14ac:dyDescent="0.3">
      <c r="A296" t="s">
        <v>8</v>
      </c>
      <c r="B296" t="s">
        <v>235</v>
      </c>
      <c r="C296" t="s">
        <v>236</v>
      </c>
      <c r="D296">
        <v>72386</v>
      </c>
      <c r="E296">
        <v>7</v>
      </c>
    </row>
    <row r="297" spans="1:5" x14ac:dyDescent="0.3">
      <c r="A297" t="s">
        <v>5</v>
      </c>
      <c r="B297" t="s">
        <v>178</v>
      </c>
      <c r="C297" t="s">
        <v>236</v>
      </c>
      <c r="D297">
        <v>61111</v>
      </c>
      <c r="E297">
        <v>4</v>
      </c>
    </row>
    <row r="298" spans="1:5" x14ac:dyDescent="0.3">
      <c r="A298" t="s">
        <v>10</v>
      </c>
      <c r="B298" t="s">
        <v>160</v>
      </c>
      <c r="C298" t="s">
        <v>237</v>
      </c>
      <c r="D298">
        <v>78999</v>
      </c>
      <c r="E298">
        <v>2</v>
      </c>
    </row>
    <row r="299" spans="1:5" x14ac:dyDescent="0.3">
      <c r="A299" t="s">
        <v>8</v>
      </c>
      <c r="B299" t="s">
        <v>238</v>
      </c>
      <c r="C299" t="s">
        <v>237</v>
      </c>
      <c r="D299">
        <v>47724</v>
      </c>
      <c r="E299">
        <v>2</v>
      </c>
    </row>
    <row r="300" spans="1:5" x14ac:dyDescent="0.3">
      <c r="A300" t="s">
        <v>40</v>
      </c>
      <c r="B300" t="s">
        <v>71</v>
      </c>
      <c r="C300" t="s">
        <v>239</v>
      </c>
      <c r="D300">
        <v>59899</v>
      </c>
      <c r="E300">
        <v>4</v>
      </c>
    </row>
    <row r="301" spans="1:5" x14ac:dyDescent="0.3">
      <c r="A301" t="s">
        <v>8</v>
      </c>
      <c r="B301" t="s">
        <v>227</v>
      </c>
      <c r="C301" t="s">
        <v>240</v>
      </c>
      <c r="D301">
        <v>34366</v>
      </c>
      <c r="E301">
        <v>4</v>
      </c>
    </row>
    <row r="302" spans="1:5" x14ac:dyDescent="0.3">
      <c r="A302" t="s">
        <v>21</v>
      </c>
      <c r="B302" t="s">
        <v>147</v>
      </c>
      <c r="C302" t="s">
        <v>240</v>
      </c>
      <c r="D302">
        <v>69449</v>
      </c>
      <c r="E302">
        <v>8</v>
      </c>
    </row>
    <row r="303" spans="1:5" x14ac:dyDescent="0.3">
      <c r="A303" t="s">
        <v>10</v>
      </c>
      <c r="B303" t="s">
        <v>109</v>
      </c>
      <c r="C303" t="s">
        <v>240</v>
      </c>
      <c r="D303">
        <v>94322</v>
      </c>
      <c r="E303">
        <v>7</v>
      </c>
    </row>
    <row r="304" spans="1:5" x14ac:dyDescent="0.3">
      <c r="A304" t="s">
        <v>8</v>
      </c>
      <c r="B304" t="s">
        <v>71</v>
      </c>
      <c r="C304" t="s">
        <v>240</v>
      </c>
      <c r="D304">
        <v>46722</v>
      </c>
      <c r="E304">
        <v>7</v>
      </c>
    </row>
    <row r="305" spans="1:5" x14ac:dyDescent="0.3">
      <c r="A305" t="s">
        <v>8</v>
      </c>
      <c r="B305" t="s">
        <v>221</v>
      </c>
      <c r="C305" t="s">
        <v>240</v>
      </c>
      <c r="D305">
        <v>29924</v>
      </c>
      <c r="E305">
        <v>2</v>
      </c>
    </row>
    <row r="306" spans="1:5" x14ac:dyDescent="0.3">
      <c r="A306" t="s">
        <v>45</v>
      </c>
      <c r="B306" t="s">
        <v>152</v>
      </c>
      <c r="C306" t="s">
        <v>240</v>
      </c>
      <c r="D306">
        <v>24391</v>
      </c>
      <c r="E306">
        <v>0</v>
      </c>
    </row>
    <row r="307" spans="1:5" x14ac:dyDescent="0.3">
      <c r="A307" t="s">
        <v>8</v>
      </c>
      <c r="B307" t="s">
        <v>48</v>
      </c>
      <c r="C307" t="s">
        <v>241</v>
      </c>
      <c r="D307">
        <v>15625</v>
      </c>
      <c r="E307">
        <v>3</v>
      </c>
    </row>
    <row r="308" spans="1:5" x14ac:dyDescent="0.3">
      <c r="A308" t="s">
        <v>5</v>
      </c>
      <c r="B308" t="s">
        <v>242</v>
      </c>
      <c r="C308" t="s">
        <v>241</v>
      </c>
      <c r="D308">
        <v>92917</v>
      </c>
      <c r="E308">
        <v>8</v>
      </c>
    </row>
    <row r="309" spans="1:5" x14ac:dyDescent="0.3">
      <c r="A309" t="s">
        <v>18</v>
      </c>
      <c r="B309" t="s">
        <v>84</v>
      </c>
      <c r="C309" t="s">
        <v>241</v>
      </c>
      <c r="D309">
        <v>15986</v>
      </c>
      <c r="E309">
        <v>6</v>
      </c>
    </row>
    <row r="310" spans="1:5" x14ac:dyDescent="0.3">
      <c r="A310" t="s">
        <v>5</v>
      </c>
      <c r="B310" t="s">
        <v>95</v>
      </c>
      <c r="C310" t="s">
        <v>243</v>
      </c>
      <c r="D310">
        <v>94808</v>
      </c>
      <c r="E310">
        <v>7</v>
      </c>
    </row>
    <row r="311" spans="1:5" x14ac:dyDescent="0.3">
      <c r="A311" t="s">
        <v>12</v>
      </c>
      <c r="B311" t="s">
        <v>185</v>
      </c>
      <c r="C311" t="s">
        <v>243</v>
      </c>
      <c r="D311">
        <v>21742</v>
      </c>
      <c r="E311">
        <v>9</v>
      </c>
    </row>
    <row r="312" spans="1:5" x14ac:dyDescent="0.3">
      <c r="A312" t="s">
        <v>47</v>
      </c>
      <c r="B312" t="s">
        <v>34</v>
      </c>
      <c r="C312" t="s">
        <v>243</v>
      </c>
      <c r="D312">
        <v>74988</v>
      </c>
      <c r="E312">
        <v>5</v>
      </c>
    </row>
    <row r="313" spans="1:5" x14ac:dyDescent="0.3">
      <c r="A313" t="s">
        <v>8</v>
      </c>
      <c r="B313" t="s">
        <v>20</v>
      </c>
      <c r="C313" t="s">
        <v>243</v>
      </c>
      <c r="D313">
        <v>69063</v>
      </c>
      <c r="E313">
        <v>7</v>
      </c>
    </row>
    <row r="314" spans="1:5" x14ac:dyDescent="0.3">
      <c r="A314" t="s">
        <v>50</v>
      </c>
      <c r="B314" t="s">
        <v>244</v>
      </c>
      <c r="C314" t="s">
        <v>243</v>
      </c>
      <c r="D314">
        <v>56051</v>
      </c>
      <c r="E314">
        <v>6</v>
      </c>
    </row>
    <row r="315" spans="1:5" x14ac:dyDescent="0.3">
      <c r="A315" t="s">
        <v>47</v>
      </c>
      <c r="B315" t="s">
        <v>245</v>
      </c>
      <c r="C315" t="s">
        <v>246</v>
      </c>
      <c r="D315">
        <v>12131</v>
      </c>
      <c r="E315">
        <v>3</v>
      </c>
    </row>
    <row r="316" spans="1:5" x14ac:dyDescent="0.3">
      <c r="A316" t="s">
        <v>40</v>
      </c>
      <c r="B316" t="s">
        <v>173</v>
      </c>
      <c r="C316" t="s">
        <v>246</v>
      </c>
      <c r="D316">
        <v>14287</v>
      </c>
      <c r="E316">
        <v>1</v>
      </c>
    </row>
    <row r="317" spans="1:5" x14ac:dyDescent="0.3">
      <c r="A317" t="s">
        <v>10</v>
      </c>
      <c r="B317" t="s">
        <v>247</v>
      </c>
      <c r="C317" t="s">
        <v>246</v>
      </c>
      <c r="D317">
        <v>59943</v>
      </c>
      <c r="E317">
        <v>7</v>
      </c>
    </row>
    <row r="318" spans="1:5" x14ac:dyDescent="0.3">
      <c r="A318" t="s">
        <v>8</v>
      </c>
      <c r="B318" t="s">
        <v>90</v>
      </c>
      <c r="C318" t="s">
        <v>248</v>
      </c>
      <c r="D318">
        <v>29998</v>
      </c>
      <c r="E318">
        <v>4</v>
      </c>
    </row>
    <row r="319" spans="1:5" x14ac:dyDescent="0.3">
      <c r="A319" t="s">
        <v>50</v>
      </c>
      <c r="B319" t="s">
        <v>87</v>
      </c>
      <c r="C319" t="s">
        <v>248</v>
      </c>
      <c r="D319">
        <v>20338</v>
      </c>
      <c r="E319">
        <v>3</v>
      </c>
    </row>
    <row r="320" spans="1:5" x14ac:dyDescent="0.3">
      <c r="A320" t="s">
        <v>47</v>
      </c>
      <c r="B320" t="s">
        <v>199</v>
      </c>
      <c r="C320" t="s">
        <v>249</v>
      </c>
      <c r="D320">
        <v>19391</v>
      </c>
      <c r="E320">
        <v>5</v>
      </c>
    </row>
    <row r="321" spans="1:5" x14ac:dyDescent="0.3">
      <c r="A321" t="s">
        <v>21</v>
      </c>
      <c r="B321" t="s">
        <v>217</v>
      </c>
      <c r="C321" t="s">
        <v>249</v>
      </c>
      <c r="D321">
        <v>36498</v>
      </c>
      <c r="E321">
        <v>8</v>
      </c>
    </row>
    <row r="322" spans="1:5" x14ac:dyDescent="0.3">
      <c r="A322" t="s">
        <v>10</v>
      </c>
      <c r="B322" t="s">
        <v>49</v>
      </c>
      <c r="C322" t="s">
        <v>249</v>
      </c>
      <c r="D322">
        <v>57828</v>
      </c>
      <c r="E322">
        <v>6</v>
      </c>
    </row>
    <row r="323" spans="1:5" x14ac:dyDescent="0.3">
      <c r="A323" t="s">
        <v>47</v>
      </c>
      <c r="B323" t="s">
        <v>250</v>
      </c>
      <c r="C323" t="s">
        <v>249</v>
      </c>
      <c r="D323">
        <v>86257</v>
      </c>
      <c r="E323">
        <v>2</v>
      </c>
    </row>
    <row r="324" spans="1:5" x14ac:dyDescent="0.3">
      <c r="A324" t="s">
        <v>12</v>
      </c>
      <c r="B324" t="s">
        <v>71</v>
      </c>
      <c r="C324" t="s">
        <v>249</v>
      </c>
      <c r="D324">
        <v>22345</v>
      </c>
      <c r="E324">
        <v>7</v>
      </c>
    </row>
    <row r="325" spans="1:5" x14ac:dyDescent="0.3">
      <c r="A325" t="s">
        <v>50</v>
      </c>
      <c r="B325" t="s">
        <v>251</v>
      </c>
      <c r="C325" t="s">
        <v>249</v>
      </c>
      <c r="D325">
        <v>25351</v>
      </c>
      <c r="E325">
        <v>7</v>
      </c>
    </row>
    <row r="326" spans="1:5" x14ac:dyDescent="0.3">
      <c r="A326" t="s">
        <v>28</v>
      </c>
      <c r="B326" t="s">
        <v>180</v>
      </c>
      <c r="C326" t="s">
        <v>249</v>
      </c>
      <c r="D326">
        <v>63595</v>
      </c>
      <c r="E326">
        <v>7</v>
      </c>
    </row>
    <row r="327" spans="1:5" x14ac:dyDescent="0.3">
      <c r="A327" t="s">
        <v>21</v>
      </c>
      <c r="B327" t="s">
        <v>111</v>
      </c>
      <c r="C327" t="s">
        <v>249</v>
      </c>
      <c r="D327">
        <v>52643</v>
      </c>
      <c r="E327">
        <v>2</v>
      </c>
    </row>
    <row r="328" spans="1:5" x14ac:dyDescent="0.3">
      <c r="A328" t="s">
        <v>12</v>
      </c>
      <c r="B328" t="s">
        <v>81</v>
      </c>
      <c r="C328" t="s">
        <v>249</v>
      </c>
      <c r="D328">
        <v>77078</v>
      </c>
      <c r="E328">
        <v>6</v>
      </c>
    </row>
    <row r="329" spans="1:5" x14ac:dyDescent="0.3">
      <c r="A329" t="s">
        <v>21</v>
      </c>
      <c r="B329" t="s">
        <v>252</v>
      </c>
      <c r="C329" t="s">
        <v>249</v>
      </c>
      <c r="D329">
        <v>39389</v>
      </c>
      <c r="E329">
        <v>2</v>
      </c>
    </row>
    <row r="330" spans="1:5" x14ac:dyDescent="0.3">
      <c r="A330" t="s">
        <v>45</v>
      </c>
      <c r="B330" t="s">
        <v>70</v>
      </c>
      <c r="C330" t="s">
        <v>249</v>
      </c>
      <c r="D330">
        <v>77503</v>
      </c>
      <c r="E330">
        <v>8</v>
      </c>
    </row>
    <row r="331" spans="1:5" x14ac:dyDescent="0.3">
      <c r="A331" t="s">
        <v>45</v>
      </c>
      <c r="B331" t="s">
        <v>222</v>
      </c>
      <c r="C331" t="s">
        <v>253</v>
      </c>
      <c r="D331">
        <v>13722</v>
      </c>
      <c r="E331">
        <v>5</v>
      </c>
    </row>
    <row r="332" spans="1:5" x14ac:dyDescent="0.3">
      <c r="A332" t="s">
        <v>21</v>
      </c>
      <c r="B332" t="s">
        <v>160</v>
      </c>
      <c r="C332" t="s">
        <v>253</v>
      </c>
      <c r="D332">
        <v>77707</v>
      </c>
      <c r="E332">
        <v>2</v>
      </c>
    </row>
    <row r="333" spans="1:5" x14ac:dyDescent="0.3">
      <c r="A333" t="s">
        <v>50</v>
      </c>
      <c r="B333" t="s">
        <v>191</v>
      </c>
      <c r="C333" t="s">
        <v>253</v>
      </c>
      <c r="D333">
        <v>95109</v>
      </c>
      <c r="E333">
        <v>8</v>
      </c>
    </row>
    <row r="334" spans="1:5" x14ac:dyDescent="0.3">
      <c r="A334" t="s">
        <v>5</v>
      </c>
      <c r="B334" t="s">
        <v>232</v>
      </c>
      <c r="C334" t="s">
        <v>253</v>
      </c>
      <c r="D334">
        <v>43681</v>
      </c>
      <c r="E334">
        <v>8</v>
      </c>
    </row>
    <row r="335" spans="1:5" x14ac:dyDescent="0.3">
      <c r="A335" t="s">
        <v>47</v>
      </c>
      <c r="B335" t="s">
        <v>150</v>
      </c>
      <c r="C335" t="s">
        <v>254</v>
      </c>
      <c r="D335">
        <v>97859</v>
      </c>
      <c r="E335">
        <v>7</v>
      </c>
    </row>
    <row r="336" spans="1:5" x14ac:dyDescent="0.3">
      <c r="A336" t="s">
        <v>10</v>
      </c>
      <c r="B336" t="s">
        <v>25</v>
      </c>
      <c r="C336" t="s">
        <v>254</v>
      </c>
      <c r="D336">
        <v>77303</v>
      </c>
      <c r="E336">
        <v>9</v>
      </c>
    </row>
    <row r="337" spans="1:5" x14ac:dyDescent="0.3">
      <c r="A337" t="s">
        <v>10</v>
      </c>
      <c r="B337" t="s">
        <v>154</v>
      </c>
      <c r="C337" t="s">
        <v>254</v>
      </c>
      <c r="D337">
        <v>96655</v>
      </c>
      <c r="E337">
        <v>2</v>
      </c>
    </row>
    <row r="338" spans="1:5" x14ac:dyDescent="0.3">
      <c r="A338" t="s">
        <v>45</v>
      </c>
      <c r="B338" t="s">
        <v>99</v>
      </c>
      <c r="C338" t="s">
        <v>254</v>
      </c>
      <c r="D338">
        <v>84080</v>
      </c>
      <c r="E338">
        <v>3</v>
      </c>
    </row>
    <row r="339" spans="1:5" x14ac:dyDescent="0.3">
      <c r="A339" t="s">
        <v>14</v>
      </c>
      <c r="B339" t="s">
        <v>245</v>
      </c>
      <c r="C339" t="s">
        <v>255</v>
      </c>
      <c r="D339">
        <v>95696</v>
      </c>
      <c r="E339">
        <v>10</v>
      </c>
    </row>
    <row r="340" spans="1:5" x14ac:dyDescent="0.3">
      <c r="A340" t="s">
        <v>45</v>
      </c>
      <c r="B340" t="s">
        <v>256</v>
      </c>
      <c r="C340" t="s">
        <v>257</v>
      </c>
      <c r="D340">
        <v>94978</v>
      </c>
      <c r="E340">
        <v>1</v>
      </c>
    </row>
    <row r="341" spans="1:5" x14ac:dyDescent="0.3">
      <c r="A341" t="s">
        <v>28</v>
      </c>
      <c r="B341" t="s">
        <v>258</v>
      </c>
      <c r="C341" t="s">
        <v>257</v>
      </c>
      <c r="D341">
        <v>37489</v>
      </c>
      <c r="E341">
        <v>8</v>
      </c>
    </row>
    <row r="342" spans="1:5" x14ac:dyDescent="0.3">
      <c r="A342" t="s">
        <v>14</v>
      </c>
      <c r="B342" t="s">
        <v>251</v>
      </c>
      <c r="C342" t="s">
        <v>257</v>
      </c>
      <c r="D342">
        <v>65041</v>
      </c>
      <c r="E342">
        <v>2</v>
      </c>
    </row>
    <row r="343" spans="1:5" x14ac:dyDescent="0.3">
      <c r="A343" t="s">
        <v>18</v>
      </c>
      <c r="B343" t="s">
        <v>11</v>
      </c>
      <c r="C343" t="s">
        <v>257</v>
      </c>
      <c r="D343">
        <v>63425</v>
      </c>
      <c r="E343">
        <v>7</v>
      </c>
    </row>
    <row r="344" spans="1:5" x14ac:dyDescent="0.3">
      <c r="A344" t="s">
        <v>5</v>
      </c>
      <c r="B344" t="s">
        <v>48</v>
      </c>
      <c r="C344" t="s">
        <v>257</v>
      </c>
      <c r="D344">
        <v>99559</v>
      </c>
      <c r="E344">
        <v>6</v>
      </c>
    </row>
    <row r="345" spans="1:5" x14ac:dyDescent="0.3">
      <c r="A345" t="s">
        <v>14</v>
      </c>
      <c r="B345" t="s">
        <v>165</v>
      </c>
      <c r="C345" t="s">
        <v>259</v>
      </c>
      <c r="D345">
        <v>75010</v>
      </c>
      <c r="E345">
        <v>2</v>
      </c>
    </row>
    <row r="346" spans="1:5" x14ac:dyDescent="0.3">
      <c r="A346" t="s">
        <v>8</v>
      </c>
      <c r="B346" t="s">
        <v>166</v>
      </c>
      <c r="C346" t="s">
        <v>259</v>
      </c>
      <c r="D346">
        <v>74658</v>
      </c>
      <c r="E346">
        <v>8</v>
      </c>
    </row>
    <row r="347" spans="1:5" x14ac:dyDescent="0.3">
      <c r="A347" t="s">
        <v>5</v>
      </c>
      <c r="B347" t="s">
        <v>251</v>
      </c>
      <c r="C347" t="s">
        <v>259</v>
      </c>
      <c r="D347">
        <v>73562</v>
      </c>
      <c r="E347">
        <v>7</v>
      </c>
    </row>
    <row r="348" spans="1:5" x14ac:dyDescent="0.3">
      <c r="A348" t="s">
        <v>18</v>
      </c>
      <c r="B348" t="s">
        <v>242</v>
      </c>
      <c r="C348" t="s">
        <v>259</v>
      </c>
      <c r="D348">
        <v>65988</v>
      </c>
      <c r="E348">
        <v>7</v>
      </c>
    </row>
    <row r="349" spans="1:5" x14ac:dyDescent="0.3">
      <c r="A349" t="s">
        <v>45</v>
      </c>
      <c r="B349" t="s">
        <v>116</v>
      </c>
      <c r="C349" t="s">
        <v>260</v>
      </c>
      <c r="D349">
        <v>38620</v>
      </c>
      <c r="E349">
        <v>7</v>
      </c>
    </row>
    <row r="350" spans="1:5" x14ac:dyDescent="0.3">
      <c r="A350" t="s">
        <v>18</v>
      </c>
      <c r="B350" t="s">
        <v>190</v>
      </c>
      <c r="C350" t="s">
        <v>261</v>
      </c>
      <c r="D350">
        <v>68584</v>
      </c>
      <c r="E350">
        <v>6</v>
      </c>
    </row>
    <row r="351" spans="1:5" x14ac:dyDescent="0.3">
      <c r="A351" t="s">
        <v>14</v>
      </c>
      <c r="B351" t="s">
        <v>262</v>
      </c>
      <c r="C351" t="s">
        <v>261</v>
      </c>
      <c r="D351">
        <v>51596</v>
      </c>
      <c r="E351">
        <v>1</v>
      </c>
    </row>
    <row r="352" spans="1:5" x14ac:dyDescent="0.3">
      <c r="A352" t="s">
        <v>12</v>
      </c>
      <c r="B352" t="s">
        <v>263</v>
      </c>
      <c r="C352" t="s">
        <v>264</v>
      </c>
      <c r="D352">
        <v>63840</v>
      </c>
      <c r="E352">
        <v>2</v>
      </c>
    </row>
    <row r="353" spans="1:5" x14ac:dyDescent="0.3">
      <c r="A353" t="s">
        <v>14</v>
      </c>
      <c r="B353" t="s">
        <v>114</v>
      </c>
      <c r="C353" t="s">
        <v>264</v>
      </c>
      <c r="D353">
        <v>65232</v>
      </c>
      <c r="E353">
        <v>8</v>
      </c>
    </row>
    <row r="354" spans="1:5" x14ac:dyDescent="0.3">
      <c r="A354" t="s">
        <v>18</v>
      </c>
      <c r="B354" t="s">
        <v>114</v>
      </c>
      <c r="C354" t="s">
        <v>265</v>
      </c>
      <c r="D354">
        <v>45815</v>
      </c>
      <c r="E354">
        <v>7</v>
      </c>
    </row>
    <row r="355" spans="1:5" x14ac:dyDescent="0.3">
      <c r="A355" t="s">
        <v>8</v>
      </c>
      <c r="B355" t="s">
        <v>200</v>
      </c>
      <c r="C355" t="s">
        <v>265</v>
      </c>
      <c r="D355">
        <v>11843</v>
      </c>
      <c r="E355">
        <v>1</v>
      </c>
    </row>
    <row r="356" spans="1:5" x14ac:dyDescent="0.3">
      <c r="A356" t="s">
        <v>45</v>
      </c>
      <c r="B356" t="s">
        <v>46</v>
      </c>
      <c r="C356" t="s">
        <v>265</v>
      </c>
      <c r="D356">
        <v>57698</v>
      </c>
      <c r="E356">
        <v>5</v>
      </c>
    </row>
    <row r="357" spans="1:5" x14ac:dyDescent="0.3">
      <c r="A357" t="s">
        <v>21</v>
      </c>
      <c r="B357" t="s">
        <v>74</v>
      </c>
      <c r="C357" t="s">
        <v>265</v>
      </c>
      <c r="D357">
        <v>83321</v>
      </c>
      <c r="E357">
        <v>8</v>
      </c>
    </row>
    <row r="358" spans="1:5" x14ac:dyDescent="0.3">
      <c r="A358" t="s">
        <v>47</v>
      </c>
      <c r="B358" t="s">
        <v>25</v>
      </c>
      <c r="C358" t="s">
        <v>265</v>
      </c>
      <c r="D358">
        <v>31232</v>
      </c>
      <c r="E358">
        <v>7</v>
      </c>
    </row>
    <row r="359" spans="1:5" x14ac:dyDescent="0.3">
      <c r="A359" t="s">
        <v>12</v>
      </c>
      <c r="B359" t="s">
        <v>192</v>
      </c>
      <c r="C359" t="s">
        <v>266</v>
      </c>
      <c r="D359">
        <v>96531</v>
      </c>
      <c r="E359">
        <v>5</v>
      </c>
    </row>
    <row r="360" spans="1:5" x14ac:dyDescent="0.3">
      <c r="A360" t="s">
        <v>18</v>
      </c>
      <c r="B360" t="s">
        <v>263</v>
      </c>
      <c r="C360" t="s">
        <v>266</v>
      </c>
      <c r="D360">
        <v>87620</v>
      </c>
      <c r="E360">
        <v>7</v>
      </c>
    </row>
    <row r="361" spans="1:5" x14ac:dyDescent="0.3">
      <c r="A361" t="s">
        <v>47</v>
      </c>
      <c r="B361" t="s">
        <v>32</v>
      </c>
      <c r="C361" t="s">
        <v>266</v>
      </c>
      <c r="D361">
        <v>41090</v>
      </c>
      <c r="E361">
        <v>7</v>
      </c>
    </row>
    <row r="362" spans="1:5" x14ac:dyDescent="0.3">
      <c r="A362" t="s">
        <v>8</v>
      </c>
      <c r="B362" t="s">
        <v>61</v>
      </c>
      <c r="C362" t="s">
        <v>266</v>
      </c>
      <c r="D362">
        <v>67351</v>
      </c>
      <c r="E362">
        <v>7</v>
      </c>
    </row>
    <row r="363" spans="1:5" x14ac:dyDescent="0.3">
      <c r="A363" t="s">
        <v>10</v>
      </c>
      <c r="B363" t="s">
        <v>58</v>
      </c>
      <c r="C363" t="s">
        <v>266</v>
      </c>
      <c r="D363">
        <v>47419</v>
      </c>
      <c r="E363">
        <v>6</v>
      </c>
    </row>
    <row r="364" spans="1:5" x14ac:dyDescent="0.3">
      <c r="A364" t="s">
        <v>5</v>
      </c>
      <c r="B364" t="s">
        <v>135</v>
      </c>
      <c r="C364" t="s">
        <v>267</v>
      </c>
      <c r="D364">
        <v>96827</v>
      </c>
      <c r="E364">
        <v>0</v>
      </c>
    </row>
    <row r="365" spans="1:5" x14ac:dyDescent="0.3">
      <c r="A365" t="s">
        <v>8</v>
      </c>
      <c r="B365" t="s">
        <v>191</v>
      </c>
      <c r="C365" t="s">
        <v>267</v>
      </c>
      <c r="D365">
        <v>47285</v>
      </c>
      <c r="E365">
        <v>5</v>
      </c>
    </row>
    <row r="366" spans="1:5" x14ac:dyDescent="0.3">
      <c r="A366" t="s">
        <v>21</v>
      </c>
      <c r="B366" t="s">
        <v>268</v>
      </c>
      <c r="C366" t="s">
        <v>269</v>
      </c>
      <c r="D366">
        <v>66360</v>
      </c>
      <c r="E366">
        <v>8</v>
      </c>
    </row>
    <row r="367" spans="1:5" x14ac:dyDescent="0.3">
      <c r="A367" t="s">
        <v>21</v>
      </c>
      <c r="B367" t="s">
        <v>70</v>
      </c>
      <c r="C367" t="s">
        <v>269</v>
      </c>
      <c r="D367">
        <v>31532</v>
      </c>
      <c r="E367">
        <v>2</v>
      </c>
    </row>
    <row r="368" spans="1:5" x14ac:dyDescent="0.3">
      <c r="A368" t="s">
        <v>12</v>
      </c>
      <c r="B368" t="s">
        <v>116</v>
      </c>
      <c r="C368" t="s">
        <v>269</v>
      </c>
      <c r="D368">
        <v>32440</v>
      </c>
      <c r="E368">
        <v>0</v>
      </c>
    </row>
    <row r="369" spans="1:5" x14ac:dyDescent="0.3">
      <c r="A369" t="s">
        <v>21</v>
      </c>
      <c r="B369" t="s">
        <v>63</v>
      </c>
      <c r="C369" t="s">
        <v>269</v>
      </c>
      <c r="D369">
        <v>44619</v>
      </c>
      <c r="E369">
        <v>0</v>
      </c>
    </row>
    <row r="370" spans="1:5" x14ac:dyDescent="0.3">
      <c r="A370" t="s">
        <v>50</v>
      </c>
      <c r="B370" t="s">
        <v>270</v>
      </c>
      <c r="C370" t="s">
        <v>269</v>
      </c>
      <c r="D370">
        <v>19090</v>
      </c>
      <c r="E370">
        <v>5</v>
      </c>
    </row>
    <row r="371" spans="1:5" x14ac:dyDescent="0.3">
      <c r="A371" t="s">
        <v>10</v>
      </c>
      <c r="B371" t="s">
        <v>87</v>
      </c>
      <c r="C371" t="s">
        <v>269</v>
      </c>
      <c r="D371">
        <v>67224</v>
      </c>
      <c r="E371">
        <v>3</v>
      </c>
    </row>
    <row r="372" spans="1:5" x14ac:dyDescent="0.3">
      <c r="A372" t="s">
        <v>40</v>
      </c>
      <c r="B372" t="s">
        <v>141</v>
      </c>
      <c r="C372" t="s">
        <v>271</v>
      </c>
      <c r="D372">
        <v>84692</v>
      </c>
      <c r="E372">
        <v>6</v>
      </c>
    </row>
    <row r="373" spans="1:5" x14ac:dyDescent="0.3">
      <c r="A373" t="s">
        <v>10</v>
      </c>
      <c r="B373" t="s">
        <v>60</v>
      </c>
      <c r="C373" t="s">
        <v>271</v>
      </c>
      <c r="D373">
        <v>13245</v>
      </c>
      <c r="E373">
        <v>4</v>
      </c>
    </row>
    <row r="374" spans="1:5" x14ac:dyDescent="0.3">
      <c r="A374" t="s">
        <v>47</v>
      </c>
      <c r="B374" t="s">
        <v>69</v>
      </c>
      <c r="C374" t="s">
        <v>271</v>
      </c>
      <c r="D374">
        <v>43189</v>
      </c>
      <c r="E374">
        <v>5</v>
      </c>
    </row>
    <row r="375" spans="1:5" x14ac:dyDescent="0.3">
      <c r="A375" t="s">
        <v>14</v>
      </c>
      <c r="B375" t="s">
        <v>112</v>
      </c>
      <c r="C375" t="s">
        <v>271</v>
      </c>
      <c r="D375">
        <v>90296</v>
      </c>
      <c r="E375">
        <v>4</v>
      </c>
    </row>
    <row r="376" spans="1:5" x14ac:dyDescent="0.3">
      <c r="A376" t="s">
        <v>45</v>
      </c>
      <c r="B376" t="s">
        <v>268</v>
      </c>
      <c r="C376" t="s">
        <v>271</v>
      </c>
      <c r="D376">
        <v>24819</v>
      </c>
      <c r="E376">
        <v>9</v>
      </c>
    </row>
    <row r="377" spans="1:5" x14ac:dyDescent="0.3">
      <c r="A377" t="s">
        <v>8</v>
      </c>
      <c r="B377" t="s">
        <v>149</v>
      </c>
      <c r="C377" t="s">
        <v>271</v>
      </c>
      <c r="D377">
        <v>92407</v>
      </c>
      <c r="E377">
        <v>6</v>
      </c>
    </row>
    <row r="378" spans="1:5" x14ac:dyDescent="0.3">
      <c r="A378" t="s">
        <v>12</v>
      </c>
      <c r="B378" t="s">
        <v>202</v>
      </c>
      <c r="C378" t="s">
        <v>271</v>
      </c>
      <c r="D378">
        <v>51365</v>
      </c>
      <c r="E378">
        <v>3</v>
      </c>
    </row>
    <row r="379" spans="1:5" x14ac:dyDescent="0.3">
      <c r="A379" t="s">
        <v>40</v>
      </c>
      <c r="B379" t="s">
        <v>147</v>
      </c>
      <c r="C379" t="s">
        <v>271</v>
      </c>
      <c r="D379">
        <v>23301</v>
      </c>
      <c r="E379">
        <v>3</v>
      </c>
    </row>
    <row r="380" spans="1:5" x14ac:dyDescent="0.3">
      <c r="A380" t="s">
        <v>21</v>
      </c>
      <c r="B380" t="s">
        <v>103</v>
      </c>
      <c r="C380" t="s">
        <v>271</v>
      </c>
      <c r="D380">
        <v>89448</v>
      </c>
      <c r="E380">
        <v>7</v>
      </c>
    </row>
    <row r="381" spans="1:5" x14ac:dyDescent="0.3">
      <c r="A381" t="s">
        <v>8</v>
      </c>
      <c r="B381" t="s">
        <v>180</v>
      </c>
      <c r="C381" t="s">
        <v>271</v>
      </c>
      <c r="D381">
        <v>78728</v>
      </c>
      <c r="E381">
        <v>7</v>
      </c>
    </row>
    <row r="382" spans="1:5" x14ac:dyDescent="0.3">
      <c r="A382" t="s">
        <v>18</v>
      </c>
      <c r="B382" t="s">
        <v>58</v>
      </c>
      <c r="C382" t="s">
        <v>271</v>
      </c>
      <c r="D382">
        <v>56944</v>
      </c>
      <c r="E382">
        <v>10</v>
      </c>
    </row>
    <row r="383" spans="1:5" x14ac:dyDescent="0.3">
      <c r="A383" t="s">
        <v>47</v>
      </c>
      <c r="B383" t="s">
        <v>52</v>
      </c>
      <c r="C383" t="s">
        <v>271</v>
      </c>
      <c r="D383">
        <v>92404</v>
      </c>
      <c r="E383">
        <v>8</v>
      </c>
    </row>
    <row r="384" spans="1:5" x14ac:dyDescent="0.3">
      <c r="A384" t="s">
        <v>47</v>
      </c>
      <c r="B384" t="s">
        <v>17</v>
      </c>
      <c r="C384" t="s">
        <v>271</v>
      </c>
      <c r="D384">
        <v>78403</v>
      </c>
      <c r="E384">
        <v>9</v>
      </c>
    </row>
    <row r="385" spans="1:5" x14ac:dyDescent="0.3">
      <c r="A385" t="s">
        <v>18</v>
      </c>
      <c r="B385" t="s">
        <v>17</v>
      </c>
      <c r="C385" t="s">
        <v>271</v>
      </c>
      <c r="D385">
        <v>14250</v>
      </c>
      <c r="E385">
        <v>4</v>
      </c>
    </row>
    <row r="386" spans="1:5" x14ac:dyDescent="0.3">
      <c r="A386" t="s">
        <v>21</v>
      </c>
      <c r="B386" t="s">
        <v>174</v>
      </c>
      <c r="C386" t="s">
        <v>272</v>
      </c>
      <c r="D386">
        <v>62580</v>
      </c>
      <c r="E386">
        <v>4</v>
      </c>
    </row>
    <row r="387" spans="1:5" x14ac:dyDescent="0.3">
      <c r="A387" t="s">
        <v>14</v>
      </c>
      <c r="B387" t="s">
        <v>111</v>
      </c>
      <c r="C387" t="s">
        <v>272</v>
      </c>
      <c r="D387">
        <v>40136</v>
      </c>
      <c r="E387">
        <v>8</v>
      </c>
    </row>
    <row r="388" spans="1:5" x14ac:dyDescent="0.3">
      <c r="A388" t="s">
        <v>21</v>
      </c>
      <c r="B388" t="s">
        <v>169</v>
      </c>
      <c r="C388" t="s">
        <v>272</v>
      </c>
      <c r="D388">
        <v>26878</v>
      </c>
      <c r="E388">
        <v>8</v>
      </c>
    </row>
    <row r="389" spans="1:5" x14ac:dyDescent="0.3">
      <c r="A389" t="s">
        <v>14</v>
      </c>
      <c r="B389" t="s">
        <v>194</v>
      </c>
      <c r="C389" t="s">
        <v>272</v>
      </c>
      <c r="D389">
        <v>47743</v>
      </c>
      <c r="E389">
        <v>3</v>
      </c>
    </row>
    <row r="390" spans="1:5" x14ac:dyDescent="0.3">
      <c r="A390" t="s">
        <v>8</v>
      </c>
      <c r="B390" t="s">
        <v>273</v>
      </c>
      <c r="C390" t="s">
        <v>272</v>
      </c>
      <c r="D390">
        <v>74856</v>
      </c>
      <c r="E390">
        <v>3</v>
      </c>
    </row>
    <row r="391" spans="1:5" x14ac:dyDescent="0.3">
      <c r="A391" t="s">
        <v>28</v>
      </c>
      <c r="B391" t="s">
        <v>78</v>
      </c>
      <c r="C391" t="s">
        <v>274</v>
      </c>
      <c r="D391">
        <v>10099</v>
      </c>
      <c r="E391">
        <v>9</v>
      </c>
    </row>
    <row r="392" spans="1:5" x14ac:dyDescent="0.3">
      <c r="A392" t="s">
        <v>28</v>
      </c>
      <c r="B392" t="s">
        <v>84</v>
      </c>
      <c r="C392" t="s">
        <v>275</v>
      </c>
      <c r="D392">
        <v>25387</v>
      </c>
      <c r="E392">
        <v>8</v>
      </c>
    </row>
    <row r="393" spans="1:5" x14ac:dyDescent="0.3">
      <c r="A393" t="s">
        <v>21</v>
      </c>
      <c r="B393" t="s">
        <v>276</v>
      </c>
      <c r="C393" t="s">
        <v>275</v>
      </c>
      <c r="D393">
        <v>50442</v>
      </c>
      <c r="E393">
        <v>9</v>
      </c>
    </row>
    <row r="394" spans="1:5" x14ac:dyDescent="0.3">
      <c r="A394" t="s">
        <v>21</v>
      </c>
      <c r="B394" t="s">
        <v>277</v>
      </c>
      <c r="C394" t="s">
        <v>275</v>
      </c>
      <c r="D394">
        <v>67545</v>
      </c>
      <c r="E394">
        <v>4</v>
      </c>
    </row>
    <row r="395" spans="1:5" x14ac:dyDescent="0.3">
      <c r="A395" t="s">
        <v>50</v>
      </c>
      <c r="B395" t="s">
        <v>217</v>
      </c>
      <c r="C395" t="s">
        <v>275</v>
      </c>
      <c r="D395">
        <v>77803</v>
      </c>
      <c r="E395">
        <v>7</v>
      </c>
    </row>
    <row r="396" spans="1:5" x14ac:dyDescent="0.3">
      <c r="A396" t="s">
        <v>40</v>
      </c>
      <c r="B396" t="s">
        <v>76</v>
      </c>
      <c r="C396" t="s">
        <v>275</v>
      </c>
      <c r="D396">
        <v>53687</v>
      </c>
      <c r="E396">
        <v>9</v>
      </c>
    </row>
    <row r="397" spans="1:5" x14ac:dyDescent="0.3">
      <c r="A397" t="s">
        <v>8</v>
      </c>
      <c r="B397" t="s">
        <v>103</v>
      </c>
      <c r="C397" t="s">
        <v>278</v>
      </c>
      <c r="D397">
        <v>47832</v>
      </c>
      <c r="E397">
        <v>7</v>
      </c>
    </row>
    <row r="398" spans="1:5" x14ac:dyDescent="0.3">
      <c r="A398" t="s">
        <v>50</v>
      </c>
      <c r="B398" t="s">
        <v>279</v>
      </c>
      <c r="C398" t="s">
        <v>278</v>
      </c>
      <c r="D398">
        <v>73424</v>
      </c>
      <c r="E398">
        <v>4</v>
      </c>
    </row>
    <row r="399" spans="1:5" x14ac:dyDescent="0.3">
      <c r="A399" t="s">
        <v>5</v>
      </c>
      <c r="B399" t="s">
        <v>280</v>
      </c>
      <c r="C399" t="s">
        <v>278</v>
      </c>
      <c r="D399">
        <v>18996</v>
      </c>
      <c r="E399">
        <v>6</v>
      </c>
    </row>
    <row r="400" spans="1:5" x14ac:dyDescent="0.3">
      <c r="A400" t="s">
        <v>18</v>
      </c>
      <c r="B400" t="s">
        <v>231</v>
      </c>
      <c r="C400" t="s">
        <v>278</v>
      </c>
      <c r="D400">
        <v>31870</v>
      </c>
      <c r="E400">
        <v>8</v>
      </c>
    </row>
    <row r="401" spans="1:5" x14ac:dyDescent="0.3">
      <c r="A401" t="s">
        <v>18</v>
      </c>
      <c r="B401" t="s">
        <v>166</v>
      </c>
      <c r="C401" t="s">
        <v>278</v>
      </c>
      <c r="D401">
        <v>43964</v>
      </c>
      <c r="E401">
        <v>9</v>
      </c>
    </row>
    <row r="402" spans="1:5" x14ac:dyDescent="0.3">
      <c r="A402" t="s">
        <v>8</v>
      </c>
      <c r="B402" t="s">
        <v>90</v>
      </c>
      <c r="C402" t="s">
        <v>281</v>
      </c>
      <c r="D402">
        <v>37514</v>
      </c>
      <c r="E402">
        <v>7</v>
      </c>
    </row>
    <row r="403" spans="1:5" x14ac:dyDescent="0.3">
      <c r="A403" t="s">
        <v>50</v>
      </c>
      <c r="B403" t="s">
        <v>234</v>
      </c>
      <c r="C403" t="s">
        <v>281</v>
      </c>
      <c r="D403">
        <v>45363</v>
      </c>
      <c r="E403">
        <v>4</v>
      </c>
    </row>
    <row r="404" spans="1:5" x14ac:dyDescent="0.3">
      <c r="A404" t="s">
        <v>12</v>
      </c>
      <c r="B404" t="s">
        <v>244</v>
      </c>
      <c r="C404" t="s">
        <v>281</v>
      </c>
      <c r="D404">
        <v>67875</v>
      </c>
      <c r="E404">
        <v>9</v>
      </c>
    </row>
    <row r="405" spans="1:5" x14ac:dyDescent="0.3">
      <c r="A405" t="s">
        <v>40</v>
      </c>
      <c r="B405" t="s">
        <v>151</v>
      </c>
      <c r="C405" t="s">
        <v>281</v>
      </c>
      <c r="D405">
        <v>67919</v>
      </c>
      <c r="E405">
        <v>9</v>
      </c>
    </row>
    <row r="406" spans="1:5" x14ac:dyDescent="0.3">
      <c r="A406" t="s">
        <v>21</v>
      </c>
      <c r="B406" t="s">
        <v>282</v>
      </c>
      <c r="C406" t="s">
        <v>281</v>
      </c>
      <c r="D406">
        <v>64725</v>
      </c>
      <c r="E406">
        <v>8</v>
      </c>
    </row>
    <row r="407" spans="1:5" x14ac:dyDescent="0.3">
      <c r="A407" t="s">
        <v>14</v>
      </c>
      <c r="B407" t="s">
        <v>52</v>
      </c>
      <c r="C407" t="s">
        <v>281</v>
      </c>
      <c r="D407">
        <v>32174</v>
      </c>
      <c r="E407">
        <v>9</v>
      </c>
    </row>
    <row r="408" spans="1:5" x14ac:dyDescent="0.3">
      <c r="A408" t="s">
        <v>14</v>
      </c>
      <c r="B408" t="s">
        <v>110</v>
      </c>
      <c r="C408" t="s">
        <v>281</v>
      </c>
      <c r="D408">
        <v>81534</v>
      </c>
      <c r="E408">
        <v>8</v>
      </c>
    </row>
    <row r="409" spans="1:5" x14ac:dyDescent="0.3">
      <c r="A409" t="s">
        <v>14</v>
      </c>
      <c r="B409" t="s">
        <v>85</v>
      </c>
      <c r="C409" t="s">
        <v>281</v>
      </c>
      <c r="D409">
        <v>88440</v>
      </c>
      <c r="E409">
        <v>6</v>
      </c>
    </row>
    <row r="410" spans="1:5" x14ac:dyDescent="0.3">
      <c r="A410" t="s">
        <v>28</v>
      </c>
      <c r="B410" t="s">
        <v>95</v>
      </c>
      <c r="C410" t="s">
        <v>281</v>
      </c>
      <c r="D410">
        <v>79842</v>
      </c>
      <c r="E410">
        <v>7</v>
      </c>
    </row>
    <row r="411" spans="1:5" x14ac:dyDescent="0.3">
      <c r="A411" t="s">
        <v>50</v>
      </c>
      <c r="B411" t="s">
        <v>185</v>
      </c>
      <c r="C411" t="s">
        <v>281</v>
      </c>
      <c r="D411">
        <v>37199</v>
      </c>
      <c r="E411">
        <v>6</v>
      </c>
    </row>
    <row r="412" spans="1:5" x14ac:dyDescent="0.3">
      <c r="A412" t="s">
        <v>18</v>
      </c>
      <c r="B412" t="s">
        <v>101</v>
      </c>
      <c r="C412" t="s">
        <v>283</v>
      </c>
      <c r="D412">
        <v>66376</v>
      </c>
      <c r="E412">
        <v>7</v>
      </c>
    </row>
    <row r="413" spans="1:5" x14ac:dyDescent="0.3">
      <c r="A413" t="s">
        <v>45</v>
      </c>
      <c r="B413" t="s">
        <v>199</v>
      </c>
      <c r="C413" t="s">
        <v>283</v>
      </c>
      <c r="D413">
        <v>23053</v>
      </c>
      <c r="E413">
        <v>7</v>
      </c>
    </row>
    <row r="414" spans="1:5" x14ac:dyDescent="0.3">
      <c r="A414" t="s">
        <v>50</v>
      </c>
      <c r="B414" t="s">
        <v>284</v>
      </c>
      <c r="C414" t="s">
        <v>283</v>
      </c>
      <c r="D414">
        <v>77716</v>
      </c>
      <c r="E414">
        <v>7</v>
      </c>
    </row>
    <row r="415" spans="1:5" x14ac:dyDescent="0.3">
      <c r="A415" t="s">
        <v>12</v>
      </c>
      <c r="B415" t="s">
        <v>83</v>
      </c>
      <c r="C415" t="s">
        <v>285</v>
      </c>
      <c r="D415">
        <v>96088</v>
      </c>
      <c r="E415">
        <v>6</v>
      </c>
    </row>
    <row r="416" spans="1:5" x14ac:dyDescent="0.3">
      <c r="A416" t="s">
        <v>10</v>
      </c>
      <c r="B416" t="s">
        <v>67</v>
      </c>
      <c r="C416" t="s">
        <v>285</v>
      </c>
      <c r="D416">
        <v>68404</v>
      </c>
      <c r="E416">
        <v>7</v>
      </c>
    </row>
    <row r="417" spans="1:5" x14ac:dyDescent="0.3">
      <c r="A417" t="s">
        <v>45</v>
      </c>
      <c r="B417" t="s">
        <v>105</v>
      </c>
      <c r="C417" t="s">
        <v>285</v>
      </c>
      <c r="D417">
        <v>33898</v>
      </c>
      <c r="E417">
        <v>8</v>
      </c>
    </row>
    <row r="418" spans="1:5" x14ac:dyDescent="0.3">
      <c r="A418" t="s">
        <v>50</v>
      </c>
      <c r="B418" t="s">
        <v>209</v>
      </c>
      <c r="C418" t="s">
        <v>286</v>
      </c>
      <c r="D418">
        <v>36936</v>
      </c>
      <c r="E418">
        <v>5</v>
      </c>
    </row>
    <row r="419" spans="1:5" x14ac:dyDescent="0.3">
      <c r="A419" t="s">
        <v>50</v>
      </c>
      <c r="B419" t="s">
        <v>89</v>
      </c>
      <c r="C419" t="s">
        <v>286</v>
      </c>
      <c r="D419">
        <v>79744</v>
      </c>
      <c r="E419">
        <v>7</v>
      </c>
    </row>
    <row r="420" spans="1:5" x14ac:dyDescent="0.3">
      <c r="A420" t="s">
        <v>10</v>
      </c>
      <c r="B420" t="s">
        <v>81</v>
      </c>
      <c r="C420" t="s">
        <v>287</v>
      </c>
      <c r="D420">
        <v>38482</v>
      </c>
      <c r="E420">
        <v>8</v>
      </c>
    </row>
    <row r="421" spans="1:5" x14ac:dyDescent="0.3">
      <c r="A421" t="s">
        <v>21</v>
      </c>
      <c r="B421" t="s">
        <v>256</v>
      </c>
      <c r="C421" t="s">
        <v>288</v>
      </c>
      <c r="D421">
        <v>14979</v>
      </c>
      <c r="E421">
        <v>10</v>
      </c>
    </row>
    <row r="422" spans="1:5" x14ac:dyDescent="0.3">
      <c r="A422" t="s">
        <v>50</v>
      </c>
      <c r="B422" t="s">
        <v>85</v>
      </c>
      <c r="C422" t="s">
        <v>288</v>
      </c>
      <c r="D422">
        <v>50532</v>
      </c>
      <c r="E422">
        <v>4</v>
      </c>
    </row>
    <row r="423" spans="1:5" x14ac:dyDescent="0.3">
      <c r="A423" t="s">
        <v>14</v>
      </c>
      <c r="B423" t="s">
        <v>289</v>
      </c>
      <c r="C423" t="s">
        <v>288</v>
      </c>
      <c r="D423">
        <v>59760</v>
      </c>
      <c r="E423">
        <v>7</v>
      </c>
    </row>
    <row r="424" spans="1:5" x14ac:dyDescent="0.3">
      <c r="A424" t="s">
        <v>5</v>
      </c>
      <c r="B424" t="s">
        <v>116</v>
      </c>
      <c r="C424" t="s">
        <v>288</v>
      </c>
      <c r="D424">
        <v>35275</v>
      </c>
      <c r="E424">
        <v>6</v>
      </c>
    </row>
    <row r="425" spans="1:5" x14ac:dyDescent="0.3">
      <c r="A425" t="s">
        <v>45</v>
      </c>
      <c r="B425" t="s">
        <v>101</v>
      </c>
      <c r="C425" t="s">
        <v>288</v>
      </c>
      <c r="D425">
        <v>96328</v>
      </c>
      <c r="E425">
        <v>5</v>
      </c>
    </row>
    <row r="426" spans="1:5" x14ac:dyDescent="0.3">
      <c r="A426" t="s">
        <v>50</v>
      </c>
      <c r="B426" t="s">
        <v>290</v>
      </c>
      <c r="C426" t="s">
        <v>288</v>
      </c>
      <c r="D426">
        <v>57850</v>
      </c>
      <c r="E426">
        <v>9</v>
      </c>
    </row>
    <row r="427" spans="1:5" x14ac:dyDescent="0.3">
      <c r="A427" t="s">
        <v>47</v>
      </c>
      <c r="B427" t="s">
        <v>279</v>
      </c>
      <c r="C427" t="s">
        <v>288</v>
      </c>
      <c r="D427">
        <v>86060</v>
      </c>
      <c r="E427">
        <v>7</v>
      </c>
    </row>
    <row r="428" spans="1:5" x14ac:dyDescent="0.3">
      <c r="A428" t="s">
        <v>18</v>
      </c>
      <c r="B428" t="s">
        <v>221</v>
      </c>
      <c r="C428" t="s">
        <v>288</v>
      </c>
      <c r="D428">
        <v>29679</v>
      </c>
      <c r="E428">
        <v>3</v>
      </c>
    </row>
    <row r="429" spans="1:5" x14ac:dyDescent="0.3">
      <c r="A429" t="s">
        <v>47</v>
      </c>
      <c r="B429" t="s">
        <v>291</v>
      </c>
      <c r="C429" t="s">
        <v>288</v>
      </c>
      <c r="D429">
        <v>14024</v>
      </c>
      <c r="E429">
        <v>7</v>
      </c>
    </row>
    <row r="430" spans="1:5" x14ac:dyDescent="0.3">
      <c r="A430" t="s">
        <v>40</v>
      </c>
      <c r="B430" t="s">
        <v>103</v>
      </c>
      <c r="C430" t="s">
        <v>292</v>
      </c>
      <c r="D430">
        <v>10790</v>
      </c>
      <c r="E430">
        <v>5</v>
      </c>
    </row>
    <row r="431" spans="1:5" x14ac:dyDescent="0.3">
      <c r="A431" t="s">
        <v>14</v>
      </c>
      <c r="B431" t="s">
        <v>186</v>
      </c>
      <c r="C431" t="s">
        <v>292</v>
      </c>
      <c r="D431">
        <v>76735</v>
      </c>
      <c r="E431">
        <v>7</v>
      </c>
    </row>
    <row r="432" spans="1:5" x14ac:dyDescent="0.3">
      <c r="A432" t="s">
        <v>5</v>
      </c>
      <c r="B432" t="s">
        <v>65</v>
      </c>
      <c r="C432" t="s">
        <v>292</v>
      </c>
      <c r="D432">
        <v>83144</v>
      </c>
      <c r="E432">
        <v>5</v>
      </c>
    </row>
    <row r="433" spans="1:5" x14ac:dyDescent="0.3">
      <c r="A433" t="s">
        <v>12</v>
      </c>
      <c r="B433" t="s">
        <v>19</v>
      </c>
      <c r="C433" t="s">
        <v>292</v>
      </c>
      <c r="D433">
        <v>95191</v>
      </c>
      <c r="E433">
        <v>8</v>
      </c>
    </row>
    <row r="434" spans="1:5" x14ac:dyDescent="0.3">
      <c r="A434" t="s">
        <v>14</v>
      </c>
      <c r="B434" t="s">
        <v>227</v>
      </c>
      <c r="C434" t="s">
        <v>293</v>
      </c>
      <c r="D434">
        <v>33239</v>
      </c>
      <c r="E434">
        <v>8</v>
      </c>
    </row>
    <row r="435" spans="1:5" x14ac:dyDescent="0.3">
      <c r="A435" t="s">
        <v>14</v>
      </c>
      <c r="B435" t="s">
        <v>171</v>
      </c>
      <c r="C435" t="s">
        <v>293</v>
      </c>
      <c r="D435">
        <v>95312</v>
      </c>
      <c r="E435">
        <v>8</v>
      </c>
    </row>
    <row r="436" spans="1:5" x14ac:dyDescent="0.3">
      <c r="A436" t="s">
        <v>12</v>
      </c>
      <c r="B436" t="s">
        <v>105</v>
      </c>
      <c r="C436" t="s">
        <v>293</v>
      </c>
      <c r="D436">
        <v>66146</v>
      </c>
      <c r="E436">
        <v>4</v>
      </c>
    </row>
    <row r="437" spans="1:5" x14ac:dyDescent="0.3">
      <c r="A437" t="s">
        <v>8</v>
      </c>
      <c r="B437" t="s">
        <v>193</v>
      </c>
      <c r="C437" t="s">
        <v>293</v>
      </c>
      <c r="D437">
        <v>37501</v>
      </c>
      <c r="E437">
        <v>6</v>
      </c>
    </row>
    <row r="438" spans="1:5" x14ac:dyDescent="0.3">
      <c r="A438" t="s">
        <v>18</v>
      </c>
      <c r="B438" t="s">
        <v>221</v>
      </c>
      <c r="C438" t="s">
        <v>294</v>
      </c>
      <c r="D438">
        <v>14600</v>
      </c>
      <c r="E438">
        <v>7</v>
      </c>
    </row>
    <row r="439" spans="1:5" x14ac:dyDescent="0.3">
      <c r="A439" t="s">
        <v>21</v>
      </c>
      <c r="B439" t="s">
        <v>251</v>
      </c>
      <c r="C439" t="s">
        <v>294</v>
      </c>
      <c r="D439">
        <v>89143</v>
      </c>
      <c r="E439">
        <v>6</v>
      </c>
    </row>
    <row r="440" spans="1:5" x14ac:dyDescent="0.3">
      <c r="A440" t="s">
        <v>12</v>
      </c>
      <c r="B440" t="s">
        <v>49</v>
      </c>
      <c r="C440" t="s">
        <v>294</v>
      </c>
      <c r="D440">
        <v>50587</v>
      </c>
      <c r="E440">
        <v>0</v>
      </c>
    </row>
    <row r="441" spans="1:5" x14ac:dyDescent="0.3">
      <c r="A441" t="s">
        <v>12</v>
      </c>
      <c r="B441" t="s">
        <v>162</v>
      </c>
      <c r="C441" t="s">
        <v>294</v>
      </c>
      <c r="D441">
        <v>65729</v>
      </c>
      <c r="E441">
        <v>4</v>
      </c>
    </row>
    <row r="442" spans="1:5" x14ac:dyDescent="0.3">
      <c r="A442" t="s">
        <v>47</v>
      </c>
      <c r="B442" t="s">
        <v>78</v>
      </c>
      <c r="C442" t="s">
        <v>294</v>
      </c>
      <c r="D442">
        <v>36182</v>
      </c>
      <c r="E442">
        <v>7</v>
      </c>
    </row>
    <row r="443" spans="1:5" x14ac:dyDescent="0.3">
      <c r="A443" t="s">
        <v>18</v>
      </c>
      <c r="B443" t="s">
        <v>35</v>
      </c>
      <c r="C443" t="s">
        <v>295</v>
      </c>
      <c r="D443">
        <v>80965</v>
      </c>
      <c r="E443">
        <v>10</v>
      </c>
    </row>
    <row r="444" spans="1:5" x14ac:dyDescent="0.3">
      <c r="A444" t="s">
        <v>40</v>
      </c>
      <c r="B444" t="s">
        <v>116</v>
      </c>
      <c r="C444" t="s">
        <v>295</v>
      </c>
      <c r="D444">
        <v>99254</v>
      </c>
      <c r="E444">
        <v>0</v>
      </c>
    </row>
    <row r="445" spans="1:5" x14ac:dyDescent="0.3">
      <c r="A445" t="s">
        <v>10</v>
      </c>
      <c r="B445" t="s">
        <v>105</v>
      </c>
      <c r="C445" t="s">
        <v>295</v>
      </c>
      <c r="D445">
        <v>17683</v>
      </c>
      <c r="E445">
        <v>1</v>
      </c>
    </row>
    <row r="446" spans="1:5" x14ac:dyDescent="0.3">
      <c r="A446" t="s">
        <v>50</v>
      </c>
      <c r="B446" t="s">
        <v>9</v>
      </c>
      <c r="C446" t="s">
        <v>296</v>
      </c>
      <c r="D446">
        <v>78176</v>
      </c>
      <c r="E446">
        <v>6</v>
      </c>
    </row>
    <row r="447" spans="1:5" x14ac:dyDescent="0.3">
      <c r="A447" t="s">
        <v>5</v>
      </c>
      <c r="B447" t="s">
        <v>111</v>
      </c>
      <c r="C447" t="s">
        <v>296</v>
      </c>
      <c r="D447">
        <v>68888</v>
      </c>
      <c r="E447">
        <v>2</v>
      </c>
    </row>
    <row r="448" spans="1:5" x14ac:dyDescent="0.3">
      <c r="A448" t="s">
        <v>28</v>
      </c>
      <c r="B448" t="s">
        <v>180</v>
      </c>
      <c r="C448" t="s">
        <v>296</v>
      </c>
      <c r="D448">
        <v>99856</v>
      </c>
      <c r="E448">
        <v>6</v>
      </c>
    </row>
    <row r="449" spans="1:5" x14ac:dyDescent="0.3">
      <c r="A449" t="s">
        <v>47</v>
      </c>
      <c r="B449" t="s">
        <v>140</v>
      </c>
      <c r="C449" t="s">
        <v>296</v>
      </c>
      <c r="D449">
        <v>93573</v>
      </c>
      <c r="E449">
        <v>0</v>
      </c>
    </row>
    <row r="450" spans="1:5" x14ac:dyDescent="0.3">
      <c r="A450" t="s">
        <v>21</v>
      </c>
      <c r="B450" t="s">
        <v>92</v>
      </c>
      <c r="C450" t="s">
        <v>296</v>
      </c>
      <c r="D450">
        <v>44472</v>
      </c>
      <c r="E450">
        <v>8</v>
      </c>
    </row>
    <row r="451" spans="1:5" x14ac:dyDescent="0.3">
      <c r="A451" t="s">
        <v>10</v>
      </c>
      <c r="B451" t="s">
        <v>6</v>
      </c>
      <c r="C451" t="s">
        <v>296</v>
      </c>
      <c r="D451">
        <v>36012</v>
      </c>
      <c r="E451">
        <v>6</v>
      </c>
    </row>
    <row r="452" spans="1:5" x14ac:dyDescent="0.3">
      <c r="A452" t="s">
        <v>40</v>
      </c>
      <c r="B452" t="s">
        <v>247</v>
      </c>
      <c r="C452" t="s">
        <v>296</v>
      </c>
      <c r="D452">
        <v>69905</v>
      </c>
      <c r="E452">
        <v>7</v>
      </c>
    </row>
    <row r="453" spans="1:5" x14ac:dyDescent="0.3">
      <c r="A453" t="s">
        <v>14</v>
      </c>
      <c r="B453" t="s">
        <v>297</v>
      </c>
      <c r="C453" t="s">
        <v>296</v>
      </c>
      <c r="D453">
        <v>43049</v>
      </c>
      <c r="E453">
        <v>6</v>
      </c>
    </row>
    <row r="454" spans="1:5" x14ac:dyDescent="0.3">
      <c r="A454" t="s">
        <v>10</v>
      </c>
      <c r="B454" t="s">
        <v>193</v>
      </c>
      <c r="C454" t="s">
        <v>296</v>
      </c>
      <c r="D454">
        <v>86086</v>
      </c>
      <c r="E454">
        <v>7</v>
      </c>
    </row>
    <row r="455" spans="1:5" x14ac:dyDescent="0.3">
      <c r="A455" t="s">
        <v>21</v>
      </c>
      <c r="B455" t="s">
        <v>65</v>
      </c>
      <c r="C455" t="s">
        <v>296</v>
      </c>
      <c r="D455">
        <v>42224</v>
      </c>
      <c r="E455">
        <v>4</v>
      </c>
    </row>
    <row r="456" spans="1:5" x14ac:dyDescent="0.3">
      <c r="A456" t="s">
        <v>28</v>
      </c>
      <c r="B456" t="s">
        <v>119</v>
      </c>
      <c r="C456" t="s">
        <v>296</v>
      </c>
      <c r="D456">
        <v>50368</v>
      </c>
      <c r="E456">
        <v>9</v>
      </c>
    </row>
    <row r="457" spans="1:5" x14ac:dyDescent="0.3">
      <c r="A457" t="s">
        <v>10</v>
      </c>
      <c r="B457" t="s">
        <v>221</v>
      </c>
      <c r="C457" t="s">
        <v>298</v>
      </c>
      <c r="D457">
        <v>17020</v>
      </c>
      <c r="E457">
        <v>6</v>
      </c>
    </row>
    <row r="458" spans="1:5" x14ac:dyDescent="0.3">
      <c r="A458" t="s">
        <v>40</v>
      </c>
      <c r="B458" t="s">
        <v>221</v>
      </c>
      <c r="C458" t="s">
        <v>298</v>
      </c>
      <c r="D458">
        <v>91028</v>
      </c>
      <c r="E458">
        <v>5</v>
      </c>
    </row>
    <row r="459" spans="1:5" x14ac:dyDescent="0.3">
      <c r="A459" t="s">
        <v>8</v>
      </c>
      <c r="B459" t="s">
        <v>289</v>
      </c>
      <c r="C459" t="s">
        <v>299</v>
      </c>
      <c r="D459">
        <v>14081</v>
      </c>
      <c r="E459">
        <v>6</v>
      </c>
    </row>
    <row r="460" spans="1:5" x14ac:dyDescent="0.3">
      <c r="A460" t="s">
        <v>50</v>
      </c>
      <c r="B460" t="s">
        <v>300</v>
      </c>
      <c r="C460" t="s">
        <v>299</v>
      </c>
      <c r="D460">
        <v>69384</v>
      </c>
      <c r="E460">
        <v>9</v>
      </c>
    </row>
    <row r="461" spans="1:5" x14ac:dyDescent="0.3">
      <c r="A461" t="s">
        <v>47</v>
      </c>
      <c r="B461" t="s">
        <v>37</v>
      </c>
      <c r="C461" t="s">
        <v>299</v>
      </c>
      <c r="D461">
        <v>75942</v>
      </c>
      <c r="E461">
        <v>10</v>
      </c>
    </row>
    <row r="462" spans="1:5" x14ac:dyDescent="0.3">
      <c r="A462" t="s">
        <v>40</v>
      </c>
      <c r="B462" t="s">
        <v>25</v>
      </c>
      <c r="C462" t="s">
        <v>301</v>
      </c>
      <c r="D462">
        <v>54915</v>
      </c>
      <c r="E462">
        <v>5</v>
      </c>
    </row>
    <row r="463" spans="1:5" x14ac:dyDescent="0.3">
      <c r="A463" t="s">
        <v>10</v>
      </c>
      <c r="B463" t="s">
        <v>302</v>
      </c>
      <c r="C463" t="s">
        <v>301</v>
      </c>
      <c r="D463">
        <v>86388</v>
      </c>
      <c r="E463">
        <v>9</v>
      </c>
    </row>
    <row r="464" spans="1:5" x14ac:dyDescent="0.3">
      <c r="A464" t="s">
        <v>40</v>
      </c>
      <c r="B464" t="s">
        <v>37</v>
      </c>
      <c r="C464" t="s">
        <v>301</v>
      </c>
      <c r="D464">
        <v>76169</v>
      </c>
      <c r="E464">
        <v>6</v>
      </c>
    </row>
    <row r="465" spans="1:5" x14ac:dyDescent="0.3">
      <c r="A465" t="s">
        <v>21</v>
      </c>
      <c r="B465" t="s">
        <v>77</v>
      </c>
      <c r="C465" t="s">
        <v>303</v>
      </c>
      <c r="D465">
        <v>24977</v>
      </c>
      <c r="E465">
        <v>8</v>
      </c>
    </row>
    <row r="466" spans="1:5" x14ac:dyDescent="0.3">
      <c r="A466" t="s">
        <v>18</v>
      </c>
      <c r="B466" t="s">
        <v>107</v>
      </c>
      <c r="C466" t="s">
        <v>303</v>
      </c>
      <c r="D466">
        <v>16122</v>
      </c>
      <c r="E466">
        <v>4</v>
      </c>
    </row>
    <row r="467" spans="1:5" x14ac:dyDescent="0.3">
      <c r="A467" t="s">
        <v>50</v>
      </c>
      <c r="B467" t="s">
        <v>49</v>
      </c>
      <c r="C467" t="s">
        <v>303</v>
      </c>
      <c r="D467">
        <v>98082</v>
      </c>
      <c r="E467">
        <v>3</v>
      </c>
    </row>
    <row r="468" spans="1:5" x14ac:dyDescent="0.3">
      <c r="A468" t="s">
        <v>18</v>
      </c>
      <c r="B468" t="s">
        <v>291</v>
      </c>
      <c r="C468" t="s">
        <v>303</v>
      </c>
      <c r="D468">
        <v>13527</v>
      </c>
      <c r="E468">
        <v>7</v>
      </c>
    </row>
    <row r="469" spans="1:5" x14ac:dyDescent="0.3">
      <c r="A469" t="s">
        <v>5</v>
      </c>
      <c r="B469" t="s">
        <v>52</v>
      </c>
      <c r="C469" t="s">
        <v>304</v>
      </c>
      <c r="D469">
        <v>95539</v>
      </c>
      <c r="E469">
        <v>6</v>
      </c>
    </row>
    <row r="470" spans="1:5" x14ac:dyDescent="0.3">
      <c r="A470" t="s">
        <v>47</v>
      </c>
      <c r="B470" t="s">
        <v>41</v>
      </c>
      <c r="C470" t="s">
        <v>304</v>
      </c>
      <c r="D470">
        <v>77564</v>
      </c>
      <c r="E470">
        <v>5</v>
      </c>
    </row>
    <row r="471" spans="1:5" x14ac:dyDescent="0.3">
      <c r="A471" t="s">
        <v>12</v>
      </c>
      <c r="B471" t="s">
        <v>115</v>
      </c>
      <c r="C471" t="s">
        <v>304</v>
      </c>
      <c r="D471">
        <v>82385</v>
      </c>
      <c r="E471">
        <v>8</v>
      </c>
    </row>
    <row r="472" spans="1:5" x14ac:dyDescent="0.3">
      <c r="A472" t="s">
        <v>14</v>
      </c>
      <c r="B472" t="s">
        <v>119</v>
      </c>
      <c r="C472" t="s">
        <v>304</v>
      </c>
      <c r="D472">
        <v>51464</v>
      </c>
      <c r="E472">
        <v>9</v>
      </c>
    </row>
    <row r="473" spans="1:5" x14ac:dyDescent="0.3">
      <c r="A473" t="s">
        <v>28</v>
      </c>
      <c r="B473" t="s">
        <v>290</v>
      </c>
      <c r="C473" t="s">
        <v>304</v>
      </c>
      <c r="D473">
        <v>39522</v>
      </c>
      <c r="E473">
        <v>7</v>
      </c>
    </row>
    <row r="474" spans="1:5" x14ac:dyDescent="0.3">
      <c r="A474" t="s">
        <v>21</v>
      </c>
      <c r="B474" t="s">
        <v>305</v>
      </c>
      <c r="C474" t="s">
        <v>304</v>
      </c>
      <c r="D474">
        <v>27764</v>
      </c>
      <c r="E474">
        <v>2</v>
      </c>
    </row>
    <row r="475" spans="1:5" x14ac:dyDescent="0.3">
      <c r="A475" t="s">
        <v>10</v>
      </c>
      <c r="B475" t="s">
        <v>191</v>
      </c>
      <c r="C475" t="s">
        <v>304</v>
      </c>
      <c r="D475">
        <v>15965</v>
      </c>
      <c r="E475">
        <v>0</v>
      </c>
    </row>
    <row r="476" spans="1:5" x14ac:dyDescent="0.3">
      <c r="A476" t="s">
        <v>28</v>
      </c>
      <c r="B476" t="s">
        <v>191</v>
      </c>
      <c r="C476" t="s">
        <v>304</v>
      </c>
      <c r="D476">
        <v>10559</v>
      </c>
      <c r="E476">
        <v>5</v>
      </c>
    </row>
    <row r="477" spans="1:5" x14ac:dyDescent="0.3">
      <c r="A477" t="s">
        <v>21</v>
      </c>
      <c r="B477" t="s">
        <v>11</v>
      </c>
      <c r="C477" t="s">
        <v>306</v>
      </c>
      <c r="D477">
        <v>54188</v>
      </c>
      <c r="E477">
        <v>10</v>
      </c>
    </row>
    <row r="478" spans="1:5" x14ac:dyDescent="0.3">
      <c r="A478" t="s">
        <v>10</v>
      </c>
      <c r="B478" t="s">
        <v>61</v>
      </c>
      <c r="C478" t="s">
        <v>307</v>
      </c>
      <c r="D478">
        <v>74640</v>
      </c>
      <c r="E478">
        <v>1</v>
      </c>
    </row>
    <row r="479" spans="1:5" x14ac:dyDescent="0.3">
      <c r="A479" t="s">
        <v>10</v>
      </c>
      <c r="B479" t="s">
        <v>105</v>
      </c>
      <c r="C479" t="s">
        <v>307</v>
      </c>
      <c r="D479">
        <v>26918</v>
      </c>
      <c r="E479">
        <v>6</v>
      </c>
    </row>
    <row r="480" spans="1:5" x14ac:dyDescent="0.3">
      <c r="A480" t="s">
        <v>40</v>
      </c>
      <c r="B480" t="s">
        <v>112</v>
      </c>
      <c r="C480" t="s">
        <v>308</v>
      </c>
      <c r="D480">
        <v>47812</v>
      </c>
      <c r="E480">
        <v>7</v>
      </c>
    </row>
    <row r="481" spans="1:5" x14ac:dyDescent="0.3">
      <c r="A481" t="s">
        <v>28</v>
      </c>
      <c r="B481" t="s">
        <v>205</v>
      </c>
      <c r="C481" t="s">
        <v>308</v>
      </c>
      <c r="D481">
        <v>20136</v>
      </c>
      <c r="E481">
        <v>4</v>
      </c>
    </row>
    <row r="482" spans="1:5" x14ac:dyDescent="0.3">
      <c r="A482" t="s">
        <v>50</v>
      </c>
      <c r="B482" t="s">
        <v>174</v>
      </c>
      <c r="C482" t="s">
        <v>308</v>
      </c>
      <c r="D482">
        <v>92036</v>
      </c>
      <c r="E482">
        <v>6</v>
      </c>
    </row>
    <row r="483" spans="1:5" x14ac:dyDescent="0.3">
      <c r="A483" t="s">
        <v>50</v>
      </c>
      <c r="B483" t="s">
        <v>124</v>
      </c>
      <c r="C483" t="s">
        <v>308</v>
      </c>
      <c r="D483">
        <v>95532</v>
      </c>
      <c r="E483">
        <v>4</v>
      </c>
    </row>
    <row r="484" spans="1:5" x14ac:dyDescent="0.3">
      <c r="A484" t="s">
        <v>45</v>
      </c>
      <c r="B484" t="s">
        <v>300</v>
      </c>
      <c r="C484" t="s">
        <v>309</v>
      </c>
      <c r="D484">
        <v>17994</v>
      </c>
      <c r="E484">
        <v>8</v>
      </c>
    </row>
    <row r="485" spans="1:5" x14ac:dyDescent="0.3">
      <c r="A485" t="s">
        <v>21</v>
      </c>
      <c r="B485" t="s">
        <v>24</v>
      </c>
      <c r="C485" t="s">
        <v>309</v>
      </c>
      <c r="D485">
        <v>81897</v>
      </c>
      <c r="E485">
        <v>7</v>
      </c>
    </row>
    <row r="486" spans="1:5" x14ac:dyDescent="0.3">
      <c r="A486" t="s">
        <v>50</v>
      </c>
      <c r="B486" t="s">
        <v>51</v>
      </c>
      <c r="C486" t="s">
        <v>310</v>
      </c>
      <c r="D486">
        <v>80002</v>
      </c>
      <c r="E486">
        <v>7</v>
      </c>
    </row>
    <row r="487" spans="1:5" x14ac:dyDescent="0.3">
      <c r="A487" t="s">
        <v>45</v>
      </c>
      <c r="B487" t="s">
        <v>311</v>
      </c>
      <c r="C487" t="s">
        <v>310</v>
      </c>
      <c r="D487">
        <v>59515</v>
      </c>
      <c r="E487">
        <v>3</v>
      </c>
    </row>
    <row r="488" spans="1:5" x14ac:dyDescent="0.3">
      <c r="A488" t="s">
        <v>8</v>
      </c>
      <c r="B488" t="s">
        <v>95</v>
      </c>
      <c r="C488" t="s">
        <v>310</v>
      </c>
      <c r="D488">
        <v>23812</v>
      </c>
      <c r="E488">
        <v>2</v>
      </c>
    </row>
    <row r="489" spans="1:5" x14ac:dyDescent="0.3">
      <c r="A489" t="s">
        <v>14</v>
      </c>
      <c r="B489" t="s">
        <v>217</v>
      </c>
      <c r="C489" t="s">
        <v>310</v>
      </c>
      <c r="D489">
        <v>71850</v>
      </c>
      <c r="E489">
        <v>10</v>
      </c>
    </row>
    <row r="490" spans="1:5" x14ac:dyDescent="0.3">
      <c r="A490" t="s">
        <v>45</v>
      </c>
      <c r="B490" t="s">
        <v>124</v>
      </c>
      <c r="C490" t="s">
        <v>310</v>
      </c>
      <c r="D490">
        <v>11783</v>
      </c>
      <c r="E490">
        <v>9</v>
      </c>
    </row>
    <row r="491" spans="1:5" x14ac:dyDescent="0.3">
      <c r="A491" t="s">
        <v>45</v>
      </c>
      <c r="B491" t="s">
        <v>54</v>
      </c>
      <c r="C491" t="s">
        <v>310</v>
      </c>
      <c r="D491">
        <v>33318</v>
      </c>
      <c r="E491">
        <v>8</v>
      </c>
    </row>
    <row r="492" spans="1:5" x14ac:dyDescent="0.3">
      <c r="A492" t="s">
        <v>47</v>
      </c>
      <c r="B492" t="s">
        <v>152</v>
      </c>
      <c r="C492" t="s">
        <v>310</v>
      </c>
      <c r="D492">
        <v>66555</v>
      </c>
      <c r="E492">
        <v>8</v>
      </c>
    </row>
    <row r="493" spans="1:5" x14ac:dyDescent="0.3">
      <c r="A493" t="s">
        <v>40</v>
      </c>
      <c r="B493" t="s">
        <v>103</v>
      </c>
      <c r="C493" t="s">
        <v>310</v>
      </c>
      <c r="D493">
        <v>60323</v>
      </c>
      <c r="E493">
        <v>6</v>
      </c>
    </row>
    <row r="494" spans="1:5" x14ac:dyDescent="0.3">
      <c r="A494" t="s">
        <v>40</v>
      </c>
      <c r="B494" t="s">
        <v>312</v>
      </c>
      <c r="C494" t="s">
        <v>310</v>
      </c>
      <c r="D494">
        <v>60275</v>
      </c>
      <c r="E494">
        <v>9</v>
      </c>
    </row>
    <row r="495" spans="1:5" x14ac:dyDescent="0.3">
      <c r="A495" t="s">
        <v>12</v>
      </c>
      <c r="B495" t="s">
        <v>209</v>
      </c>
      <c r="C495" t="s">
        <v>313</v>
      </c>
      <c r="D495">
        <v>33092</v>
      </c>
      <c r="E495">
        <v>1</v>
      </c>
    </row>
    <row r="496" spans="1:5" x14ac:dyDescent="0.3">
      <c r="A496" t="s">
        <v>47</v>
      </c>
      <c r="B496" t="s">
        <v>72</v>
      </c>
      <c r="C496" t="s">
        <v>313</v>
      </c>
      <c r="D496">
        <v>76626</v>
      </c>
      <c r="E496">
        <v>7</v>
      </c>
    </row>
    <row r="497" spans="1:5" x14ac:dyDescent="0.3">
      <c r="A497" t="s">
        <v>18</v>
      </c>
      <c r="B497" t="s">
        <v>71</v>
      </c>
      <c r="C497" t="s">
        <v>313</v>
      </c>
      <c r="D497">
        <v>28821</v>
      </c>
      <c r="E497">
        <v>4</v>
      </c>
    </row>
    <row r="498" spans="1:5" x14ac:dyDescent="0.3">
      <c r="A498" t="s">
        <v>47</v>
      </c>
      <c r="B498" t="s">
        <v>217</v>
      </c>
      <c r="C498" t="s">
        <v>313</v>
      </c>
      <c r="D498">
        <v>24681</v>
      </c>
      <c r="E498">
        <v>6</v>
      </c>
    </row>
    <row r="499" spans="1:5" x14ac:dyDescent="0.3">
      <c r="A499" t="s">
        <v>47</v>
      </c>
      <c r="B499" t="s">
        <v>146</v>
      </c>
      <c r="C499" t="s">
        <v>313</v>
      </c>
      <c r="D499">
        <v>78387</v>
      </c>
      <c r="E499">
        <v>7</v>
      </c>
    </row>
    <row r="500" spans="1:5" x14ac:dyDescent="0.3">
      <c r="A500" t="s">
        <v>8</v>
      </c>
      <c r="B500" t="s">
        <v>66</v>
      </c>
      <c r="C500" t="s">
        <v>313</v>
      </c>
      <c r="D500">
        <v>59864</v>
      </c>
      <c r="E500">
        <v>6</v>
      </c>
    </row>
    <row r="501" spans="1:5" x14ac:dyDescent="0.3">
      <c r="A501" t="s">
        <v>18</v>
      </c>
      <c r="B501" t="s">
        <v>127</v>
      </c>
      <c r="C501" t="s">
        <v>314</v>
      </c>
      <c r="D501">
        <v>73979</v>
      </c>
      <c r="E501">
        <v>9</v>
      </c>
    </row>
    <row r="502" spans="1:5" x14ac:dyDescent="0.3">
      <c r="A502" t="s">
        <v>47</v>
      </c>
      <c r="B502" t="s">
        <v>70</v>
      </c>
      <c r="C502" t="s">
        <v>314</v>
      </c>
      <c r="D502">
        <v>33776</v>
      </c>
      <c r="E502">
        <v>6</v>
      </c>
    </row>
    <row r="503" spans="1:5" x14ac:dyDescent="0.3">
      <c r="A503" t="s">
        <v>10</v>
      </c>
      <c r="B503" t="s">
        <v>315</v>
      </c>
      <c r="C503" t="s">
        <v>316</v>
      </c>
      <c r="D503">
        <v>38559</v>
      </c>
      <c r="E503">
        <v>10</v>
      </c>
    </row>
    <row r="504" spans="1:5" x14ac:dyDescent="0.3">
      <c r="A504" t="s">
        <v>12</v>
      </c>
      <c r="B504" t="s">
        <v>146</v>
      </c>
      <c r="C504" t="s">
        <v>317</v>
      </c>
      <c r="D504">
        <v>81999</v>
      </c>
      <c r="E504">
        <v>10</v>
      </c>
    </row>
    <row r="505" spans="1:5" x14ac:dyDescent="0.3">
      <c r="A505" t="s">
        <v>12</v>
      </c>
      <c r="B505" t="s">
        <v>191</v>
      </c>
      <c r="C505" t="s">
        <v>317</v>
      </c>
      <c r="D505">
        <v>26674</v>
      </c>
      <c r="E505">
        <v>6</v>
      </c>
    </row>
    <row r="506" spans="1:5" x14ac:dyDescent="0.3">
      <c r="A506" t="s">
        <v>12</v>
      </c>
      <c r="B506" t="s">
        <v>231</v>
      </c>
      <c r="C506" t="s">
        <v>317</v>
      </c>
      <c r="D506">
        <v>94925</v>
      </c>
      <c r="E506">
        <v>8</v>
      </c>
    </row>
    <row r="507" spans="1:5" x14ac:dyDescent="0.3">
      <c r="A507" t="s">
        <v>12</v>
      </c>
      <c r="B507" t="s">
        <v>92</v>
      </c>
      <c r="C507" t="s">
        <v>317</v>
      </c>
      <c r="D507">
        <v>99601</v>
      </c>
      <c r="E507">
        <v>3</v>
      </c>
    </row>
    <row r="508" spans="1:5" x14ac:dyDescent="0.3">
      <c r="A508" t="s">
        <v>50</v>
      </c>
      <c r="B508" t="s">
        <v>78</v>
      </c>
      <c r="C508" t="s">
        <v>317</v>
      </c>
      <c r="D508">
        <v>68462</v>
      </c>
      <c r="E508">
        <v>4</v>
      </c>
    </row>
    <row r="509" spans="1:5" x14ac:dyDescent="0.3">
      <c r="A509" t="s">
        <v>28</v>
      </c>
      <c r="B509" t="s">
        <v>81</v>
      </c>
      <c r="C509" t="s">
        <v>317</v>
      </c>
      <c r="D509">
        <v>52789</v>
      </c>
      <c r="E509">
        <v>7</v>
      </c>
    </row>
    <row r="510" spans="1:5" x14ac:dyDescent="0.3">
      <c r="A510" t="s">
        <v>8</v>
      </c>
      <c r="B510" t="s">
        <v>116</v>
      </c>
      <c r="C510" t="s">
        <v>317</v>
      </c>
      <c r="D510">
        <v>14865</v>
      </c>
      <c r="E510">
        <v>2</v>
      </c>
    </row>
    <row r="511" spans="1:5" x14ac:dyDescent="0.3">
      <c r="A511" t="s">
        <v>14</v>
      </c>
      <c r="B511" t="s">
        <v>122</v>
      </c>
      <c r="C511" t="s">
        <v>317</v>
      </c>
      <c r="D511">
        <v>13307</v>
      </c>
      <c r="E511">
        <v>9</v>
      </c>
    </row>
    <row r="512" spans="1:5" x14ac:dyDescent="0.3">
      <c r="A512" t="s">
        <v>50</v>
      </c>
      <c r="B512" t="s">
        <v>318</v>
      </c>
      <c r="C512" t="s">
        <v>317</v>
      </c>
      <c r="D512">
        <v>19686</v>
      </c>
      <c r="E512">
        <v>4</v>
      </c>
    </row>
    <row r="513" spans="1:5" x14ac:dyDescent="0.3">
      <c r="A513" t="s">
        <v>50</v>
      </c>
      <c r="B513" t="s">
        <v>13</v>
      </c>
      <c r="C513" t="s">
        <v>317</v>
      </c>
      <c r="D513">
        <v>89241</v>
      </c>
      <c r="E513">
        <v>9</v>
      </c>
    </row>
    <row r="514" spans="1:5" x14ac:dyDescent="0.3">
      <c r="A514" t="s">
        <v>10</v>
      </c>
      <c r="B514" t="s">
        <v>32</v>
      </c>
      <c r="C514" t="s">
        <v>319</v>
      </c>
      <c r="D514">
        <v>56582</v>
      </c>
      <c r="E514">
        <v>8</v>
      </c>
    </row>
    <row r="515" spans="1:5" x14ac:dyDescent="0.3">
      <c r="A515" t="s">
        <v>21</v>
      </c>
      <c r="B515" t="s">
        <v>146</v>
      </c>
      <c r="C515" t="s">
        <v>319</v>
      </c>
      <c r="D515">
        <v>22896</v>
      </c>
      <c r="E515">
        <v>7</v>
      </c>
    </row>
    <row r="516" spans="1:5" x14ac:dyDescent="0.3">
      <c r="A516" t="s">
        <v>40</v>
      </c>
      <c r="B516" t="s">
        <v>99</v>
      </c>
      <c r="C516" t="s">
        <v>320</v>
      </c>
      <c r="D516">
        <v>83410</v>
      </c>
      <c r="E516">
        <v>0</v>
      </c>
    </row>
    <row r="517" spans="1:5" x14ac:dyDescent="0.3">
      <c r="A517" t="s">
        <v>18</v>
      </c>
      <c r="B517" t="s">
        <v>315</v>
      </c>
      <c r="C517" t="s">
        <v>320</v>
      </c>
      <c r="D517">
        <v>53794</v>
      </c>
      <c r="E517">
        <v>8</v>
      </c>
    </row>
    <row r="518" spans="1:5" x14ac:dyDescent="0.3">
      <c r="A518" t="s">
        <v>10</v>
      </c>
      <c r="B518" t="s">
        <v>69</v>
      </c>
      <c r="C518" t="s">
        <v>321</v>
      </c>
      <c r="D518">
        <v>10504</v>
      </c>
      <c r="E518">
        <v>2</v>
      </c>
    </row>
    <row r="519" spans="1:5" x14ac:dyDescent="0.3">
      <c r="A519" t="s">
        <v>10</v>
      </c>
      <c r="B519" t="s">
        <v>190</v>
      </c>
      <c r="C519" t="s">
        <v>321</v>
      </c>
      <c r="D519">
        <v>21167</v>
      </c>
      <c r="E519">
        <v>4</v>
      </c>
    </row>
    <row r="520" spans="1:5" x14ac:dyDescent="0.3">
      <c r="A520" t="s">
        <v>50</v>
      </c>
      <c r="B520" t="s">
        <v>245</v>
      </c>
      <c r="C520" t="s">
        <v>321</v>
      </c>
      <c r="D520">
        <v>64638</v>
      </c>
      <c r="E520">
        <v>7</v>
      </c>
    </row>
    <row r="521" spans="1:5" x14ac:dyDescent="0.3">
      <c r="A521" t="s">
        <v>14</v>
      </c>
      <c r="B521" t="s">
        <v>199</v>
      </c>
      <c r="C521" t="s">
        <v>321</v>
      </c>
      <c r="D521">
        <v>42147</v>
      </c>
      <c r="E521">
        <v>7</v>
      </c>
    </row>
    <row r="522" spans="1:5" x14ac:dyDescent="0.3">
      <c r="A522" t="s">
        <v>14</v>
      </c>
      <c r="B522" t="s">
        <v>23</v>
      </c>
      <c r="C522" t="s">
        <v>322</v>
      </c>
      <c r="D522">
        <v>72274</v>
      </c>
      <c r="E522">
        <v>7</v>
      </c>
    </row>
    <row r="523" spans="1:5" x14ac:dyDescent="0.3">
      <c r="A523" t="s">
        <v>18</v>
      </c>
      <c r="B523" t="s">
        <v>22</v>
      </c>
      <c r="C523" t="s">
        <v>322</v>
      </c>
      <c r="D523">
        <v>86299</v>
      </c>
      <c r="E523">
        <v>6</v>
      </c>
    </row>
    <row r="524" spans="1:5" x14ac:dyDescent="0.3">
      <c r="A524" t="s">
        <v>40</v>
      </c>
      <c r="B524" t="s">
        <v>323</v>
      </c>
      <c r="C524" t="s">
        <v>322</v>
      </c>
      <c r="D524">
        <v>62670</v>
      </c>
      <c r="E524">
        <v>2</v>
      </c>
    </row>
    <row r="525" spans="1:5" x14ac:dyDescent="0.3">
      <c r="A525" t="s">
        <v>8</v>
      </c>
      <c r="B525" t="s">
        <v>217</v>
      </c>
      <c r="C525" t="s">
        <v>322</v>
      </c>
      <c r="D525">
        <v>21111</v>
      </c>
      <c r="E525">
        <v>9</v>
      </c>
    </row>
    <row r="526" spans="1:5" x14ac:dyDescent="0.3">
      <c r="A526" t="s">
        <v>5</v>
      </c>
      <c r="B526" t="s">
        <v>312</v>
      </c>
      <c r="C526" t="s">
        <v>322</v>
      </c>
      <c r="D526">
        <v>29978</v>
      </c>
      <c r="E526">
        <v>6</v>
      </c>
    </row>
    <row r="527" spans="1:5" x14ac:dyDescent="0.3">
      <c r="A527" t="s">
        <v>14</v>
      </c>
      <c r="B527" t="s">
        <v>324</v>
      </c>
      <c r="C527" t="s">
        <v>322</v>
      </c>
      <c r="D527">
        <v>50099</v>
      </c>
      <c r="E527">
        <v>8</v>
      </c>
    </row>
    <row r="528" spans="1:5" x14ac:dyDescent="0.3">
      <c r="A528" t="s">
        <v>8</v>
      </c>
      <c r="B528" t="s">
        <v>225</v>
      </c>
      <c r="C528" t="s">
        <v>325</v>
      </c>
      <c r="D528">
        <v>30222</v>
      </c>
      <c r="E528">
        <v>9</v>
      </c>
    </row>
    <row r="529" spans="1:5" x14ac:dyDescent="0.3">
      <c r="A529" t="s">
        <v>28</v>
      </c>
      <c r="B529" t="s">
        <v>183</v>
      </c>
      <c r="C529" t="s">
        <v>326</v>
      </c>
      <c r="D529">
        <v>21984</v>
      </c>
      <c r="E529">
        <v>1</v>
      </c>
    </row>
    <row r="530" spans="1:5" x14ac:dyDescent="0.3">
      <c r="A530" t="s">
        <v>18</v>
      </c>
      <c r="B530" t="s">
        <v>55</v>
      </c>
      <c r="C530" t="s">
        <v>326</v>
      </c>
      <c r="D530">
        <v>83025</v>
      </c>
      <c r="E530">
        <v>6</v>
      </c>
    </row>
    <row r="531" spans="1:5" x14ac:dyDescent="0.3">
      <c r="A531" t="s">
        <v>5</v>
      </c>
      <c r="B531" t="s">
        <v>69</v>
      </c>
      <c r="C531" t="s">
        <v>327</v>
      </c>
      <c r="D531">
        <v>66239</v>
      </c>
      <c r="E531">
        <v>6</v>
      </c>
    </row>
    <row r="532" spans="1:5" x14ac:dyDescent="0.3">
      <c r="A532" t="s">
        <v>40</v>
      </c>
      <c r="B532" t="s">
        <v>22</v>
      </c>
      <c r="C532" t="s">
        <v>327</v>
      </c>
      <c r="D532">
        <v>54250</v>
      </c>
      <c r="E532">
        <v>8</v>
      </c>
    </row>
    <row r="533" spans="1:5" x14ac:dyDescent="0.3">
      <c r="A533" t="s">
        <v>14</v>
      </c>
      <c r="B533" t="s">
        <v>168</v>
      </c>
      <c r="C533" t="s">
        <v>327</v>
      </c>
      <c r="D533">
        <v>24414</v>
      </c>
      <c r="E533">
        <v>6</v>
      </c>
    </row>
    <row r="534" spans="1:5" x14ac:dyDescent="0.3">
      <c r="A534" t="s">
        <v>28</v>
      </c>
      <c r="B534" t="s">
        <v>60</v>
      </c>
      <c r="C534" t="s">
        <v>328</v>
      </c>
      <c r="D534">
        <v>62312</v>
      </c>
      <c r="E534">
        <v>9</v>
      </c>
    </row>
    <row r="535" spans="1:5" x14ac:dyDescent="0.3">
      <c r="A535" t="s">
        <v>47</v>
      </c>
      <c r="B535" t="s">
        <v>83</v>
      </c>
      <c r="C535" t="s">
        <v>329</v>
      </c>
      <c r="D535">
        <v>47342</v>
      </c>
      <c r="E535">
        <v>9</v>
      </c>
    </row>
    <row r="536" spans="1:5" x14ac:dyDescent="0.3">
      <c r="A536" t="s">
        <v>14</v>
      </c>
      <c r="B536" t="s">
        <v>20</v>
      </c>
      <c r="C536" t="s">
        <v>329</v>
      </c>
      <c r="D536">
        <v>74464</v>
      </c>
      <c r="E536">
        <v>8</v>
      </c>
    </row>
    <row r="537" spans="1:5" x14ac:dyDescent="0.3">
      <c r="A537" t="s">
        <v>8</v>
      </c>
      <c r="B537" t="s">
        <v>150</v>
      </c>
      <c r="C537" t="s">
        <v>329</v>
      </c>
      <c r="D537">
        <v>30319</v>
      </c>
      <c r="E537">
        <v>9</v>
      </c>
    </row>
    <row r="538" spans="1:5" x14ac:dyDescent="0.3">
      <c r="A538" t="s">
        <v>10</v>
      </c>
      <c r="B538" t="s">
        <v>126</v>
      </c>
      <c r="C538" t="s">
        <v>329</v>
      </c>
      <c r="D538">
        <v>61185</v>
      </c>
      <c r="E538">
        <v>7</v>
      </c>
    </row>
    <row r="539" spans="1:5" x14ac:dyDescent="0.3">
      <c r="A539" t="s">
        <v>47</v>
      </c>
      <c r="B539" t="s">
        <v>232</v>
      </c>
      <c r="C539" t="s">
        <v>329</v>
      </c>
      <c r="D539">
        <v>48746</v>
      </c>
      <c r="E539">
        <v>9</v>
      </c>
    </row>
    <row r="540" spans="1:5" x14ac:dyDescent="0.3">
      <c r="A540" t="s">
        <v>40</v>
      </c>
      <c r="B540" t="s">
        <v>200</v>
      </c>
      <c r="C540" t="s">
        <v>330</v>
      </c>
      <c r="D540">
        <v>55398</v>
      </c>
      <c r="E540">
        <v>2</v>
      </c>
    </row>
    <row r="541" spans="1:5" x14ac:dyDescent="0.3">
      <c r="A541" t="s">
        <v>18</v>
      </c>
      <c r="B541" t="s">
        <v>140</v>
      </c>
      <c r="C541" t="s">
        <v>330</v>
      </c>
      <c r="D541">
        <v>81011</v>
      </c>
      <c r="E541">
        <v>7</v>
      </c>
    </row>
    <row r="542" spans="1:5" x14ac:dyDescent="0.3">
      <c r="A542" t="s">
        <v>12</v>
      </c>
      <c r="B542" t="s">
        <v>141</v>
      </c>
      <c r="C542" t="s">
        <v>330</v>
      </c>
      <c r="D542">
        <v>67613</v>
      </c>
      <c r="E542">
        <v>7</v>
      </c>
    </row>
    <row r="543" spans="1:5" x14ac:dyDescent="0.3">
      <c r="A543" t="s">
        <v>28</v>
      </c>
      <c r="B543" t="s">
        <v>49</v>
      </c>
      <c r="C543" t="s">
        <v>331</v>
      </c>
      <c r="D543">
        <v>70855</v>
      </c>
      <c r="E543">
        <v>7</v>
      </c>
    </row>
    <row r="544" spans="1:5" x14ac:dyDescent="0.3">
      <c r="A544" t="s">
        <v>40</v>
      </c>
      <c r="B544" t="s">
        <v>190</v>
      </c>
      <c r="C544" t="s">
        <v>331</v>
      </c>
      <c r="D544">
        <v>28565</v>
      </c>
      <c r="E544">
        <v>3</v>
      </c>
    </row>
    <row r="545" spans="1:5" x14ac:dyDescent="0.3">
      <c r="A545" t="s">
        <v>14</v>
      </c>
      <c r="B545" t="s">
        <v>53</v>
      </c>
      <c r="C545" t="s">
        <v>331</v>
      </c>
      <c r="D545">
        <v>72825</v>
      </c>
      <c r="E545">
        <v>7</v>
      </c>
    </row>
    <row r="546" spans="1:5" x14ac:dyDescent="0.3">
      <c r="A546" t="s">
        <v>45</v>
      </c>
      <c r="B546" t="s">
        <v>332</v>
      </c>
      <c r="C546" t="s">
        <v>331</v>
      </c>
      <c r="D546">
        <v>23256</v>
      </c>
      <c r="E546">
        <v>5</v>
      </c>
    </row>
    <row r="547" spans="1:5" x14ac:dyDescent="0.3">
      <c r="A547" t="s">
        <v>50</v>
      </c>
      <c r="B547" t="s">
        <v>191</v>
      </c>
      <c r="C547" t="s">
        <v>331</v>
      </c>
      <c r="D547">
        <v>28331</v>
      </c>
      <c r="E547">
        <v>6</v>
      </c>
    </row>
    <row r="548" spans="1:5" x14ac:dyDescent="0.3">
      <c r="A548" t="s">
        <v>40</v>
      </c>
      <c r="B548" t="s">
        <v>100</v>
      </c>
      <c r="C548" t="s">
        <v>331</v>
      </c>
      <c r="D548">
        <v>47784</v>
      </c>
      <c r="E548">
        <v>8</v>
      </c>
    </row>
    <row r="549" spans="1:5" x14ac:dyDescent="0.3">
      <c r="A549" t="s">
        <v>14</v>
      </c>
      <c r="B549" t="s">
        <v>146</v>
      </c>
      <c r="C549" t="s">
        <v>331</v>
      </c>
      <c r="D549">
        <v>61751</v>
      </c>
      <c r="E549">
        <v>6</v>
      </c>
    </row>
    <row r="550" spans="1:5" x14ac:dyDescent="0.3">
      <c r="A550" t="s">
        <v>8</v>
      </c>
      <c r="B550" t="s">
        <v>84</v>
      </c>
      <c r="C550" t="s">
        <v>331</v>
      </c>
      <c r="D550">
        <v>98872</v>
      </c>
      <c r="E550">
        <v>4</v>
      </c>
    </row>
    <row r="551" spans="1:5" x14ac:dyDescent="0.3">
      <c r="A551" t="s">
        <v>18</v>
      </c>
      <c r="B551" t="s">
        <v>48</v>
      </c>
      <c r="C551" t="s">
        <v>331</v>
      </c>
      <c r="D551">
        <v>87067</v>
      </c>
      <c r="E551">
        <v>2</v>
      </c>
    </row>
    <row r="552" spans="1:5" x14ac:dyDescent="0.3">
      <c r="A552" t="s">
        <v>45</v>
      </c>
      <c r="B552" t="s">
        <v>36</v>
      </c>
      <c r="C552" t="s">
        <v>333</v>
      </c>
      <c r="D552">
        <v>39929</v>
      </c>
      <c r="E552">
        <v>6</v>
      </c>
    </row>
    <row r="553" spans="1:5" x14ac:dyDescent="0.3">
      <c r="A553" t="s">
        <v>40</v>
      </c>
      <c r="B553" t="s">
        <v>51</v>
      </c>
      <c r="C553" t="s">
        <v>333</v>
      </c>
      <c r="D553">
        <v>67822</v>
      </c>
      <c r="E553">
        <v>7</v>
      </c>
    </row>
    <row r="554" spans="1:5" x14ac:dyDescent="0.3">
      <c r="A554" t="s">
        <v>28</v>
      </c>
      <c r="B554" t="s">
        <v>193</v>
      </c>
      <c r="C554" t="s">
        <v>334</v>
      </c>
      <c r="D554">
        <v>25064</v>
      </c>
      <c r="E554">
        <v>3</v>
      </c>
    </row>
    <row r="555" spans="1:5" x14ac:dyDescent="0.3">
      <c r="A555" t="s">
        <v>40</v>
      </c>
      <c r="B555" t="s">
        <v>262</v>
      </c>
      <c r="C555" t="s">
        <v>334</v>
      </c>
      <c r="D555">
        <v>32137</v>
      </c>
      <c r="E555">
        <v>7</v>
      </c>
    </row>
    <row r="556" spans="1:5" x14ac:dyDescent="0.3">
      <c r="A556" t="s">
        <v>47</v>
      </c>
      <c r="B556" t="s">
        <v>200</v>
      </c>
      <c r="C556" t="s">
        <v>335</v>
      </c>
      <c r="D556">
        <v>16022</v>
      </c>
      <c r="E556">
        <v>4</v>
      </c>
    </row>
    <row r="557" spans="1:5" x14ac:dyDescent="0.3">
      <c r="A557" t="s">
        <v>8</v>
      </c>
      <c r="B557" t="s">
        <v>166</v>
      </c>
      <c r="C557" t="s">
        <v>335</v>
      </c>
      <c r="D557">
        <v>92033</v>
      </c>
      <c r="E557">
        <v>4</v>
      </c>
    </row>
    <row r="558" spans="1:5" x14ac:dyDescent="0.3">
      <c r="A558" t="s">
        <v>8</v>
      </c>
      <c r="B558" t="s">
        <v>258</v>
      </c>
      <c r="C558" t="s">
        <v>335</v>
      </c>
      <c r="D558">
        <v>77716</v>
      </c>
      <c r="E558">
        <v>6</v>
      </c>
    </row>
    <row r="559" spans="1:5" x14ac:dyDescent="0.3">
      <c r="A559" t="s">
        <v>40</v>
      </c>
      <c r="B559" t="s">
        <v>311</v>
      </c>
      <c r="C559" t="s">
        <v>336</v>
      </c>
      <c r="D559">
        <v>41149</v>
      </c>
      <c r="E559">
        <v>8</v>
      </c>
    </row>
    <row r="560" spans="1:5" x14ac:dyDescent="0.3">
      <c r="A560" t="s">
        <v>40</v>
      </c>
      <c r="B560" t="s">
        <v>87</v>
      </c>
      <c r="C560" t="s">
        <v>336</v>
      </c>
      <c r="D560">
        <v>29067</v>
      </c>
      <c r="E560">
        <v>3</v>
      </c>
    </row>
    <row r="561" spans="1:5" x14ac:dyDescent="0.3">
      <c r="A561" t="s">
        <v>8</v>
      </c>
      <c r="B561" t="s">
        <v>147</v>
      </c>
      <c r="C561" t="s">
        <v>337</v>
      </c>
      <c r="D561">
        <v>89255</v>
      </c>
      <c r="E561">
        <v>8</v>
      </c>
    </row>
    <row r="562" spans="1:5" x14ac:dyDescent="0.3">
      <c r="A562" t="s">
        <v>14</v>
      </c>
      <c r="B562" t="s">
        <v>176</v>
      </c>
      <c r="C562" t="s">
        <v>337</v>
      </c>
      <c r="D562">
        <v>88231</v>
      </c>
      <c r="E562">
        <v>7</v>
      </c>
    </row>
    <row r="563" spans="1:5" x14ac:dyDescent="0.3">
      <c r="A563" t="s">
        <v>10</v>
      </c>
      <c r="B563" t="s">
        <v>17</v>
      </c>
      <c r="C563" t="s">
        <v>337</v>
      </c>
      <c r="D563">
        <v>93902</v>
      </c>
      <c r="E563">
        <v>7</v>
      </c>
    </row>
    <row r="564" spans="1:5" x14ac:dyDescent="0.3">
      <c r="A564" t="s">
        <v>18</v>
      </c>
      <c r="B564" t="s">
        <v>35</v>
      </c>
      <c r="C564" t="s">
        <v>337</v>
      </c>
      <c r="D564">
        <v>76849</v>
      </c>
      <c r="E564">
        <v>8</v>
      </c>
    </row>
    <row r="565" spans="1:5" x14ac:dyDescent="0.3">
      <c r="A565" t="s">
        <v>14</v>
      </c>
      <c r="B565" t="s">
        <v>136</v>
      </c>
      <c r="C565" t="s">
        <v>337</v>
      </c>
      <c r="D565">
        <v>55967</v>
      </c>
      <c r="E565">
        <v>2</v>
      </c>
    </row>
    <row r="566" spans="1:5" x14ac:dyDescent="0.3">
      <c r="A566" t="s">
        <v>50</v>
      </c>
      <c r="B566" t="s">
        <v>338</v>
      </c>
      <c r="C566" t="s">
        <v>337</v>
      </c>
      <c r="D566">
        <v>47995</v>
      </c>
      <c r="E566">
        <v>7</v>
      </c>
    </row>
    <row r="567" spans="1:5" x14ac:dyDescent="0.3">
      <c r="A567" t="s">
        <v>18</v>
      </c>
      <c r="B567" t="s">
        <v>185</v>
      </c>
      <c r="C567" t="s">
        <v>337</v>
      </c>
      <c r="D567">
        <v>12623</v>
      </c>
      <c r="E567">
        <v>7</v>
      </c>
    </row>
    <row r="568" spans="1:5" x14ac:dyDescent="0.3">
      <c r="A568" t="s">
        <v>8</v>
      </c>
      <c r="B568" t="s">
        <v>25</v>
      </c>
      <c r="C568" t="s">
        <v>339</v>
      </c>
      <c r="D568">
        <v>31413</v>
      </c>
      <c r="E568">
        <v>3</v>
      </c>
    </row>
    <row r="569" spans="1:5" x14ac:dyDescent="0.3">
      <c r="A569" t="s">
        <v>28</v>
      </c>
      <c r="B569" t="s">
        <v>312</v>
      </c>
      <c r="C569" t="s">
        <v>339</v>
      </c>
      <c r="D569">
        <v>41282</v>
      </c>
      <c r="E569">
        <v>8</v>
      </c>
    </row>
    <row r="570" spans="1:5" x14ac:dyDescent="0.3">
      <c r="A570" t="s">
        <v>40</v>
      </c>
      <c r="B570" t="s">
        <v>191</v>
      </c>
      <c r="C570" t="s">
        <v>339</v>
      </c>
      <c r="D570">
        <v>95509</v>
      </c>
      <c r="E570">
        <v>3</v>
      </c>
    </row>
    <row r="571" spans="1:5" x14ac:dyDescent="0.3">
      <c r="A571" t="s">
        <v>21</v>
      </c>
      <c r="B571" t="s">
        <v>9</v>
      </c>
      <c r="C571" t="s">
        <v>340</v>
      </c>
      <c r="D571">
        <v>89836</v>
      </c>
      <c r="E571">
        <v>9</v>
      </c>
    </row>
    <row r="572" spans="1:5" x14ac:dyDescent="0.3">
      <c r="A572" t="s">
        <v>5</v>
      </c>
      <c r="B572" t="s">
        <v>178</v>
      </c>
      <c r="C572" t="s">
        <v>341</v>
      </c>
      <c r="D572">
        <v>61450</v>
      </c>
      <c r="E572">
        <v>2</v>
      </c>
    </row>
    <row r="573" spans="1:5" x14ac:dyDescent="0.3">
      <c r="A573" t="s">
        <v>50</v>
      </c>
      <c r="B573" t="s">
        <v>71</v>
      </c>
      <c r="C573" t="s">
        <v>341</v>
      </c>
      <c r="D573">
        <v>64568</v>
      </c>
      <c r="E573">
        <v>9</v>
      </c>
    </row>
    <row r="574" spans="1:5" x14ac:dyDescent="0.3">
      <c r="A574" t="s">
        <v>40</v>
      </c>
      <c r="B574" t="s">
        <v>124</v>
      </c>
      <c r="C574" t="s">
        <v>341</v>
      </c>
      <c r="D574">
        <v>22102</v>
      </c>
      <c r="E574">
        <v>1</v>
      </c>
    </row>
    <row r="575" spans="1:5" x14ac:dyDescent="0.3">
      <c r="A575" t="s">
        <v>45</v>
      </c>
      <c r="B575" t="s">
        <v>227</v>
      </c>
      <c r="C575" t="s">
        <v>341</v>
      </c>
      <c r="D575">
        <v>43362</v>
      </c>
      <c r="E575">
        <v>5</v>
      </c>
    </row>
    <row r="576" spans="1:5" x14ac:dyDescent="0.3">
      <c r="A576" t="s">
        <v>18</v>
      </c>
      <c r="B576" t="s">
        <v>117</v>
      </c>
      <c r="C576" t="s">
        <v>341</v>
      </c>
      <c r="D576">
        <v>26111</v>
      </c>
      <c r="E576">
        <v>0</v>
      </c>
    </row>
    <row r="577" spans="1:5" x14ac:dyDescent="0.3">
      <c r="A577" t="s">
        <v>28</v>
      </c>
      <c r="B577" t="s">
        <v>315</v>
      </c>
      <c r="C577" t="s">
        <v>342</v>
      </c>
      <c r="D577">
        <v>48471</v>
      </c>
      <c r="E577">
        <v>9</v>
      </c>
    </row>
    <row r="578" spans="1:5" x14ac:dyDescent="0.3">
      <c r="A578" t="s">
        <v>18</v>
      </c>
      <c r="B578" t="s">
        <v>270</v>
      </c>
      <c r="C578" t="s">
        <v>343</v>
      </c>
      <c r="D578">
        <v>87472</v>
      </c>
      <c r="E578">
        <v>8</v>
      </c>
    </row>
    <row r="579" spans="1:5" x14ac:dyDescent="0.3">
      <c r="A579" t="s">
        <v>10</v>
      </c>
      <c r="B579" t="s">
        <v>208</v>
      </c>
      <c r="C579" t="s">
        <v>343</v>
      </c>
      <c r="D579">
        <v>79088</v>
      </c>
      <c r="E579">
        <v>7</v>
      </c>
    </row>
    <row r="580" spans="1:5" x14ac:dyDescent="0.3">
      <c r="A580" t="s">
        <v>45</v>
      </c>
      <c r="B580" t="s">
        <v>156</v>
      </c>
      <c r="C580" t="s">
        <v>343</v>
      </c>
      <c r="D580">
        <v>95906</v>
      </c>
      <c r="E580">
        <v>8</v>
      </c>
    </row>
    <row r="581" spans="1:5" x14ac:dyDescent="0.3">
      <c r="A581" t="s">
        <v>8</v>
      </c>
      <c r="B581" t="s">
        <v>122</v>
      </c>
      <c r="C581" t="s">
        <v>343</v>
      </c>
      <c r="D581">
        <v>67572</v>
      </c>
      <c r="E581">
        <v>5</v>
      </c>
    </row>
    <row r="582" spans="1:5" x14ac:dyDescent="0.3">
      <c r="A582" t="s">
        <v>8</v>
      </c>
      <c r="B582" t="s">
        <v>119</v>
      </c>
      <c r="C582" t="s">
        <v>343</v>
      </c>
      <c r="D582">
        <v>61038</v>
      </c>
      <c r="E582">
        <v>7</v>
      </c>
    </row>
    <row r="583" spans="1:5" x14ac:dyDescent="0.3">
      <c r="A583" t="s">
        <v>10</v>
      </c>
      <c r="B583" t="s">
        <v>22</v>
      </c>
      <c r="C583" t="s">
        <v>343</v>
      </c>
      <c r="D583">
        <v>46547</v>
      </c>
      <c r="E583">
        <v>6</v>
      </c>
    </row>
    <row r="584" spans="1:5" x14ac:dyDescent="0.3">
      <c r="A584" t="s">
        <v>47</v>
      </c>
      <c r="B584" t="s">
        <v>126</v>
      </c>
      <c r="C584" t="s">
        <v>343</v>
      </c>
      <c r="D584">
        <v>42538</v>
      </c>
      <c r="E584">
        <v>3</v>
      </c>
    </row>
    <row r="585" spans="1:5" x14ac:dyDescent="0.3">
      <c r="A585" t="s">
        <v>21</v>
      </c>
      <c r="B585" t="s">
        <v>56</v>
      </c>
      <c r="C585" t="s">
        <v>343</v>
      </c>
      <c r="D585">
        <v>89539</v>
      </c>
      <c r="E585">
        <v>4</v>
      </c>
    </row>
    <row r="586" spans="1:5" x14ac:dyDescent="0.3">
      <c r="A586" t="s">
        <v>50</v>
      </c>
      <c r="B586" t="s">
        <v>19</v>
      </c>
      <c r="C586" t="s">
        <v>343</v>
      </c>
      <c r="D586">
        <v>56060</v>
      </c>
      <c r="E586">
        <v>6</v>
      </c>
    </row>
    <row r="587" spans="1:5" x14ac:dyDescent="0.3">
      <c r="A587" t="s">
        <v>50</v>
      </c>
      <c r="B587" t="s">
        <v>63</v>
      </c>
      <c r="C587" t="s">
        <v>343</v>
      </c>
      <c r="D587">
        <v>35691</v>
      </c>
      <c r="E587">
        <v>8</v>
      </c>
    </row>
    <row r="588" spans="1:5" x14ac:dyDescent="0.3">
      <c r="A588" t="s">
        <v>10</v>
      </c>
      <c r="B588" t="s">
        <v>174</v>
      </c>
      <c r="C588" t="s">
        <v>343</v>
      </c>
      <c r="D588">
        <v>48772</v>
      </c>
      <c r="E588">
        <v>7</v>
      </c>
    </row>
    <row r="589" spans="1:5" x14ac:dyDescent="0.3">
      <c r="A589" t="s">
        <v>21</v>
      </c>
      <c r="B589" t="s">
        <v>85</v>
      </c>
      <c r="C589" t="s">
        <v>344</v>
      </c>
      <c r="D589">
        <v>47029</v>
      </c>
      <c r="E589">
        <v>4</v>
      </c>
    </row>
    <row r="590" spans="1:5" x14ac:dyDescent="0.3">
      <c r="A590" t="s">
        <v>12</v>
      </c>
      <c r="B590" t="s">
        <v>81</v>
      </c>
      <c r="C590" t="s">
        <v>344</v>
      </c>
      <c r="D590">
        <v>59936</v>
      </c>
      <c r="E590">
        <v>7</v>
      </c>
    </row>
    <row r="591" spans="1:5" x14ac:dyDescent="0.3">
      <c r="A591" t="s">
        <v>8</v>
      </c>
      <c r="B591" t="s">
        <v>46</v>
      </c>
      <c r="C591" t="s">
        <v>344</v>
      </c>
      <c r="D591">
        <v>12592</v>
      </c>
      <c r="E591">
        <v>1</v>
      </c>
    </row>
    <row r="592" spans="1:5" x14ac:dyDescent="0.3">
      <c r="A592" t="s">
        <v>8</v>
      </c>
      <c r="B592" t="s">
        <v>111</v>
      </c>
      <c r="C592" t="s">
        <v>344</v>
      </c>
      <c r="D592">
        <v>59337</v>
      </c>
      <c r="E592">
        <v>3</v>
      </c>
    </row>
    <row r="593" spans="1:5" x14ac:dyDescent="0.3">
      <c r="A593" t="s">
        <v>12</v>
      </c>
      <c r="B593" t="s">
        <v>83</v>
      </c>
      <c r="C593" t="s">
        <v>345</v>
      </c>
      <c r="D593">
        <v>49633</v>
      </c>
      <c r="E593">
        <v>6</v>
      </c>
    </row>
    <row r="594" spans="1:5" x14ac:dyDescent="0.3">
      <c r="A594" t="s">
        <v>45</v>
      </c>
      <c r="B594" t="s">
        <v>169</v>
      </c>
      <c r="C594" t="s">
        <v>345</v>
      </c>
      <c r="D594">
        <v>66389</v>
      </c>
      <c r="E594">
        <v>6</v>
      </c>
    </row>
    <row r="595" spans="1:5" x14ac:dyDescent="0.3">
      <c r="A595" t="s">
        <v>18</v>
      </c>
      <c r="B595" t="s">
        <v>70</v>
      </c>
      <c r="C595" t="s">
        <v>345</v>
      </c>
      <c r="D595">
        <v>64474</v>
      </c>
      <c r="E595">
        <v>6</v>
      </c>
    </row>
    <row r="596" spans="1:5" x14ac:dyDescent="0.3">
      <c r="A596" t="s">
        <v>45</v>
      </c>
      <c r="B596" t="s">
        <v>256</v>
      </c>
      <c r="C596" t="s">
        <v>346</v>
      </c>
      <c r="D596">
        <v>25680</v>
      </c>
      <c r="E596">
        <v>8</v>
      </c>
    </row>
    <row r="597" spans="1:5" x14ac:dyDescent="0.3">
      <c r="A597" t="s">
        <v>14</v>
      </c>
      <c r="B597" t="s">
        <v>39</v>
      </c>
      <c r="C597" t="s">
        <v>347</v>
      </c>
      <c r="D597">
        <v>25014</v>
      </c>
      <c r="E597">
        <v>6</v>
      </c>
    </row>
    <row r="598" spans="1:5" x14ac:dyDescent="0.3">
      <c r="A598" t="s">
        <v>21</v>
      </c>
      <c r="B598" t="s">
        <v>58</v>
      </c>
      <c r="C598" t="s">
        <v>347</v>
      </c>
      <c r="D598">
        <v>42324</v>
      </c>
      <c r="E598">
        <v>6</v>
      </c>
    </row>
    <row r="599" spans="1:5" x14ac:dyDescent="0.3">
      <c r="A599" t="s">
        <v>14</v>
      </c>
      <c r="B599" t="s">
        <v>25</v>
      </c>
      <c r="C599" t="s">
        <v>347</v>
      </c>
      <c r="D599">
        <v>47577</v>
      </c>
      <c r="E599">
        <v>2</v>
      </c>
    </row>
    <row r="600" spans="1:5" x14ac:dyDescent="0.3">
      <c r="A600" t="s">
        <v>8</v>
      </c>
      <c r="B600" t="s">
        <v>70</v>
      </c>
      <c r="C600" t="s">
        <v>347</v>
      </c>
      <c r="D600">
        <v>12232</v>
      </c>
      <c r="E600">
        <v>6</v>
      </c>
    </row>
    <row r="601" spans="1:5" x14ac:dyDescent="0.3">
      <c r="A601" t="s">
        <v>21</v>
      </c>
      <c r="B601" t="s">
        <v>43</v>
      </c>
      <c r="C601" t="s">
        <v>348</v>
      </c>
      <c r="D601">
        <v>35969</v>
      </c>
      <c r="E601">
        <v>4</v>
      </c>
    </row>
    <row r="602" spans="1:5" x14ac:dyDescent="0.3">
      <c r="A602" t="s">
        <v>47</v>
      </c>
      <c r="B602" t="s">
        <v>17</v>
      </c>
      <c r="C602" t="s">
        <v>348</v>
      </c>
      <c r="D602">
        <v>75582</v>
      </c>
      <c r="E602">
        <v>5</v>
      </c>
    </row>
    <row r="603" spans="1:5" x14ac:dyDescent="0.3">
      <c r="A603" t="s">
        <v>14</v>
      </c>
      <c r="B603" t="s">
        <v>66</v>
      </c>
      <c r="C603" t="s">
        <v>348</v>
      </c>
      <c r="D603">
        <v>22897</v>
      </c>
      <c r="E603">
        <v>6</v>
      </c>
    </row>
    <row r="604" spans="1:5" x14ac:dyDescent="0.3">
      <c r="A604" t="s">
        <v>18</v>
      </c>
      <c r="B604" t="s">
        <v>122</v>
      </c>
      <c r="C604" t="s">
        <v>348</v>
      </c>
      <c r="D604">
        <v>63420</v>
      </c>
      <c r="E604">
        <v>3</v>
      </c>
    </row>
    <row r="605" spans="1:5" x14ac:dyDescent="0.3">
      <c r="A605" t="s">
        <v>40</v>
      </c>
      <c r="B605" t="s">
        <v>324</v>
      </c>
      <c r="C605" t="s">
        <v>348</v>
      </c>
      <c r="D605">
        <v>83021</v>
      </c>
      <c r="E605">
        <v>8</v>
      </c>
    </row>
    <row r="606" spans="1:5" x14ac:dyDescent="0.3">
      <c r="A606" t="s">
        <v>12</v>
      </c>
      <c r="B606" t="s">
        <v>221</v>
      </c>
      <c r="C606" t="s">
        <v>348</v>
      </c>
      <c r="D606">
        <v>59980</v>
      </c>
      <c r="E606">
        <v>8</v>
      </c>
    </row>
    <row r="607" spans="1:5" x14ac:dyDescent="0.3">
      <c r="A607" t="s">
        <v>47</v>
      </c>
      <c r="B607" t="s">
        <v>178</v>
      </c>
      <c r="C607" t="s">
        <v>348</v>
      </c>
      <c r="D607">
        <v>63200</v>
      </c>
      <c r="E607">
        <v>3</v>
      </c>
    </row>
    <row r="608" spans="1:5" x14ac:dyDescent="0.3">
      <c r="A608" t="s">
        <v>10</v>
      </c>
      <c r="B608" t="s">
        <v>312</v>
      </c>
      <c r="C608" t="s">
        <v>348</v>
      </c>
      <c r="D608">
        <v>56312</v>
      </c>
      <c r="E608">
        <v>9</v>
      </c>
    </row>
    <row r="609" spans="1:5" x14ac:dyDescent="0.3">
      <c r="A609" t="s">
        <v>8</v>
      </c>
      <c r="B609" t="s">
        <v>61</v>
      </c>
      <c r="C609" t="s">
        <v>348</v>
      </c>
      <c r="D609">
        <v>62079</v>
      </c>
      <c r="E609">
        <v>6</v>
      </c>
    </row>
    <row r="610" spans="1:5" x14ac:dyDescent="0.3">
      <c r="A610" t="s">
        <v>45</v>
      </c>
      <c r="B610" t="s">
        <v>258</v>
      </c>
      <c r="C610" t="s">
        <v>349</v>
      </c>
      <c r="D610">
        <v>38895</v>
      </c>
      <c r="E610">
        <v>9</v>
      </c>
    </row>
    <row r="611" spans="1:5" x14ac:dyDescent="0.3">
      <c r="A611" t="s">
        <v>10</v>
      </c>
      <c r="B611" t="s">
        <v>251</v>
      </c>
      <c r="C611" t="s">
        <v>349</v>
      </c>
      <c r="D611">
        <v>34093</v>
      </c>
      <c r="E611">
        <v>6</v>
      </c>
    </row>
    <row r="612" spans="1:5" x14ac:dyDescent="0.3">
      <c r="A612" t="s">
        <v>50</v>
      </c>
      <c r="B612" t="s">
        <v>99</v>
      </c>
      <c r="C612" t="s">
        <v>349</v>
      </c>
      <c r="D612">
        <v>21986</v>
      </c>
      <c r="E612">
        <v>8</v>
      </c>
    </row>
    <row r="613" spans="1:5" x14ac:dyDescent="0.3">
      <c r="A613" t="s">
        <v>8</v>
      </c>
      <c r="B613" t="s">
        <v>103</v>
      </c>
      <c r="C613" t="s">
        <v>349</v>
      </c>
      <c r="D613">
        <v>55886</v>
      </c>
      <c r="E613">
        <v>5</v>
      </c>
    </row>
    <row r="614" spans="1:5" x14ac:dyDescent="0.3">
      <c r="A614" t="s">
        <v>47</v>
      </c>
      <c r="B614" t="s">
        <v>92</v>
      </c>
      <c r="C614" t="s">
        <v>350</v>
      </c>
      <c r="D614">
        <v>40208</v>
      </c>
      <c r="E614">
        <v>6</v>
      </c>
    </row>
    <row r="615" spans="1:5" x14ac:dyDescent="0.3">
      <c r="A615" t="s">
        <v>12</v>
      </c>
      <c r="B615" t="s">
        <v>173</v>
      </c>
      <c r="C615" t="s">
        <v>350</v>
      </c>
      <c r="D615">
        <v>58035</v>
      </c>
      <c r="E615">
        <v>6</v>
      </c>
    </row>
    <row r="616" spans="1:5" x14ac:dyDescent="0.3">
      <c r="A616" t="s">
        <v>10</v>
      </c>
      <c r="B616" t="s">
        <v>130</v>
      </c>
      <c r="C616" t="s">
        <v>350</v>
      </c>
      <c r="D616">
        <v>90951</v>
      </c>
      <c r="E616">
        <v>9</v>
      </c>
    </row>
    <row r="617" spans="1:5" x14ac:dyDescent="0.3">
      <c r="A617" t="s">
        <v>21</v>
      </c>
      <c r="B617" t="s">
        <v>167</v>
      </c>
      <c r="C617" t="s">
        <v>351</v>
      </c>
      <c r="D617">
        <v>70067</v>
      </c>
      <c r="E617">
        <v>3</v>
      </c>
    </row>
    <row r="618" spans="1:5" x14ac:dyDescent="0.3">
      <c r="A618" t="s">
        <v>5</v>
      </c>
      <c r="B618" t="s">
        <v>176</v>
      </c>
      <c r="C618" t="s">
        <v>351</v>
      </c>
      <c r="D618">
        <v>42602</v>
      </c>
      <c r="E618">
        <v>2</v>
      </c>
    </row>
    <row r="619" spans="1:5" x14ac:dyDescent="0.3">
      <c r="A619" t="s">
        <v>18</v>
      </c>
      <c r="B619" t="s">
        <v>147</v>
      </c>
      <c r="C619" t="s">
        <v>352</v>
      </c>
      <c r="D619">
        <v>63188</v>
      </c>
      <c r="E619">
        <v>4</v>
      </c>
    </row>
    <row r="620" spans="1:5" x14ac:dyDescent="0.3">
      <c r="A620" t="s">
        <v>28</v>
      </c>
      <c r="B620" t="s">
        <v>49</v>
      </c>
      <c r="C620" t="s">
        <v>352</v>
      </c>
      <c r="D620">
        <v>92700</v>
      </c>
      <c r="E620">
        <v>0</v>
      </c>
    </row>
    <row r="621" spans="1:5" x14ac:dyDescent="0.3">
      <c r="A621" t="s">
        <v>5</v>
      </c>
      <c r="B621" t="s">
        <v>289</v>
      </c>
      <c r="C621" t="s">
        <v>352</v>
      </c>
      <c r="D621">
        <v>55184</v>
      </c>
      <c r="E621">
        <v>9</v>
      </c>
    </row>
    <row r="622" spans="1:5" x14ac:dyDescent="0.3">
      <c r="A622" t="s">
        <v>50</v>
      </c>
      <c r="B622" t="s">
        <v>92</v>
      </c>
      <c r="C622" t="s">
        <v>352</v>
      </c>
      <c r="D622">
        <v>70727</v>
      </c>
      <c r="E622">
        <v>8</v>
      </c>
    </row>
    <row r="623" spans="1:5" x14ac:dyDescent="0.3">
      <c r="A623" t="s">
        <v>28</v>
      </c>
      <c r="B623" t="s">
        <v>100</v>
      </c>
      <c r="C623" t="s">
        <v>352</v>
      </c>
      <c r="D623">
        <v>65723</v>
      </c>
      <c r="E623">
        <v>7</v>
      </c>
    </row>
    <row r="624" spans="1:5" x14ac:dyDescent="0.3">
      <c r="A624" t="s">
        <v>5</v>
      </c>
      <c r="B624" t="s">
        <v>185</v>
      </c>
      <c r="C624" t="s">
        <v>352</v>
      </c>
      <c r="D624">
        <v>67772</v>
      </c>
      <c r="E624">
        <v>0</v>
      </c>
    </row>
    <row r="625" spans="1:5" x14ac:dyDescent="0.3">
      <c r="A625" t="s">
        <v>18</v>
      </c>
      <c r="B625" t="s">
        <v>124</v>
      </c>
      <c r="C625" t="s">
        <v>352</v>
      </c>
      <c r="D625">
        <v>47882</v>
      </c>
      <c r="E625">
        <v>4</v>
      </c>
    </row>
    <row r="626" spans="1:5" x14ac:dyDescent="0.3">
      <c r="A626" t="s">
        <v>18</v>
      </c>
      <c r="B626" t="s">
        <v>174</v>
      </c>
      <c r="C626" t="s">
        <v>352</v>
      </c>
      <c r="D626">
        <v>20896</v>
      </c>
      <c r="E626">
        <v>9</v>
      </c>
    </row>
    <row r="627" spans="1:5" x14ac:dyDescent="0.3">
      <c r="A627" t="s">
        <v>50</v>
      </c>
      <c r="B627" t="s">
        <v>85</v>
      </c>
      <c r="C627" t="s">
        <v>352</v>
      </c>
      <c r="D627">
        <v>40137</v>
      </c>
      <c r="E627">
        <v>8</v>
      </c>
    </row>
    <row r="628" spans="1:5" x14ac:dyDescent="0.3">
      <c r="A628" t="s">
        <v>45</v>
      </c>
      <c r="B628" t="s">
        <v>268</v>
      </c>
      <c r="C628" t="s">
        <v>352</v>
      </c>
      <c r="D628">
        <v>70420</v>
      </c>
      <c r="E628">
        <v>10</v>
      </c>
    </row>
    <row r="629" spans="1:5" x14ac:dyDescent="0.3">
      <c r="A629" t="s">
        <v>45</v>
      </c>
      <c r="B629" t="s">
        <v>126</v>
      </c>
      <c r="C629" t="s">
        <v>352</v>
      </c>
      <c r="D629">
        <v>90657</v>
      </c>
      <c r="E629">
        <v>3</v>
      </c>
    </row>
    <row r="630" spans="1:5" x14ac:dyDescent="0.3">
      <c r="A630" t="s">
        <v>21</v>
      </c>
      <c r="B630" t="s">
        <v>109</v>
      </c>
      <c r="C630" t="s">
        <v>352</v>
      </c>
      <c r="D630">
        <v>68334</v>
      </c>
      <c r="E630">
        <v>6</v>
      </c>
    </row>
    <row r="631" spans="1:5" x14ac:dyDescent="0.3">
      <c r="A631" t="s">
        <v>8</v>
      </c>
      <c r="B631" t="s">
        <v>200</v>
      </c>
      <c r="C631" t="s">
        <v>353</v>
      </c>
      <c r="D631">
        <v>47948</v>
      </c>
      <c r="E631">
        <v>8</v>
      </c>
    </row>
    <row r="632" spans="1:5" x14ac:dyDescent="0.3">
      <c r="A632" t="s">
        <v>50</v>
      </c>
      <c r="B632" t="s">
        <v>205</v>
      </c>
      <c r="C632" t="s">
        <v>353</v>
      </c>
      <c r="D632">
        <v>25292</v>
      </c>
      <c r="E632">
        <v>8</v>
      </c>
    </row>
    <row r="633" spans="1:5" x14ac:dyDescent="0.3">
      <c r="A633" t="s">
        <v>50</v>
      </c>
      <c r="B633" t="s">
        <v>181</v>
      </c>
      <c r="C633" t="s">
        <v>354</v>
      </c>
      <c r="D633">
        <v>65891</v>
      </c>
      <c r="E633">
        <v>6</v>
      </c>
    </row>
    <row r="634" spans="1:5" x14ac:dyDescent="0.3">
      <c r="A634" t="s">
        <v>45</v>
      </c>
      <c r="B634" t="s">
        <v>100</v>
      </c>
      <c r="C634" t="s">
        <v>354</v>
      </c>
      <c r="D634">
        <v>64814</v>
      </c>
      <c r="E634">
        <v>10</v>
      </c>
    </row>
    <row r="635" spans="1:5" x14ac:dyDescent="0.3">
      <c r="A635" t="s">
        <v>14</v>
      </c>
      <c r="B635" t="s">
        <v>23</v>
      </c>
      <c r="C635" t="s">
        <v>354</v>
      </c>
      <c r="D635">
        <v>29030</v>
      </c>
      <c r="E635">
        <v>3</v>
      </c>
    </row>
    <row r="636" spans="1:5" x14ac:dyDescent="0.3">
      <c r="A636" t="s">
        <v>14</v>
      </c>
      <c r="B636" t="s">
        <v>37</v>
      </c>
      <c r="C636" t="s">
        <v>354</v>
      </c>
      <c r="D636">
        <v>76644</v>
      </c>
      <c r="E636">
        <v>6</v>
      </c>
    </row>
    <row r="637" spans="1:5" x14ac:dyDescent="0.3">
      <c r="A637" t="s">
        <v>40</v>
      </c>
      <c r="B637" t="s">
        <v>49</v>
      </c>
      <c r="C637" t="s">
        <v>355</v>
      </c>
      <c r="D637">
        <v>17868</v>
      </c>
      <c r="E637">
        <v>8</v>
      </c>
    </row>
    <row r="638" spans="1:5" x14ac:dyDescent="0.3">
      <c r="A638" t="s">
        <v>5</v>
      </c>
      <c r="B638" t="s">
        <v>130</v>
      </c>
      <c r="C638" t="s">
        <v>355</v>
      </c>
      <c r="D638">
        <v>29262</v>
      </c>
      <c r="E638">
        <v>3</v>
      </c>
    </row>
    <row r="639" spans="1:5" x14ac:dyDescent="0.3">
      <c r="A639" t="s">
        <v>5</v>
      </c>
      <c r="B639" t="s">
        <v>77</v>
      </c>
      <c r="C639" t="s">
        <v>356</v>
      </c>
      <c r="D639">
        <v>85918</v>
      </c>
      <c r="E639">
        <v>2</v>
      </c>
    </row>
    <row r="640" spans="1:5" x14ac:dyDescent="0.3">
      <c r="A640" t="s">
        <v>28</v>
      </c>
      <c r="B640" t="s">
        <v>80</v>
      </c>
      <c r="C640" t="s">
        <v>357</v>
      </c>
      <c r="D640">
        <v>92206</v>
      </c>
      <c r="E640">
        <v>6</v>
      </c>
    </row>
    <row r="641" spans="1:5" x14ac:dyDescent="0.3">
      <c r="A641" t="s">
        <v>10</v>
      </c>
      <c r="B641" t="s">
        <v>46</v>
      </c>
      <c r="C641" t="s">
        <v>357</v>
      </c>
      <c r="D641">
        <v>97631</v>
      </c>
      <c r="E641">
        <v>3</v>
      </c>
    </row>
    <row r="642" spans="1:5" x14ac:dyDescent="0.3">
      <c r="A642" t="s">
        <v>14</v>
      </c>
      <c r="B642" t="s">
        <v>19</v>
      </c>
      <c r="C642" t="s">
        <v>357</v>
      </c>
      <c r="D642">
        <v>65404</v>
      </c>
      <c r="E642">
        <v>6</v>
      </c>
    </row>
    <row r="643" spans="1:5" x14ac:dyDescent="0.3">
      <c r="A643" t="s">
        <v>50</v>
      </c>
      <c r="B643" t="s">
        <v>190</v>
      </c>
      <c r="C643" t="s">
        <v>357</v>
      </c>
      <c r="D643">
        <v>62231</v>
      </c>
      <c r="E643">
        <v>0</v>
      </c>
    </row>
    <row r="644" spans="1:5" x14ac:dyDescent="0.3">
      <c r="A644" t="s">
        <v>40</v>
      </c>
      <c r="B644" t="s">
        <v>62</v>
      </c>
      <c r="C644" t="s">
        <v>357</v>
      </c>
      <c r="D644">
        <v>39092</v>
      </c>
      <c r="E644">
        <v>9</v>
      </c>
    </row>
    <row r="645" spans="1:5" x14ac:dyDescent="0.3">
      <c r="A645" t="s">
        <v>47</v>
      </c>
      <c r="B645" t="s">
        <v>273</v>
      </c>
      <c r="C645" t="s">
        <v>358</v>
      </c>
      <c r="D645">
        <v>24270</v>
      </c>
      <c r="E645">
        <v>6</v>
      </c>
    </row>
    <row r="646" spans="1:5" x14ac:dyDescent="0.3">
      <c r="A646" t="s">
        <v>21</v>
      </c>
      <c r="B646" t="s">
        <v>176</v>
      </c>
      <c r="C646" t="s">
        <v>358</v>
      </c>
      <c r="D646">
        <v>75351</v>
      </c>
      <c r="E646">
        <v>9</v>
      </c>
    </row>
    <row r="647" spans="1:5" x14ac:dyDescent="0.3">
      <c r="A647" t="s">
        <v>5</v>
      </c>
      <c r="B647" t="s">
        <v>154</v>
      </c>
      <c r="C647" t="s">
        <v>358</v>
      </c>
      <c r="D647">
        <v>83879</v>
      </c>
      <c r="E647">
        <v>4</v>
      </c>
    </row>
    <row r="648" spans="1:5" x14ac:dyDescent="0.3">
      <c r="A648" t="s">
        <v>14</v>
      </c>
      <c r="B648" t="s">
        <v>72</v>
      </c>
      <c r="C648" t="s">
        <v>359</v>
      </c>
      <c r="D648">
        <v>94969</v>
      </c>
      <c r="E648">
        <v>0</v>
      </c>
    </row>
    <row r="649" spans="1:5" x14ac:dyDescent="0.3">
      <c r="A649" t="s">
        <v>21</v>
      </c>
      <c r="B649" t="s">
        <v>360</v>
      </c>
      <c r="C649" t="s">
        <v>359</v>
      </c>
      <c r="D649">
        <v>29399</v>
      </c>
      <c r="E649">
        <v>6</v>
      </c>
    </row>
    <row r="650" spans="1:5" x14ac:dyDescent="0.3">
      <c r="A650" t="s">
        <v>28</v>
      </c>
      <c r="B650" t="s">
        <v>262</v>
      </c>
      <c r="C650" t="s">
        <v>359</v>
      </c>
      <c r="D650">
        <v>43031</v>
      </c>
      <c r="E650">
        <v>7</v>
      </c>
    </row>
    <row r="651" spans="1:5" x14ac:dyDescent="0.3">
      <c r="A651" t="s">
        <v>28</v>
      </c>
      <c r="B651" t="s">
        <v>137</v>
      </c>
      <c r="C651" t="s">
        <v>361</v>
      </c>
      <c r="D651">
        <v>67447</v>
      </c>
      <c r="E651">
        <v>8</v>
      </c>
    </row>
    <row r="652" spans="1:5" x14ac:dyDescent="0.3">
      <c r="A652" t="s">
        <v>40</v>
      </c>
      <c r="B652" t="s">
        <v>77</v>
      </c>
      <c r="C652" t="s">
        <v>361</v>
      </c>
      <c r="D652">
        <v>91927</v>
      </c>
      <c r="E652">
        <v>4</v>
      </c>
    </row>
    <row r="653" spans="1:5" x14ac:dyDescent="0.3">
      <c r="A653" t="s">
        <v>40</v>
      </c>
      <c r="B653" t="s">
        <v>193</v>
      </c>
      <c r="C653" t="s">
        <v>361</v>
      </c>
      <c r="D653">
        <v>31828</v>
      </c>
      <c r="E653">
        <v>3</v>
      </c>
    </row>
    <row r="654" spans="1:5" x14ac:dyDescent="0.3">
      <c r="A654" t="s">
        <v>21</v>
      </c>
      <c r="B654" t="s">
        <v>245</v>
      </c>
      <c r="C654" t="s">
        <v>362</v>
      </c>
      <c r="D654">
        <v>19505</v>
      </c>
      <c r="E654">
        <v>8</v>
      </c>
    </row>
    <row r="655" spans="1:5" x14ac:dyDescent="0.3">
      <c r="A655" t="s">
        <v>28</v>
      </c>
      <c r="B655" t="s">
        <v>94</v>
      </c>
      <c r="C655" t="s">
        <v>362</v>
      </c>
      <c r="D655">
        <v>14270</v>
      </c>
      <c r="E655">
        <v>7</v>
      </c>
    </row>
    <row r="656" spans="1:5" x14ac:dyDescent="0.3">
      <c r="A656" t="s">
        <v>21</v>
      </c>
      <c r="B656" t="s">
        <v>180</v>
      </c>
      <c r="C656" t="s">
        <v>363</v>
      </c>
      <c r="D656">
        <v>87229</v>
      </c>
      <c r="E656">
        <v>7</v>
      </c>
    </row>
    <row r="657" spans="1:5" x14ac:dyDescent="0.3">
      <c r="A657" t="s">
        <v>14</v>
      </c>
      <c r="B657" t="s">
        <v>364</v>
      </c>
      <c r="C657" t="s">
        <v>363</v>
      </c>
      <c r="D657">
        <v>31925</v>
      </c>
      <c r="E657">
        <v>7</v>
      </c>
    </row>
    <row r="658" spans="1:5" x14ac:dyDescent="0.3">
      <c r="A658" t="s">
        <v>21</v>
      </c>
      <c r="B658" t="s">
        <v>192</v>
      </c>
      <c r="C658" t="s">
        <v>363</v>
      </c>
      <c r="D658">
        <v>34468</v>
      </c>
      <c r="E658">
        <v>6</v>
      </c>
    </row>
    <row r="659" spans="1:5" x14ac:dyDescent="0.3">
      <c r="A659" t="s">
        <v>50</v>
      </c>
      <c r="B659" t="s">
        <v>302</v>
      </c>
      <c r="C659" t="s">
        <v>363</v>
      </c>
      <c r="D659">
        <v>44558</v>
      </c>
      <c r="E659">
        <v>7</v>
      </c>
    </row>
    <row r="660" spans="1:5" x14ac:dyDescent="0.3">
      <c r="A660" t="s">
        <v>5</v>
      </c>
      <c r="B660" t="s">
        <v>152</v>
      </c>
      <c r="C660" t="s">
        <v>363</v>
      </c>
      <c r="D660">
        <v>25879</v>
      </c>
      <c r="E660">
        <v>6</v>
      </c>
    </row>
    <row r="661" spans="1:5" x14ac:dyDescent="0.3">
      <c r="A661" t="s">
        <v>12</v>
      </c>
      <c r="B661" t="s">
        <v>71</v>
      </c>
      <c r="C661" t="s">
        <v>363</v>
      </c>
      <c r="D661">
        <v>32402</v>
      </c>
      <c r="E661">
        <v>6</v>
      </c>
    </row>
    <row r="662" spans="1:5" x14ac:dyDescent="0.3">
      <c r="A662" t="s">
        <v>28</v>
      </c>
      <c r="B662" t="s">
        <v>302</v>
      </c>
      <c r="C662" t="s">
        <v>363</v>
      </c>
      <c r="D662">
        <v>43890</v>
      </c>
      <c r="E662">
        <v>1</v>
      </c>
    </row>
    <row r="663" spans="1:5" x14ac:dyDescent="0.3">
      <c r="A663" t="s">
        <v>8</v>
      </c>
      <c r="B663" t="s">
        <v>100</v>
      </c>
      <c r="C663" t="s">
        <v>365</v>
      </c>
      <c r="D663">
        <v>73703</v>
      </c>
      <c r="E663">
        <v>8</v>
      </c>
    </row>
    <row r="664" spans="1:5" x14ac:dyDescent="0.3">
      <c r="A664" t="s">
        <v>8</v>
      </c>
      <c r="B664" t="s">
        <v>112</v>
      </c>
      <c r="C664" t="s">
        <v>365</v>
      </c>
      <c r="D664">
        <v>84876</v>
      </c>
      <c r="E664">
        <v>7</v>
      </c>
    </row>
    <row r="665" spans="1:5" x14ac:dyDescent="0.3">
      <c r="A665" t="s">
        <v>21</v>
      </c>
      <c r="B665" t="s">
        <v>116</v>
      </c>
      <c r="C665" t="s">
        <v>365</v>
      </c>
      <c r="D665">
        <v>10151</v>
      </c>
      <c r="E665">
        <v>6</v>
      </c>
    </row>
    <row r="666" spans="1:5" x14ac:dyDescent="0.3">
      <c r="A666" t="s">
        <v>21</v>
      </c>
      <c r="B666" t="s">
        <v>9</v>
      </c>
      <c r="C666" t="s">
        <v>366</v>
      </c>
      <c r="D666">
        <v>50473</v>
      </c>
      <c r="E666">
        <v>7</v>
      </c>
    </row>
    <row r="667" spans="1:5" x14ac:dyDescent="0.3">
      <c r="A667" t="s">
        <v>10</v>
      </c>
      <c r="B667" t="s">
        <v>166</v>
      </c>
      <c r="C667" t="s">
        <v>366</v>
      </c>
      <c r="D667">
        <v>53841</v>
      </c>
      <c r="E667">
        <v>9</v>
      </c>
    </row>
    <row r="668" spans="1:5" x14ac:dyDescent="0.3">
      <c r="A668" t="s">
        <v>8</v>
      </c>
      <c r="B668" t="s">
        <v>17</v>
      </c>
      <c r="C668" t="s">
        <v>366</v>
      </c>
      <c r="D668">
        <v>75550</v>
      </c>
      <c r="E668">
        <v>0</v>
      </c>
    </row>
    <row r="669" spans="1:5" x14ac:dyDescent="0.3">
      <c r="A669" t="s">
        <v>47</v>
      </c>
      <c r="B669" t="s">
        <v>77</v>
      </c>
      <c r="C669" t="s">
        <v>366</v>
      </c>
      <c r="D669">
        <v>42724</v>
      </c>
      <c r="E669">
        <v>5</v>
      </c>
    </row>
    <row r="670" spans="1:5" x14ac:dyDescent="0.3">
      <c r="A670" t="s">
        <v>47</v>
      </c>
      <c r="B670" t="s">
        <v>51</v>
      </c>
      <c r="C670" t="s">
        <v>366</v>
      </c>
      <c r="D670">
        <v>14969</v>
      </c>
      <c r="E670">
        <v>4</v>
      </c>
    </row>
    <row r="671" spans="1:5" x14ac:dyDescent="0.3">
      <c r="A671" t="s">
        <v>47</v>
      </c>
      <c r="B671" t="s">
        <v>81</v>
      </c>
      <c r="C671" t="s">
        <v>367</v>
      </c>
      <c r="D671">
        <v>82152</v>
      </c>
      <c r="E671">
        <v>6</v>
      </c>
    </row>
    <row r="672" spans="1:5" x14ac:dyDescent="0.3">
      <c r="A672" t="s">
        <v>18</v>
      </c>
      <c r="B672" t="s">
        <v>144</v>
      </c>
      <c r="C672" t="s">
        <v>367</v>
      </c>
      <c r="D672">
        <v>58310</v>
      </c>
      <c r="E672">
        <v>3</v>
      </c>
    </row>
    <row r="673" spans="1:5" x14ac:dyDescent="0.3">
      <c r="A673" t="s">
        <v>28</v>
      </c>
      <c r="B673" t="s">
        <v>131</v>
      </c>
      <c r="C673" t="s">
        <v>367</v>
      </c>
      <c r="D673">
        <v>33177</v>
      </c>
      <c r="E673">
        <v>4</v>
      </c>
    </row>
    <row r="674" spans="1:5" x14ac:dyDescent="0.3">
      <c r="A674" t="s">
        <v>18</v>
      </c>
      <c r="B674" t="s">
        <v>94</v>
      </c>
      <c r="C674" t="s">
        <v>367</v>
      </c>
      <c r="D674">
        <v>54713</v>
      </c>
      <c r="E674">
        <v>2</v>
      </c>
    </row>
    <row r="675" spans="1:5" x14ac:dyDescent="0.3">
      <c r="A675" t="s">
        <v>10</v>
      </c>
      <c r="B675" t="s">
        <v>77</v>
      </c>
      <c r="C675" t="s">
        <v>368</v>
      </c>
      <c r="D675">
        <v>46020</v>
      </c>
      <c r="E675">
        <v>8</v>
      </c>
    </row>
    <row r="676" spans="1:5" x14ac:dyDescent="0.3">
      <c r="A676" t="s">
        <v>14</v>
      </c>
      <c r="B676" t="s">
        <v>49</v>
      </c>
      <c r="C676" t="s">
        <v>368</v>
      </c>
      <c r="D676">
        <v>49580</v>
      </c>
      <c r="E676">
        <v>5</v>
      </c>
    </row>
    <row r="677" spans="1:5" x14ac:dyDescent="0.3">
      <c r="A677" t="s">
        <v>8</v>
      </c>
      <c r="B677" t="s">
        <v>318</v>
      </c>
      <c r="C677" t="s">
        <v>368</v>
      </c>
      <c r="D677">
        <v>93022</v>
      </c>
      <c r="E677">
        <v>2</v>
      </c>
    </row>
    <row r="678" spans="1:5" x14ac:dyDescent="0.3">
      <c r="A678" t="s">
        <v>8</v>
      </c>
      <c r="B678" t="s">
        <v>178</v>
      </c>
      <c r="C678" t="s">
        <v>368</v>
      </c>
      <c r="D678">
        <v>76102</v>
      </c>
      <c r="E678">
        <v>8</v>
      </c>
    </row>
    <row r="679" spans="1:5" x14ac:dyDescent="0.3">
      <c r="A679" t="s">
        <v>5</v>
      </c>
      <c r="B679" t="s">
        <v>58</v>
      </c>
      <c r="C679" t="s">
        <v>368</v>
      </c>
      <c r="D679">
        <v>57796</v>
      </c>
      <c r="E679">
        <v>6</v>
      </c>
    </row>
    <row r="680" spans="1:5" x14ac:dyDescent="0.3">
      <c r="A680" t="s">
        <v>5</v>
      </c>
      <c r="B680" t="s">
        <v>42</v>
      </c>
      <c r="C680" t="s">
        <v>368</v>
      </c>
      <c r="D680">
        <v>19360</v>
      </c>
      <c r="E680">
        <v>2</v>
      </c>
    </row>
    <row r="681" spans="1:5" x14ac:dyDescent="0.3">
      <c r="A681" t="s">
        <v>28</v>
      </c>
      <c r="B681" t="s">
        <v>54</v>
      </c>
      <c r="C681" t="s">
        <v>368</v>
      </c>
      <c r="D681">
        <v>78216</v>
      </c>
      <c r="E681">
        <v>5</v>
      </c>
    </row>
    <row r="682" spans="1:5" x14ac:dyDescent="0.3">
      <c r="A682" t="s">
        <v>50</v>
      </c>
      <c r="B682" t="s">
        <v>85</v>
      </c>
      <c r="C682" t="s">
        <v>368</v>
      </c>
      <c r="D682">
        <v>81943</v>
      </c>
      <c r="E682">
        <v>5</v>
      </c>
    </row>
    <row r="683" spans="1:5" x14ac:dyDescent="0.3">
      <c r="A683" t="s">
        <v>5</v>
      </c>
      <c r="B683" t="s">
        <v>117</v>
      </c>
      <c r="C683" t="s">
        <v>368</v>
      </c>
      <c r="D683">
        <v>93840</v>
      </c>
      <c r="E683">
        <v>8</v>
      </c>
    </row>
    <row r="684" spans="1:5" x14ac:dyDescent="0.3">
      <c r="A684" t="s">
        <v>14</v>
      </c>
      <c r="B684" t="s">
        <v>54</v>
      </c>
      <c r="C684" t="s">
        <v>368</v>
      </c>
      <c r="D684">
        <v>10910</v>
      </c>
      <c r="E684">
        <v>4</v>
      </c>
    </row>
    <row r="685" spans="1:5" x14ac:dyDescent="0.3">
      <c r="A685" t="s">
        <v>5</v>
      </c>
      <c r="B685" t="s">
        <v>124</v>
      </c>
      <c r="C685" t="s">
        <v>368</v>
      </c>
      <c r="D685">
        <v>36497</v>
      </c>
      <c r="E685">
        <v>6</v>
      </c>
    </row>
    <row r="686" spans="1:5" x14ac:dyDescent="0.3">
      <c r="A686" t="s">
        <v>21</v>
      </c>
      <c r="B686" t="s">
        <v>163</v>
      </c>
      <c r="C686" t="s">
        <v>368</v>
      </c>
      <c r="D686">
        <v>52003</v>
      </c>
      <c r="E686">
        <v>7</v>
      </c>
    </row>
    <row r="687" spans="1:5" x14ac:dyDescent="0.3">
      <c r="A687" t="s">
        <v>28</v>
      </c>
      <c r="B687" t="s">
        <v>160</v>
      </c>
      <c r="C687" t="s">
        <v>368</v>
      </c>
      <c r="D687">
        <v>93726</v>
      </c>
      <c r="E687">
        <v>9</v>
      </c>
    </row>
    <row r="688" spans="1:5" x14ac:dyDescent="0.3">
      <c r="A688" t="s">
        <v>21</v>
      </c>
      <c r="B688" t="s">
        <v>90</v>
      </c>
      <c r="C688" t="s">
        <v>369</v>
      </c>
      <c r="D688">
        <v>57452</v>
      </c>
      <c r="E688">
        <v>6</v>
      </c>
    </row>
    <row r="689" spans="1:5" x14ac:dyDescent="0.3">
      <c r="A689" t="s">
        <v>12</v>
      </c>
      <c r="B689" t="s">
        <v>190</v>
      </c>
      <c r="C689" t="s">
        <v>369</v>
      </c>
      <c r="D689">
        <v>78404</v>
      </c>
      <c r="E689">
        <v>7</v>
      </c>
    </row>
    <row r="690" spans="1:5" x14ac:dyDescent="0.3">
      <c r="A690" t="s">
        <v>12</v>
      </c>
      <c r="B690" t="s">
        <v>270</v>
      </c>
      <c r="C690" t="s">
        <v>369</v>
      </c>
      <c r="D690">
        <v>31046</v>
      </c>
      <c r="E690">
        <v>7</v>
      </c>
    </row>
    <row r="691" spans="1:5" x14ac:dyDescent="0.3">
      <c r="A691" t="s">
        <v>40</v>
      </c>
      <c r="B691" t="s">
        <v>81</v>
      </c>
      <c r="C691" t="s">
        <v>369</v>
      </c>
      <c r="D691">
        <v>81933</v>
      </c>
      <c r="E691">
        <v>10</v>
      </c>
    </row>
    <row r="692" spans="1:5" x14ac:dyDescent="0.3">
      <c r="A692" t="s">
        <v>18</v>
      </c>
      <c r="B692" t="s">
        <v>92</v>
      </c>
      <c r="C692" t="s">
        <v>370</v>
      </c>
      <c r="D692">
        <v>98003</v>
      </c>
      <c r="E692">
        <v>7</v>
      </c>
    </row>
    <row r="693" spans="1:5" x14ac:dyDescent="0.3">
      <c r="A693" t="s">
        <v>8</v>
      </c>
      <c r="B693" t="s">
        <v>90</v>
      </c>
      <c r="C693" t="s">
        <v>370</v>
      </c>
      <c r="D693">
        <v>38453</v>
      </c>
      <c r="E693">
        <v>5</v>
      </c>
    </row>
    <row r="694" spans="1:5" x14ac:dyDescent="0.3">
      <c r="A694" t="s">
        <v>10</v>
      </c>
      <c r="B694" t="s">
        <v>71</v>
      </c>
      <c r="C694" t="s">
        <v>371</v>
      </c>
      <c r="D694">
        <v>69475</v>
      </c>
      <c r="E694">
        <v>2</v>
      </c>
    </row>
    <row r="695" spans="1:5" x14ac:dyDescent="0.3">
      <c r="A695" t="s">
        <v>18</v>
      </c>
      <c r="B695" t="s">
        <v>29</v>
      </c>
      <c r="C695" t="s">
        <v>371</v>
      </c>
      <c r="D695">
        <v>72603</v>
      </c>
      <c r="E695">
        <v>6</v>
      </c>
    </row>
    <row r="696" spans="1:5" x14ac:dyDescent="0.3">
      <c r="A696" t="s">
        <v>47</v>
      </c>
      <c r="B696" t="s">
        <v>55</v>
      </c>
      <c r="C696" t="s">
        <v>371</v>
      </c>
      <c r="D696">
        <v>64687</v>
      </c>
      <c r="E696">
        <v>6</v>
      </c>
    </row>
    <row r="697" spans="1:5" x14ac:dyDescent="0.3">
      <c r="A697" t="s">
        <v>8</v>
      </c>
      <c r="B697" t="s">
        <v>60</v>
      </c>
      <c r="C697" t="s">
        <v>372</v>
      </c>
      <c r="D697">
        <v>78443</v>
      </c>
      <c r="E697">
        <v>1</v>
      </c>
    </row>
    <row r="698" spans="1:5" x14ac:dyDescent="0.3">
      <c r="A698" t="s">
        <v>45</v>
      </c>
      <c r="B698" t="s">
        <v>19</v>
      </c>
      <c r="C698" t="s">
        <v>373</v>
      </c>
      <c r="D698">
        <v>50784</v>
      </c>
      <c r="E698">
        <v>9</v>
      </c>
    </row>
    <row r="699" spans="1:5" x14ac:dyDescent="0.3">
      <c r="A699" t="s">
        <v>14</v>
      </c>
      <c r="B699" t="s">
        <v>225</v>
      </c>
      <c r="C699" t="s">
        <v>373</v>
      </c>
      <c r="D699">
        <v>68467</v>
      </c>
      <c r="E699">
        <v>6</v>
      </c>
    </row>
    <row r="700" spans="1:5" x14ac:dyDescent="0.3">
      <c r="A700" t="s">
        <v>10</v>
      </c>
      <c r="B700" t="s">
        <v>284</v>
      </c>
      <c r="C700" t="s">
        <v>373</v>
      </c>
      <c r="D700">
        <v>24920</v>
      </c>
      <c r="E700">
        <v>7</v>
      </c>
    </row>
    <row r="701" spans="1:5" x14ac:dyDescent="0.3">
      <c r="A701" t="s">
        <v>14</v>
      </c>
      <c r="B701" t="s">
        <v>11</v>
      </c>
      <c r="C701" t="s">
        <v>373</v>
      </c>
      <c r="D701">
        <v>93950</v>
      </c>
      <c r="E701">
        <v>6</v>
      </c>
    </row>
    <row r="702" spans="1:5" x14ac:dyDescent="0.3">
      <c r="A702" t="s">
        <v>18</v>
      </c>
      <c r="B702" t="s">
        <v>192</v>
      </c>
      <c r="C702" t="s">
        <v>373</v>
      </c>
      <c r="D702">
        <v>18899</v>
      </c>
      <c r="E702">
        <v>8</v>
      </c>
    </row>
    <row r="703" spans="1:5" x14ac:dyDescent="0.3">
      <c r="A703" t="s">
        <v>21</v>
      </c>
      <c r="B703" t="s">
        <v>53</v>
      </c>
      <c r="C703" t="s">
        <v>373</v>
      </c>
      <c r="D703">
        <v>47643</v>
      </c>
      <c r="E703">
        <v>6</v>
      </c>
    </row>
    <row r="704" spans="1:5" x14ac:dyDescent="0.3">
      <c r="A704" t="s">
        <v>12</v>
      </c>
      <c r="B704" t="s">
        <v>178</v>
      </c>
      <c r="C704" t="s">
        <v>373</v>
      </c>
      <c r="D704">
        <v>31002</v>
      </c>
      <c r="E704">
        <v>8</v>
      </c>
    </row>
    <row r="705" spans="1:5" x14ac:dyDescent="0.3">
      <c r="A705" t="s">
        <v>21</v>
      </c>
      <c r="B705" t="s">
        <v>117</v>
      </c>
      <c r="C705" t="s">
        <v>373</v>
      </c>
      <c r="D705">
        <v>76248</v>
      </c>
      <c r="E705">
        <v>2</v>
      </c>
    </row>
    <row r="706" spans="1:5" x14ac:dyDescent="0.3">
      <c r="A706" t="s">
        <v>28</v>
      </c>
      <c r="B706" t="s">
        <v>67</v>
      </c>
      <c r="C706" t="s">
        <v>373</v>
      </c>
      <c r="D706">
        <v>74643</v>
      </c>
      <c r="E706">
        <v>5</v>
      </c>
    </row>
    <row r="707" spans="1:5" x14ac:dyDescent="0.3">
      <c r="A707" t="s">
        <v>8</v>
      </c>
      <c r="B707" t="s">
        <v>6</v>
      </c>
      <c r="C707" t="s">
        <v>373</v>
      </c>
      <c r="D707">
        <v>77585</v>
      </c>
      <c r="E707">
        <v>9</v>
      </c>
    </row>
    <row r="708" spans="1:5" x14ac:dyDescent="0.3">
      <c r="A708" t="s">
        <v>50</v>
      </c>
      <c r="B708" t="s">
        <v>276</v>
      </c>
      <c r="C708" t="s">
        <v>373</v>
      </c>
      <c r="D708">
        <v>59722</v>
      </c>
      <c r="E708">
        <v>6</v>
      </c>
    </row>
    <row r="709" spans="1:5" x14ac:dyDescent="0.3">
      <c r="A709" t="s">
        <v>14</v>
      </c>
      <c r="B709" t="s">
        <v>115</v>
      </c>
      <c r="C709" t="s">
        <v>373</v>
      </c>
      <c r="D709">
        <v>87931</v>
      </c>
      <c r="E709">
        <v>2</v>
      </c>
    </row>
    <row r="710" spans="1:5" x14ac:dyDescent="0.3">
      <c r="A710" t="s">
        <v>5</v>
      </c>
      <c r="B710" t="s">
        <v>80</v>
      </c>
      <c r="C710" t="s">
        <v>374</v>
      </c>
      <c r="D710">
        <v>52108</v>
      </c>
      <c r="E710">
        <v>5</v>
      </c>
    </row>
    <row r="711" spans="1:5" x14ac:dyDescent="0.3">
      <c r="A711" t="s">
        <v>5</v>
      </c>
      <c r="B711" t="s">
        <v>318</v>
      </c>
      <c r="C711" t="s">
        <v>374</v>
      </c>
      <c r="D711">
        <v>88135</v>
      </c>
      <c r="E711">
        <v>7</v>
      </c>
    </row>
    <row r="712" spans="1:5" x14ac:dyDescent="0.3">
      <c r="A712" t="s">
        <v>10</v>
      </c>
      <c r="B712" t="s">
        <v>112</v>
      </c>
      <c r="C712" t="s">
        <v>374</v>
      </c>
      <c r="D712">
        <v>12759</v>
      </c>
      <c r="E712">
        <v>9</v>
      </c>
    </row>
    <row r="713" spans="1:5" x14ac:dyDescent="0.3">
      <c r="A713" t="s">
        <v>47</v>
      </c>
      <c r="B713" t="s">
        <v>116</v>
      </c>
      <c r="C713" t="s">
        <v>375</v>
      </c>
      <c r="D713">
        <v>18338</v>
      </c>
      <c r="E713">
        <v>7</v>
      </c>
    </row>
    <row r="714" spans="1:5" x14ac:dyDescent="0.3">
      <c r="A714" t="s">
        <v>5</v>
      </c>
      <c r="B714" t="s">
        <v>87</v>
      </c>
      <c r="C714" t="s">
        <v>375</v>
      </c>
      <c r="D714">
        <v>67949</v>
      </c>
      <c r="E714">
        <v>9</v>
      </c>
    </row>
    <row r="715" spans="1:5" x14ac:dyDescent="0.3">
      <c r="A715" t="s">
        <v>21</v>
      </c>
      <c r="B715" t="s">
        <v>66</v>
      </c>
      <c r="C715" t="s">
        <v>376</v>
      </c>
      <c r="D715">
        <v>51205</v>
      </c>
      <c r="E715">
        <v>3</v>
      </c>
    </row>
    <row r="716" spans="1:5" x14ac:dyDescent="0.3">
      <c r="A716" t="s">
        <v>10</v>
      </c>
      <c r="B716" t="s">
        <v>41</v>
      </c>
      <c r="C716" t="s">
        <v>376</v>
      </c>
      <c r="D716">
        <v>89012</v>
      </c>
      <c r="E716">
        <v>10</v>
      </c>
    </row>
    <row r="717" spans="1:5" x14ac:dyDescent="0.3">
      <c r="A717" t="s">
        <v>21</v>
      </c>
      <c r="B717" t="s">
        <v>251</v>
      </c>
      <c r="C717" t="s">
        <v>377</v>
      </c>
      <c r="D717">
        <v>24629</v>
      </c>
      <c r="E717">
        <v>8</v>
      </c>
    </row>
    <row r="718" spans="1:5" x14ac:dyDescent="0.3">
      <c r="A718" t="s">
        <v>50</v>
      </c>
      <c r="B718" t="s">
        <v>150</v>
      </c>
      <c r="C718" t="s">
        <v>377</v>
      </c>
      <c r="D718">
        <v>10969</v>
      </c>
      <c r="E718">
        <v>7</v>
      </c>
    </row>
    <row r="719" spans="1:5" x14ac:dyDescent="0.3">
      <c r="A719" t="s">
        <v>45</v>
      </c>
      <c r="B719" t="s">
        <v>11</v>
      </c>
      <c r="C719" t="s">
        <v>377</v>
      </c>
      <c r="D719">
        <v>85244</v>
      </c>
      <c r="E719">
        <v>6</v>
      </c>
    </row>
    <row r="720" spans="1:5" x14ac:dyDescent="0.3">
      <c r="A720" t="s">
        <v>21</v>
      </c>
      <c r="B720" t="s">
        <v>83</v>
      </c>
      <c r="C720" t="s">
        <v>378</v>
      </c>
      <c r="D720">
        <v>17454</v>
      </c>
      <c r="E720">
        <v>6</v>
      </c>
    </row>
    <row r="721" spans="1:5" x14ac:dyDescent="0.3">
      <c r="A721" t="s">
        <v>40</v>
      </c>
      <c r="B721" t="s">
        <v>30</v>
      </c>
      <c r="C721" t="s">
        <v>378</v>
      </c>
      <c r="D721">
        <v>34862</v>
      </c>
      <c r="E721">
        <v>5</v>
      </c>
    </row>
    <row r="722" spans="1:5" x14ac:dyDescent="0.3">
      <c r="A722" t="s">
        <v>45</v>
      </c>
      <c r="B722" t="s">
        <v>52</v>
      </c>
      <c r="C722" t="s">
        <v>378</v>
      </c>
      <c r="D722">
        <v>33294</v>
      </c>
      <c r="E722">
        <v>5</v>
      </c>
    </row>
    <row r="723" spans="1:5" x14ac:dyDescent="0.3">
      <c r="A723" t="s">
        <v>5</v>
      </c>
      <c r="B723" t="s">
        <v>94</v>
      </c>
      <c r="C723" t="s">
        <v>378</v>
      </c>
      <c r="D723">
        <v>74239</v>
      </c>
      <c r="E723">
        <v>5</v>
      </c>
    </row>
    <row r="724" spans="1:5" x14ac:dyDescent="0.3">
      <c r="A724" t="s">
        <v>21</v>
      </c>
      <c r="B724" t="s">
        <v>289</v>
      </c>
      <c r="C724" t="s">
        <v>378</v>
      </c>
      <c r="D724">
        <v>97614</v>
      </c>
      <c r="E724">
        <v>3</v>
      </c>
    </row>
    <row r="725" spans="1:5" x14ac:dyDescent="0.3">
      <c r="A725" t="s">
        <v>47</v>
      </c>
      <c r="B725" t="s">
        <v>74</v>
      </c>
      <c r="C725" t="s">
        <v>378</v>
      </c>
      <c r="D725">
        <v>42182</v>
      </c>
      <c r="E725">
        <v>6</v>
      </c>
    </row>
    <row r="726" spans="1:5" x14ac:dyDescent="0.3">
      <c r="A726" t="s">
        <v>45</v>
      </c>
      <c r="B726" t="s">
        <v>24</v>
      </c>
      <c r="C726" t="s">
        <v>378</v>
      </c>
      <c r="D726">
        <v>16412</v>
      </c>
      <c r="E726">
        <v>5</v>
      </c>
    </row>
    <row r="727" spans="1:5" x14ac:dyDescent="0.3">
      <c r="A727" t="s">
        <v>10</v>
      </c>
      <c r="B727" t="s">
        <v>180</v>
      </c>
      <c r="C727" t="s">
        <v>378</v>
      </c>
      <c r="D727">
        <v>20089</v>
      </c>
      <c r="E727">
        <v>8</v>
      </c>
    </row>
    <row r="728" spans="1:5" x14ac:dyDescent="0.3">
      <c r="A728" t="s">
        <v>10</v>
      </c>
      <c r="B728" t="s">
        <v>52</v>
      </c>
      <c r="C728" t="s">
        <v>378</v>
      </c>
      <c r="D728">
        <v>73232</v>
      </c>
      <c r="E728">
        <v>8</v>
      </c>
    </row>
    <row r="729" spans="1:5" x14ac:dyDescent="0.3">
      <c r="A729" t="s">
        <v>18</v>
      </c>
      <c r="B729" t="s">
        <v>27</v>
      </c>
      <c r="C729" t="s">
        <v>379</v>
      </c>
      <c r="D729">
        <v>40538</v>
      </c>
      <c r="E729">
        <v>7</v>
      </c>
    </row>
    <row r="730" spans="1:5" x14ac:dyDescent="0.3">
      <c r="A730" t="s">
        <v>47</v>
      </c>
      <c r="B730" t="s">
        <v>214</v>
      </c>
      <c r="C730" t="s">
        <v>379</v>
      </c>
      <c r="D730">
        <v>82464</v>
      </c>
      <c r="E730">
        <v>7</v>
      </c>
    </row>
    <row r="731" spans="1:5" x14ac:dyDescent="0.3">
      <c r="A731" t="s">
        <v>18</v>
      </c>
      <c r="B731" t="s">
        <v>69</v>
      </c>
      <c r="C731" t="s">
        <v>379</v>
      </c>
      <c r="D731">
        <v>48266</v>
      </c>
      <c r="E731">
        <v>7</v>
      </c>
    </row>
    <row r="732" spans="1:5" x14ac:dyDescent="0.3">
      <c r="A732" t="s">
        <v>18</v>
      </c>
      <c r="B732" t="s">
        <v>380</v>
      </c>
      <c r="C732" t="s">
        <v>379</v>
      </c>
      <c r="D732">
        <v>94951</v>
      </c>
      <c r="E732">
        <v>6</v>
      </c>
    </row>
    <row r="733" spans="1:5" x14ac:dyDescent="0.3">
      <c r="A733" t="s">
        <v>45</v>
      </c>
      <c r="B733" t="s">
        <v>324</v>
      </c>
      <c r="C733" t="s">
        <v>379</v>
      </c>
      <c r="D733">
        <v>71760</v>
      </c>
      <c r="E733">
        <v>10</v>
      </c>
    </row>
    <row r="734" spans="1:5" x14ac:dyDescent="0.3">
      <c r="A734" t="s">
        <v>50</v>
      </c>
      <c r="B734" t="s">
        <v>41</v>
      </c>
      <c r="C734" t="s">
        <v>381</v>
      </c>
      <c r="D734">
        <v>72601</v>
      </c>
      <c r="E734">
        <v>9</v>
      </c>
    </row>
    <row r="735" spans="1:5" x14ac:dyDescent="0.3">
      <c r="A735" t="s">
        <v>21</v>
      </c>
      <c r="B735" t="s">
        <v>63</v>
      </c>
      <c r="C735" t="s">
        <v>382</v>
      </c>
      <c r="D735">
        <v>97422</v>
      </c>
      <c r="E735">
        <v>8</v>
      </c>
    </row>
    <row r="736" spans="1:5" x14ac:dyDescent="0.3">
      <c r="A736" t="s">
        <v>47</v>
      </c>
      <c r="B736" t="s">
        <v>258</v>
      </c>
      <c r="C736" t="s">
        <v>382</v>
      </c>
      <c r="D736">
        <v>12239</v>
      </c>
      <c r="E736">
        <v>1</v>
      </c>
    </row>
    <row r="737" spans="1:5" x14ac:dyDescent="0.3">
      <c r="A737" t="s">
        <v>14</v>
      </c>
      <c r="B737" t="s">
        <v>166</v>
      </c>
      <c r="C737" t="s">
        <v>382</v>
      </c>
      <c r="D737">
        <v>23285</v>
      </c>
      <c r="E737">
        <v>5</v>
      </c>
    </row>
    <row r="738" spans="1:5" x14ac:dyDescent="0.3">
      <c r="A738" t="s">
        <v>8</v>
      </c>
      <c r="B738" t="s">
        <v>109</v>
      </c>
      <c r="C738" t="s">
        <v>382</v>
      </c>
      <c r="D738">
        <v>10885</v>
      </c>
      <c r="E738">
        <v>10</v>
      </c>
    </row>
    <row r="739" spans="1:5" x14ac:dyDescent="0.3">
      <c r="A739" t="s">
        <v>21</v>
      </c>
      <c r="B739" t="s">
        <v>279</v>
      </c>
      <c r="C739" t="s">
        <v>382</v>
      </c>
      <c r="D739">
        <v>30699</v>
      </c>
      <c r="E739">
        <v>3</v>
      </c>
    </row>
    <row r="740" spans="1:5" x14ac:dyDescent="0.3">
      <c r="A740" t="s">
        <v>28</v>
      </c>
      <c r="B740" t="s">
        <v>205</v>
      </c>
      <c r="C740" t="s">
        <v>383</v>
      </c>
      <c r="D740">
        <v>53964</v>
      </c>
      <c r="E740">
        <v>4</v>
      </c>
    </row>
    <row r="741" spans="1:5" x14ac:dyDescent="0.3">
      <c r="A741" t="s">
        <v>10</v>
      </c>
      <c r="B741" t="s">
        <v>81</v>
      </c>
      <c r="C741" t="s">
        <v>383</v>
      </c>
      <c r="D741">
        <v>18314</v>
      </c>
      <c r="E741">
        <v>10</v>
      </c>
    </row>
    <row r="742" spans="1:5" x14ac:dyDescent="0.3">
      <c r="A742" t="s">
        <v>28</v>
      </c>
      <c r="B742" t="s">
        <v>146</v>
      </c>
      <c r="C742" t="s">
        <v>383</v>
      </c>
      <c r="D742">
        <v>43253</v>
      </c>
      <c r="E742">
        <v>6</v>
      </c>
    </row>
    <row r="743" spans="1:5" x14ac:dyDescent="0.3">
      <c r="A743" t="s">
        <v>40</v>
      </c>
      <c r="B743" t="s">
        <v>22</v>
      </c>
      <c r="C743" t="s">
        <v>384</v>
      </c>
      <c r="D743">
        <v>23298</v>
      </c>
      <c r="E743">
        <v>6</v>
      </c>
    </row>
    <row r="744" spans="1:5" x14ac:dyDescent="0.3">
      <c r="A744" t="s">
        <v>50</v>
      </c>
      <c r="B744" t="s">
        <v>110</v>
      </c>
      <c r="C744" t="s">
        <v>384</v>
      </c>
      <c r="D744">
        <v>46581</v>
      </c>
      <c r="E744">
        <v>7</v>
      </c>
    </row>
    <row r="745" spans="1:5" x14ac:dyDescent="0.3">
      <c r="A745" t="s">
        <v>47</v>
      </c>
      <c r="B745" t="s">
        <v>149</v>
      </c>
      <c r="C745" t="s">
        <v>384</v>
      </c>
      <c r="D745">
        <v>41384</v>
      </c>
      <c r="E745">
        <v>7</v>
      </c>
    </row>
    <row r="746" spans="1:5" x14ac:dyDescent="0.3">
      <c r="A746" t="s">
        <v>21</v>
      </c>
      <c r="B746" t="s">
        <v>360</v>
      </c>
      <c r="C746" t="s">
        <v>385</v>
      </c>
      <c r="D746">
        <v>93507</v>
      </c>
      <c r="E746">
        <v>3</v>
      </c>
    </row>
    <row r="747" spans="1:5" x14ac:dyDescent="0.3">
      <c r="A747" t="s">
        <v>45</v>
      </c>
      <c r="B747" t="s">
        <v>165</v>
      </c>
      <c r="C747" t="s">
        <v>385</v>
      </c>
      <c r="D747">
        <v>23626</v>
      </c>
      <c r="E747">
        <v>7</v>
      </c>
    </row>
    <row r="748" spans="1:5" x14ac:dyDescent="0.3">
      <c r="A748" t="s">
        <v>47</v>
      </c>
      <c r="B748" t="s">
        <v>165</v>
      </c>
      <c r="C748" t="s">
        <v>385</v>
      </c>
      <c r="D748">
        <v>30585</v>
      </c>
      <c r="E748">
        <v>5</v>
      </c>
    </row>
    <row r="749" spans="1:5" x14ac:dyDescent="0.3">
      <c r="A749" t="s">
        <v>47</v>
      </c>
      <c r="B749" t="s">
        <v>22</v>
      </c>
      <c r="C749" t="s">
        <v>386</v>
      </c>
      <c r="D749">
        <v>11002</v>
      </c>
      <c r="E749">
        <v>8</v>
      </c>
    </row>
    <row r="750" spans="1:5" x14ac:dyDescent="0.3">
      <c r="A750" t="s">
        <v>21</v>
      </c>
      <c r="B750" t="s">
        <v>387</v>
      </c>
      <c r="C750" t="s">
        <v>386</v>
      </c>
      <c r="D750">
        <v>28176</v>
      </c>
      <c r="E750">
        <v>9</v>
      </c>
    </row>
    <row r="751" spans="1:5" x14ac:dyDescent="0.3">
      <c r="A751" t="s">
        <v>28</v>
      </c>
      <c r="B751" t="s">
        <v>388</v>
      </c>
      <c r="C751" t="s">
        <v>386</v>
      </c>
      <c r="D751">
        <v>11603</v>
      </c>
      <c r="E751">
        <v>0</v>
      </c>
    </row>
    <row r="752" spans="1:5" x14ac:dyDescent="0.3">
      <c r="A752" t="s">
        <v>12</v>
      </c>
      <c r="B752" t="s">
        <v>181</v>
      </c>
      <c r="C752" t="s">
        <v>386</v>
      </c>
      <c r="D752">
        <v>68572</v>
      </c>
      <c r="E752">
        <v>7</v>
      </c>
    </row>
    <row r="753" spans="1:5" x14ac:dyDescent="0.3">
      <c r="A753" t="s">
        <v>45</v>
      </c>
      <c r="B753" t="s">
        <v>199</v>
      </c>
      <c r="C753" t="s">
        <v>389</v>
      </c>
      <c r="D753">
        <v>99359</v>
      </c>
      <c r="E753">
        <v>3</v>
      </c>
    </row>
    <row r="754" spans="1:5" x14ac:dyDescent="0.3">
      <c r="A754" t="s">
        <v>28</v>
      </c>
      <c r="B754" t="s">
        <v>245</v>
      </c>
      <c r="C754" t="s">
        <v>389</v>
      </c>
      <c r="D754">
        <v>85616</v>
      </c>
      <c r="E754">
        <v>1</v>
      </c>
    </row>
    <row r="755" spans="1:5" x14ac:dyDescent="0.3">
      <c r="A755" t="s">
        <v>47</v>
      </c>
      <c r="B755" t="s">
        <v>39</v>
      </c>
      <c r="C755" t="s">
        <v>389</v>
      </c>
      <c r="D755">
        <v>91775</v>
      </c>
      <c r="E755">
        <v>8</v>
      </c>
    </row>
    <row r="756" spans="1:5" x14ac:dyDescent="0.3">
      <c r="A756" t="s">
        <v>12</v>
      </c>
      <c r="B756" t="s">
        <v>181</v>
      </c>
      <c r="C756" t="s">
        <v>389</v>
      </c>
      <c r="D756">
        <v>68433</v>
      </c>
      <c r="E756">
        <v>1</v>
      </c>
    </row>
    <row r="757" spans="1:5" x14ac:dyDescent="0.3">
      <c r="A757" t="s">
        <v>28</v>
      </c>
      <c r="B757" t="s">
        <v>22</v>
      </c>
      <c r="C757" t="s">
        <v>390</v>
      </c>
      <c r="D757">
        <v>65513</v>
      </c>
      <c r="E757">
        <v>8</v>
      </c>
    </row>
    <row r="758" spans="1:5" x14ac:dyDescent="0.3">
      <c r="A758" t="s">
        <v>18</v>
      </c>
      <c r="B758" t="s">
        <v>17</v>
      </c>
      <c r="C758" t="s">
        <v>390</v>
      </c>
      <c r="D758">
        <v>23403</v>
      </c>
      <c r="E758">
        <v>4</v>
      </c>
    </row>
    <row r="759" spans="1:5" x14ac:dyDescent="0.3">
      <c r="A759" t="s">
        <v>8</v>
      </c>
      <c r="B759" t="s">
        <v>75</v>
      </c>
      <c r="C759" t="s">
        <v>390</v>
      </c>
      <c r="D759">
        <v>38089</v>
      </c>
      <c r="E759">
        <v>4</v>
      </c>
    </row>
    <row r="760" spans="1:5" x14ac:dyDescent="0.3">
      <c r="A760" t="s">
        <v>12</v>
      </c>
      <c r="B760" t="s">
        <v>101</v>
      </c>
      <c r="C760" t="s">
        <v>390</v>
      </c>
      <c r="D760">
        <v>57582</v>
      </c>
      <c r="E760">
        <v>1</v>
      </c>
    </row>
    <row r="761" spans="1:5" x14ac:dyDescent="0.3">
      <c r="A761" t="s">
        <v>10</v>
      </c>
      <c r="B761" t="s">
        <v>137</v>
      </c>
      <c r="C761" t="s">
        <v>390</v>
      </c>
      <c r="D761">
        <v>97646</v>
      </c>
      <c r="E761">
        <v>7</v>
      </c>
    </row>
    <row r="762" spans="1:5" x14ac:dyDescent="0.3">
      <c r="A762" t="s">
        <v>21</v>
      </c>
      <c r="B762" t="s">
        <v>67</v>
      </c>
      <c r="C762" t="s">
        <v>390</v>
      </c>
      <c r="D762">
        <v>86353</v>
      </c>
      <c r="E762">
        <v>6</v>
      </c>
    </row>
    <row r="763" spans="1:5" x14ac:dyDescent="0.3">
      <c r="A763" t="s">
        <v>5</v>
      </c>
      <c r="B763" t="s">
        <v>130</v>
      </c>
      <c r="C763" t="s">
        <v>390</v>
      </c>
      <c r="D763">
        <v>17520</v>
      </c>
      <c r="E763">
        <v>8</v>
      </c>
    </row>
    <row r="764" spans="1:5" x14ac:dyDescent="0.3">
      <c r="A764" t="s">
        <v>18</v>
      </c>
      <c r="B764" t="s">
        <v>174</v>
      </c>
      <c r="C764" t="s">
        <v>391</v>
      </c>
      <c r="D764">
        <v>33281</v>
      </c>
      <c r="E764">
        <v>6</v>
      </c>
    </row>
    <row r="765" spans="1:5" x14ac:dyDescent="0.3">
      <c r="A765" t="s">
        <v>10</v>
      </c>
      <c r="B765" t="s">
        <v>116</v>
      </c>
      <c r="C765" t="s">
        <v>391</v>
      </c>
      <c r="D765">
        <v>62217</v>
      </c>
      <c r="E765">
        <v>1</v>
      </c>
    </row>
    <row r="766" spans="1:5" x14ac:dyDescent="0.3">
      <c r="A766" t="s">
        <v>45</v>
      </c>
      <c r="B766" t="s">
        <v>35</v>
      </c>
      <c r="C766" t="s">
        <v>391</v>
      </c>
      <c r="D766">
        <v>65600</v>
      </c>
      <c r="E766">
        <v>5</v>
      </c>
    </row>
    <row r="767" spans="1:5" x14ac:dyDescent="0.3">
      <c r="A767" t="s">
        <v>40</v>
      </c>
      <c r="B767" t="s">
        <v>171</v>
      </c>
      <c r="C767" t="s">
        <v>391</v>
      </c>
      <c r="D767">
        <v>45605</v>
      </c>
      <c r="E767">
        <v>10</v>
      </c>
    </row>
    <row r="768" spans="1:5" x14ac:dyDescent="0.3">
      <c r="A768" t="s">
        <v>40</v>
      </c>
      <c r="B768" t="s">
        <v>324</v>
      </c>
      <c r="C768" t="s">
        <v>391</v>
      </c>
      <c r="D768">
        <v>94421</v>
      </c>
      <c r="E768">
        <v>9</v>
      </c>
    </row>
    <row r="769" spans="1:5" x14ac:dyDescent="0.3">
      <c r="A769" t="s">
        <v>28</v>
      </c>
      <c r="B769" t="s">
        <v>192</v>
      </c>
      <c r="C769" t="s">
        <v>391</v>
      </c>
      <c r="D769">
        <v>42617</v>
      </c>
      <c r="E769">
        <v>9</v>
      </c>
    </row>
    <row r="770" spans="1:5" x14ac:dyDescent="0.3">
      <c r="A770" t="s">
        <v>45</v>
      </c>
      <c r="B770" t="s">
        <v>77</v>
      </c>
      <c r="C770" t="s">
        <v>391</v>
      </c>
      <c r="D770">
        <v>18399</v>
      </c>
      <c r="E770">
        <v>7</v>
      </c>
    </row>
    <row r="771" spans="1:5" x14ac:dyDescent="0.3">
      <c r="A771" t="s">
        <v>47</v>
      </c>
      <c r="B771" t="s">
        <v>315</v>
      </c>
      <c r="C771" t="s">
        <v>392</v>
      </c>
      <c r="D771">
        <v>74854</v>
      </c>
      <c r="E771">
        <v>6</v>
      </c>
    </row>
    <row r="772" spans="1:5" x14ac:dyDescent="0.3">
      <c r="A772" t="s">
        <v>47</v>
      </c>
      <c r="B772" t="s">
        <v>67</v>
      </c>
      <c r="C772" t="s">
        <v>392</v>
      </c>
      <c r="D772">
        <v>49170</v>
      </c>
      <c r="E772">
        <v>5</v>
      </c>
    </row>
    <row r="773" spans="1:5" x14ac:dyDescent="0.3">
      <c r="A773" t="s">
        <v>47</v>
      </c>
      <c r="B773" t="s">
        <v>119</v>
      </c>
      <c r="C773" t="s">
        <v>392</v>
      </c>
      <c r="D773">
        <v>48617</v>
      </c>
      <c r="E773">
        <v>7</v>
      </c>
    </row>
    <row r="774" spans="1:5" x14ac:dyDescent="0.3">
      <c r="A774" t="s">
        <v>47</v>
      </c>
      <c r="B774" t="s">
        <v>221</v>
      </c>
      <c r="C774" t="s">
        <v>392</v>
      </c>
      <c r="D774">
        <v>41294</v>
      </c>
      <c r="E774">
        <v>10</v>
      </c>
    </row>
    <row r="775" spans="1:5" x14ac:dyDescent="0.3">
      <c r="A775" t="s">
        <v>45</v>
      </c>
      <c r="B775" t="s">
        <v>192</v>
      </c>
      <c r="C775" t="s">
        <v>392</v>
      </c>
      <c r="D775">
        <v>78828</v>
      </c>
      <c r="E775">
        <v>1</v>
      </c>
    </row>
    <row r="776" spans="1:5" x14ac:dyDescent="0.3">
      <c r="A776" t="s">
        <v>47</v>
      </c>
      <c r="B776" t="s">
        <v>105</v>
      </c>
      <c r="C776" t="s">
        <v>393</v>
      </c>
      <c r="D776">
        <v>44817</v>
      </c>
      <c r="E776">
        <v>7</v>
      </c>
    </row>
    <row r="777" spans="1:5" x14ac:dyDescent="0.3">
      <c r="A777" t="s">
        <v>10</v>
      </c>
      <c r="B777" t="s">
        <v>126</v>
      </c>
      <c r="C777" t="s">
        <v>393</v>
      </c>
      <c r="D777">
        <v>95219</v>
      </c>
      <c r="E777">
        <v>8</v>
      </c>
    </row>
    <row r="778" spans="1:5" x14ac:dyDescent="0.3">
      <c r="A778" t="s">
        <v>21</v>
      </c>
      <c r="B778" t="s">
        <v>176</v>
      </c>
      <c r="C778" t="s">
        <v>393</v>
      </c>
      <c r="D778">
        <v>73747</v>
      </c>
      <c r="E778">
        <v>8</v>
      </c>
    </row>
    <row r="779" spans="1:5" x14ac:dyDescent="0.3">
      <c r="A779" t="s">
        <v>47</v>
      </c>
      <c r="B779" t="s">
        <v>160</v>
      </c>
      <c r="C779" t="s">
        <v>393</v>
      </c>
      <c r="D779">
        <v>14257</v>
      </c>
      <c r="E779">
        <v>4</v>
      </c>
    </row>
    <row r="780" spans="1:5" x14ac:dyDescent="0.3">
      <c r="A780" t="s">
        <v>45</v>
      </c>
      <c r="B780" t="s">
        <v>199</v>
      </c>
      <c r="C780" t="s">
        <v>393</v>
      </c>
      <c r="D780">
        <v>61191</v>
      </c>
      <c r="E780">
        <v>10</v>
      </c>
    </row>
    <row r="781" spans="1:5" x14ac:dyDescent="0.3">
      <c r="A781" t="s">
        <v>8</v>
      </c>
      <c r="B781" t="s">
        <v>394</v>
      </c>
      <c r="C781" t="s">
        <v>393</v>
      </c>
      <c r="D781">
        <v>73643</v>
      </c>
      <c r="E781">
        <v>7</v>
      </c>
    </row>
    <row r="782" spans="1:5" x14ac:dyDescent="0.3">
      <c r="A782" t="s">
        <v>47</v>
      </c>
      <c r="B782" t="s">
        <v>6</v>
      </c>
      <c r="C782" t="s">
        <v>395</v>
      </c>
      <c r="D782">
        <v>35777</v>
      </c>
      <c r="E782">
        <v>3</v>
      </c>
    </row>
    <row r="783" spans="1:5" x14ac:dyDescent="0.3">
      <c r="A783" t="s">
        <v>47</v>
      </c>
      <c r="B783" t="s">
        <v>19</v>
      </c>
      <c r="C783" t="s">
        <v>395</v>
      </c>
      <c r="D783">
        <v>68630</v>
      </c>
      <c r="E783">
        <v>8</v>
      </c>
    </row>
    <row r="784" spans="1:5" x14ac:dyDescent="0.3">
      <c r="A784" t="s">
        <v>28</v>
      </c>
      <c r="B784" t="s">
        <v>149</v>
      </c>
      <c r="C784" t="s">
        <v>395</v>
      </c>
      <c r="D784">
        <v>69342</v>
      </c>
      <c r="E784">
        <v>6</v>
      </c>
    </row>
    <row r="785" spans="1:5" x14ac:dyDescent="0.3">
      <c r="A785" t="s">
        <v>47</v>
      </c>
      <c r="B785" t="s">
        <v>231</v>
      </c>
      <c r="C785" t="s">
        <v>396</v>
      </c>
      <c r="D785">
        <v>70862</v>
      </c>
      <c r="E785">
        <v>10</v>
      </c>
    </row>
    <row r="786" spans="1:5" x14ac:dyDescent="0.3">
      <c r="A786" t="s">
        <v>10</v>
      </c>
      <c r="B786" t="s">
        <v>185</v>
      </c>
      <c r="C786" t="s">
        <v>396</v>
      </c>
      <c r="D786">
        <v>61674</v>
      </c>
      <c r="E786">
        <v>1</v>
      </c>
    </row>
    <row r="787" spans="1:5" x14ac:dyDescent="0.3">
      <c r="A787" t="s">
        <v>45</v>
      </c>
      <c r="B787" t="s">
        <v>111</v>
      </c>
      <c r="C787" t="s">
        <v>397</v>
      </c>
      <c r="D787">
        <v>94070</v>
      </c>
      <c r="E787">
        <v>6</v>
      </c>
    </row>
    <row r="788" spans="1:5" x14ac:dyDescent="0.3">
      <c r="A788" t="s">
        <v>8</v>
      </c>
      <c r="B788" t="s">
        <v>105</v>
      </c>
      <c r="C788" t="s">
        <v>397</v>
      </c>
      <c r="D788">
        <v>94876</v>
      </c>
      <c r="E788">
        <v>6</v>
      </c>
    </row>
    <row r="789" spans="1:5" x14ac:dyDescent="0.3">
      <c r="A789" t="s">
        <v>21</v>
      </c>
      <c r="B789" t="s">
        <v>398</v>
      </c>
      <c r="C789" t="s">
        <v>397</v>
      </c>
      <c r="D789">
        <v>38665</v>
      </c>
      <c r="E789">
        <v>2</v>
      </c>
    </row>
    <row r="790" spans="1:5" x14ac:dyDescent="0.3">
      <c r="A790" t="s">
        <v>10</v>
      </c>
      <c r="B790" t="s">
        <v>207</v>
      </c>
      <c r="C790" t="s">
        <v>397</v>
      </c>
      <c r="D790">
        <v>83314</v>
      </c>
      <c r="E790">
        <v>6</v>
      </c>
    </row>
    <row r="791" spans="1:5" x14ac:dyDescent="0.3">
      <c r="A791" t="s">
        <v>50</v>
      </c>
      <c r="B791" t="s">
        <v>149</v>
      </c>
      <c r="C791" t="s">
        <v>397</v>
      </c>
      <c r="D791">
        <v>88147</v>
      </c>
      <c r="E791">
        <v>7</v>
      </c>
    </row>
    <row r="792" spans="1:5" x14ac:dyDescent="0.3">
      <c r="A792" t="s">
        <v>18</v>
      </c>
      <c r="B792" t="s">
        <v>247</v>
      </c>
      <c r="C792" t="s">
        <v>397</v>
      </c>
      <c r="D792">
        <v>90901</v>
      </c>
      <c r="E792">
        <v>5</v>
      </c>
    </row>
    <row r="793" spans="1:5" x14ac:dyDescent="0.3">
      <c r="A793" t="s">
        <v>45</v>
      </c>
      <c r="B793" t="s">
        <v>122</v>
      </c>
      <c r="C793" t="s">
        <v>397</v>
      </c>
      <c r="D793">
        <v>34632</v>
      </c>
      <c r="E793">
        <v>8</v>
      </c>
    </row>
    <row r="794" spans="1:5" x14ac:dyDescent="0.3">
      <c r="A794" t="s">
        <v>18</v>
      </c>
      <c r="B794" t="s">
        <v>144</v>
      </c>
      <c r="C794" t="s">
        <v>397</v>
      </c>
      <c r="D794">
        <v>23480</v>
      </c>
      <c r="E794">
        <v>7</v>
      </c>
    </row>
    <row r="795" spans="1:5" x14ac:dyDescent="0.3">
      <c r="A795" t="s">
        <v>21</v>
      </c>
      <c r="B795" t="s">
        <v>119</v>
      </c>
      <c r="C795" t="s">
        <v>397</v>
      </c>
      <c r="D795">
        <v>94714</v>
      </c>
      <c r="E795">
        <v>8</v>
      </c>
    </row>
    <row r="796" spans="1:5" x14ac:dyDescent="0.3">
      <c r="A796" t="s">
        <v>8</v>
      </c>
      <c r="B796" t="s">
        <v>130</v>
      </c>
      <c r="C796" t="s">
        <v>397</v>
      </c>
      <c r="D796">
        <v>97567</v>
      </c>
      <c r="E796">
        <v>9</v>
      </c>
    </row>
    <row r="797" spans="1:5" x14ac:dyDescent="0.3">
      <c r="A797" t="s">
        <v>18</v>
      </c>
      <c r="B797" t="s">
        <v>80</v>
      </c>
      <c r="C797" t="s">
        <v>399</v>
      </c>
      <c r="D797">
        <v>30871</v>
      </c>
      <c r="E797">
        <v>7</v>
      </c>
    </row>
    <row r="798" spans="1:5" x14ac:dyDescent="0.3">
      <c r="A798" t="s">
        <v>14</v>
      </c>
      <c r="B798" t="s">
        <v>89</v>
      </c>
      <c r="C798" t="s">
        <v>399</v>
      </c>
      <c r="D798">
        <v>77340</v>
      </c>
      <c r="E798">
        <v>7</v>
      </c>
    </row>
    <row r="799" spans="1:5" x14ac:dyDescent="0.3">
      <c r="A799" t="s">
        <v>5</v>
      </c>
      <c r="B799" t="s">
        <v>387</v>
      </c>
      <c r="C799" t="s">
        <v>399</v>
      </c>
      <c r="D799">
        <v>41268</v>
      </c>
      <c r="E799">
        <v>9</v>
      </c>
    </row>
    <row r="800" spans="1:5" x14ac:dyDescent="0.3">
      <c r="A800" t="s">
        <v>18</v>
      </c>
      <c r="B800" t="s">
        <v>43</v>
      </c>
      <c r="C800" t="s">
        <v>399</v>
      </c>
      <c r="D800">
        <v>25117</v>
      </c>
      <c r="E800">
        <v>9</v>
      </c>
    </row>
    <row r="801" spans="1:5" x14ac:dyDescent="0.3">
      <c r="A801" t="s">
        <v>21</v>
      </c>
      <c r="B801" t="s">
        <v>140</v>
      </c>
      <c r="C801" t="s">
        <v>400</v>
      </c>
      <c r="D801">
        <v>53067</v>
      </c>
      <c r="E801">
        <v>8</v>
      </c>
    </row>
    <row r="802" spans="1:5" x14ac:dyDescent="0.3">
      <c r="A802" t="s">
        <v>45</v>
      </c>
      <c r="B802" t="s">
        <v>54</v>
      </c>
      <c r="C802" t="s">
        <v>401</v>
      </c>
      <c r="D802">
        <v>92196</v>
      </c>
      <c r="E802">
        <v>5</v>
      </c>
    </row>
    <row r="803" spans="1:5" x14ac:dyDescent="0.3">
      <c r="A803" t="s">
        <v>8</v>
      </c>
      <c r="B803" t="s">
        <v>114</v>
      </c>
      <c r="C803" t="s">
        <v>401</v>
      </c>
      <c r="D803">
        <v>74662</v>
      </c>
      <c r="E803">
        <v>3</v>
      </c>
    </row>
    <row r="804" spans="1:5" x14ac:dyDescent="0.3">
      <c r="A804" t="s">
        <v>40</v>
      </c>
      <c r="B804" t="s">
        <v>402</v>
      </c>
      <c r="C804" t="s">
        <v>401</v>
      </c>
      <c r="D804">
        <v>80701</v>
      </c>
      <c r="E804">
        <v>6</v>
      </c>
    </row>
    <row r="805" spans="1:5" x14ac:dyDescent="0.3">
      <c r="A805" t="s">
        <v>40</v>
      </c>
      <c r="B805" t="s">
        <v>69</v>
      </c>
      <c r="C805" t="s">
        <v>403</v>
      </c>
      <c r="D805">
        <v>77575</v>
      </c>
      <c r="E805">
        <v>8</v>
      </c>
    </row>
    <row r="806" spans="1:5" x14ac:dyDescent="0.3">
      <c r="A806" t="s">
        <v>18</v>
      </c>
      <c r="B806" t="s">
        <v>37</v>
      </c>
      <c r="C806" t="s">
        <v>403</v>
      </c>
      <c r="D806">
        <v>72563</v>
      </c>
      <c r="E806">
        <v>4</v>
      </c>
    </row>
    <row r="807" spans="1:5" x14ac:dyDescent="0.3">
      <c r="A807" t="s">
        <v>8</v>
      </c>
      <c r="B807" t="s">
        <v>72</v>
      </c>
      <c r="C807" t="s">
        <v>404</v>
      </c>
      <c r="D807">
        <v>12529</v>
      </c>
      <c r="E807">
        <v>6</v>
      </c>
    </row>
    <row r="808" spans="1:5" x14ac:dyDescent="0.3">
      <c r="A808" t="s">
        <v>50</v>
      </c>
      <c r="B808" t="s">
        <v>156</v>
      </c>
      <c r="C808" t="s">
        <v>404</v>
      </c>
      <c r="D808">
        <v>63208</v>
      </c>
      <c r="E808">
        <v>6</v>
      </c>
    </row>
    <row r="809" spans="1:5" x14ac:dyDescent="0.3">
      <c r="A809" t="s">
        <v>14</v>
      </c>
      <c r="B809" t="s">
        <v>144</v>
      </c>
      <c r="C809" t="s">
        <v>404</v>
      </c>
      <c r="D809">
        <v>33851</v>
      </c>
      <c r="E809">
        <v>6</v>
      </c>
    </row>
    <row r="810" spans="1:5" x14ac:dyDescent="0.3">
      <c r="A810" t="s">
        <v>50</v>
      </c>
      <c r="B810" t="s">
        <v>305</v>
      </c>
      <c r="C810" t="s">
        <v>404</v>
      </c>
      <c r="D810">
        <v>72871</v>
      </c>
      <c r="E810">
        <v>5</v>
      </c>
    </row>
    <row r="811" spans="1:5" x14ac:dyDescent="0.3">
      <c r="A811" t="s">
        <v>14</v>
      </c>
      <c r="B811" t="s">
        <v>107</v>
      </c>
      <c r="C811" t="s">
        <v>404</v>
      </c>
      <c r="D811">
        <v>38403</v>
      </c>
      <c r="E811">
        <v>6</v>
      </c>
    </row>
    <row r="812" spans="1:5" x14ac:dyDescent="0.3">
      <c r="A812" t="s">
        <v>50</v>
      </c>
      <c r="B812" t="s">
        <v>105</v>
      </c>
      <c r="C812" t="s">
        <v>404</v>
      </c>
      <c r="D812">
        <v>61534</v>
      </c>
      <c r="E812">
        <v>2</v>
      </c>
    </row>
    <row r="813" spans="1:5" x14ac:dyDescent="0.3">
      <c r="A813" t="s">
        <v>28</v>
      </c>
      <c r="B813" t="s">
        <v>388</v>
      </c>
      <c r="C813" t="s">
        <v>404</v>
      </c>
      <c r="D813">
        <v>75173</v>
      </c>
      <c r="E813">
        <v>7</v>
      </c>
    </row>
    <row r="814" spans="1:5" x14ac:dyDescent="0.3">
      <c r="A814" t="s">
        <v>40</v>
      </c>
      <c r="B814" t="s">
        <v>315</v>
      </c>
      <c r="C814" t="s">
        <v>405</v>
      </c>
      <c r="D814">
        <v>60736</v>
      </c>
      <c r="E814">
        <v>4</v>
      </c>
    </row>
    <row r="815" spans="1:5" x14ac:dyDescent="0.3">
      <c r="A815" t="s">
        <v>5</v>
      </c>
      <c r="B815" t="s">
        <v>112</v>
      </c>
      <c r="C815" t="s">
        <v>405</v>
      </c>
      <c r="D815">
        <v>12324</v>
      </c>
      <c r="E815">
        <v>3</v>
      </c>
    </row>
    <row r="816" spans="1:5" x14ac:dyDescent="0.3">
      <c r="A816" t="s">
        <v>14</v>
      </c>
      <c r="B816" t="s">
        <v>235</v>
      </c>
      <c r="C816" t="s">
        <v>405</v>
      </c>
      <c r="D816">
        <v>37200</v>
      </c>
      <c r="E816">
        <v>1</v>
      </c>
    </row>
    <row r="817" spans="1:5" x14ac:dyDescent="0.3">
      <c r="A817" t="s">
        <v>50</v>
      </c>
      <c r="B817" t="s">
        <v>36</v>
      </c>
      <c r="C817" t="s">
        <v>405</v>
      </c>
      <c r="D817">
        <v>81037</v>
      </c>
      <c r="E817">
        <v>6</v>
      </c>
    </row>
    <row r="818" spans="1:5" x14ac:dyDescent="0.3">
      <c r="A818" t="s">
        <v>5</v>
      </c>
      <c r="B818" t="s">
        <v>95</v>
      </c>
      <c r="C818" t="s">
        <v>406</v>
      </c>
      <c r="D818">
        <v>68364</v>
      </c>
      <c r="E818">
        <v>10</v>
      </c>
    </row>
    <row r="819" spans="1:5" x14ac:dyDescent="0.3">
      <c r="A819" t="s">
        <v>18</v>
      </c>
      <c r="B819" t="s">
        <v>193</v>
      </c>
      <c r="C819" t="s">
        <v>406</v>
      </c>
      <c r="D819">
        <v>51480</v>
      </c>
      <c r="E819">
        <v>7</v>
      </c>
    </row>
    <row r="820" spans="1:5" x14ac:dyDescent="0.3">
      <c r="A820" t="s">
        <v>18</v>
      </c>
      <c r="B820" t="s">
        <v>74</v>
      </c>
      <c r="C820" t="s">
        <v>406</v>
      </c>
      <c r="D820">
        <v>42338</v>
      </c>
      <c r="E820">
        <v>10</v>
      </c>
    </row>
    <row r="821" spans="1:5" x14ac:dyDescent="0.3">
      <c r="A821" t="s">
        <v>12</v>
      </c>
      <c r="B821" t="s">
        <v>52</v>
      </c>
      <c r="C821" t="s">
        <v>406</v>
      </c>
      <c r="D821">
        <v>99197</v>
      </c>
      <c r="E821">
        <v>6</v>
      </c>
    </row>
    <row r="822" spans="1:5" x14ac:dyDescent="0.3">
      <c r="A822" t="s">
        <v>21</v>
      </c>
      <c r="B822" t="s">
        <v>78</v>
      </c>
      <c r="C822" t="s">
        <v>407</v>
      </c>
      <c r="D822">
        <v>11822</v>
      </c>
      <c r="E822">
        <v>7</v>
      </c>
    </row>
    <row r="823" spans="1:5" x14ac:dyDescent="0.3">
      <c r="A823" t="s">
        <v>8</v>
      </c>
      <c r="B823" t="s">
        <v>222</v>
      </c>
      <c r="C823" t="s">
        <v>407</v>
      </c>
      <c r="D823">
        <v>53116</v>
      </c>
      <c r="E823">
        <v>6</v>
      </c>
    </row>
    <row r="824" spans="1:5" x14ac:dyDescent="0.3">
      <c r="A824" t="s">
        <v>14</v>
      </c>
      <c r="B824" t="s">
        <v>84</v>
      </c>
      <c r="C824" t="s">
        <v>408</v>
      </c>
      <c r="D824">
        <v>25018</v>
      </c>
      <c r="E824">
        <v>8</v>
      </c>
    </row>
    <row r="825" spans="1:5" x14ac:dyDescent="0.3">
      <c r="A825" t="s">
        <v>47</v>
      </c>
      <c r="B825" t="s">
        <v>35</v>
      </c>
      <c r="C825" t="s">
        <v>408</v>
      </c>
      <c r="D825">
        <v>44982</v>
      </c>
      <c r="E825">
        <v>3</v>
      </c>
    </row>
    <row r="826" spans="1:5" x14ac:dyDescent="0.3">
      <c r="A826" t="s">
        <v>47</v>
      </c>
      <c r="B826" t="s">
        <v>70</v>
      </c>
      <c r="C826" t="s">
        <v>409</v>
      </c>
      <c r="D826">
        <v>60278</v>
      </c>
      <c r="E826">
        <v>7</v>
      </c>
    </row>
    <row r="827" spans="1:5" x14ac:dyDescent="0.3">
      <c r="A827" t="s">
        <v>8</v>
      </c>
      <c r="B827" t="s">
        <v>48</v>
      </c>
      <c r="C827" t="s">
        <v>409</v>
      </c>
      <c r="D827">
        <v>23742</v>
      </c>
      <c r="E827">
        <v>2</v>
      </c>
    </row>
    <row r="828" spans="1:5" x14ac:dyDescent="0.3">
      <c r="A828" t="s">
        <v>28</v>
      </c>
      <c r="B828" t="s">
        <v>107</v>
      </c>
      <c r="C828" t="s">
        <v>409</v>
      </c>
      <c r="D828">
        <v>42143</v>
      </c>
      <c r="E828">
        <v>6</v>
      </c>
    </row>
    <row r="829" spans="1:5" x14ac:dyDescent="0.3">
      <c r="A829" t="s">
        <v>45</v>
      </c>
      <c r="B829" t="s">
        <v>141</v>
      </c>
      <c r="C829" t="s">
        <v>409</v>
      </c>
      <c r="D829">
        <v>82247</v>
      </c>
      <c r="E829">
        <v>8</v>
      </c>
    </row>
    <row r="830" spans="1:5" x14ac:dyDescent="0.3">
      <c r="A830" t="s">
        <v>40</v>
      </c>
      <c r="B830" t="s">
        <v>137</v>
      </c>
      <c r="C830" t="s">
        <v>409</v>
      </c>
      <c r="D830">
        <v>97491</v>
      </c>
      <c r="E830">
        <v>7</v>
      </c>
    </row>
    <row r="831" spans="1:5" x14ac:dyDescent="0.3">
      <c r="A831" t="s">
        <v>45</v>
      </c>
      <c r="B831" t="s">
        <v>297</v>
      </c>
      <c r="C831" t="s">
        <v>409</v>
      </c>
      <c r="D831">
        <v>53612</v>
      </c>
      <c r="E831">
        <v>6</v>
      </c>
    </row>
    <row r="832" spans="1:5" x14ac:dyDescent="0.3">
      <c r="A832" t="s">
        <v>10</v>
      </c>
      <c r="B832" t="s">
        <v>387</v>
      </c>
      <c r="C832" t="s">
        <v>409</v>
      </c>
      <c r="D832">
        <v>17103</v>
      </c>
      <c r="E832">
        <v>7</v>
      </c>
    </row>
    <row r="833" spans="1:5" x14ac:dyDescent="0.3">
      <c r="A833" t="s">
        <v>10</v>
      </c>
      <c r="B833" t="s">
        <v>138</v>
      </c>
      <c r="C833" t="s">
        <v>409</v>
      </c>
      <c r="D833">
        <v>61247</v>
      </c>
      <c r="E833">
        <v>5</v>
      </c>
    </row>
    <row r="834" spans="1:5" x14ac:dyDescent="0.3">
      <c r="A834" t="s">
        <v>8</v>
      </c>
      <c r="B834" t="s">
        <v>36</v>
      </c>
      <c r="C834" t="s">
        <v>409</v>
      </c>
      <c r="D834">
        <v>97727</v>
      </c>
      <c r="E834">
        <v>0</v>
      </c>
    </row>
    <row r="835" spans="1:5" x14ac:dyDescent="0.3">
      <c r="A835" t="s">
        <v>10</v>
      </c>
      <c r="B835" t="s">
        <v>34</v>
      </c>
      <c r="C835" t="s">
        <v>409</v>
      </c>
      <c r="D835">
        <v>83467</v>
      </c>
      <c r="E835">
        <v>3</v>
      </c>
    </row>
    <row r="836" spans="1:5" x14ac:dyDescent="0.3">
      <c r="A836" t="s">
        <v>40</v>
      </c>
      <c r="B836" t="s">
        <v>115</v>
      </c>
      <c r="C836" t="s">
        <v>409</v>
      </c>
      <c r="D836">
        <v>17566</v>
      </c>
      <c r="E836">
        <v>7</v>
      </c>
    </row>
    <row r="837" spans="1:5" x14ac:dyDescent="0.3">
      <c r="A837" t="s">
        <v>8</v>
      </c>
      <c r="B837" t="s">
        <v>49</v>
      </c>
      <c r="C837" t="s">
        <v>409</v>
      </c>
      <c r="D837">
        <v>86868</v>
      </c>
      <c r="E837">
        <v>2</v>
      </c>
    </row>
    <row r="838" spans="1:5" x14ac:dyDescent="0.3">
      <c r="A838" t="s">
        <v>40</v>
      </c>
      <c r="B838" t="s">
        <v>251</v>
      </c>
      <c r="C838" t="s">
        <v>410</v>
      </c>
      <c r="D838">
        <v>37391</v>
      </c>
      <c r="E838">
        <v>7</v>
      </c>
    </row>
    <row r="839" spans="1:5" x14ac:dyDescent="0.3">
      <c r="A839" t="s">
        <v>50</v>
      </c>
      <c r="B839" t="s">
        <v>70</v>
      </c>
      <c r="C839" t="s">
        <v>411</v>
      </c>
      <c r="D839">
        <v>78593</v>
      </c>
      <c r="E839">
        <v>3</v>
      </c>
    </row>
    <row r="840" spans="1:5" x14ac:dyDescent="0.3">
      <c r="A840" t="s">
        <v>10</v>
      </c>
      <c r="B840" t="s">
        <v>235</v>
      </c>
      <c r="C840" t="s">
        <v>411</v>
      </c>
      <c r="D840">
        <v>70220</v>
      </c>
      <c r="E840">
        <v>7</v>
      </c>
    </row>
    <row r="841" spans="1:5" x14ac:dyDescent="0.3">
      <c r="A841" t="s">
        <v>50</v>
      </c>
      <c r="B841" t="s">
        <v>412</v>
      </c>
      <c r="C841" t="s">
        <v>411</v>
      </c>
      <c r="D841">
        <v>27794</v>
      </c>
      <c r="E841">
        <v>6</v>
      </c>
    </row>
    <row r="842" spans="1:5" x14ac:dyDescent="0.3">
      <c r="A842" t="s">
        <v>28</v>
      </c>
      <c r="B842" t="s">
        <v>162</v>
      </c>
      <c r="C842" t="s">
        <v>413</v>
      </c>
      <c r="D842">
        <v>19235</v>
      </c>
      <c r="E842">
        <v>8</v>
      </c>
    </row>
    <row r="843" spans="1:5" x14ac:dyDescent="0.3">
      <c r="A843" t="s">
        <v>50</v>
      </c>
      <c r="B843" t="s">
        <v>54</v>
      </c>
      <c r="C843" t="s">
        <v>413</v>
      </c>
      <c r="D843">
        <v>48578</v>
      </c>
      <c r="E843">
        <v>9</v>
      </c>
    </row>
    <row r="844" spans="1:5" x14ac:dyDescent="0.3">
      <c r="A844" t="s">
        <v>14</v>
      </c>
      <c r="B844" t="s">
        <v>364</v>
      </c>
      <c r="C844" t="s">
        <v>414</v>
      </c>
      <c r="D844">
        <v>14111</v>
      </c>
      <c r="E844">
        <v>5</v>
      </c>
    </row>
    <row r="845" spans="1:5" x14ac:dyDescent="0.3">
      <c r="A845" t="s">
        <v>45</v>
      </c>
      <c r="B845" t="s">
        <v>149</v>
      </c>
      <c r="C845" t="s">
        <v>414</v>
      </c>
      <c r="D845">
        <v>25259</v>
      </c>
      <c r="E845">
        <v>4</v>
      </c>
    </row>
    <row r="846" spans="1:5" x14ac:dyDescent="0.3">
      <c r="A846" t="s">
        <v>5</v>
      </c>
      <c r="B846" t="s">
        <v>222</v>
      </c>
      <c r="C846" t="s">
        <v>414</v>
      </c>
      <c r="D846">
        <v>54289</v>
      </c>
      <c r="E846">
        <v>3</v>
      </c>
    </row>
    <row r="847" spans="1:5" x14ac:dyDescent="0.3">
      <c r="A847" t="s">
        <v>14</v>
      </c>
      <c r="B847" t="s">
        <v>284</v>
      </c>
      <c r="C847" t="s">
        <v>415</v>
      </c>
      <c r="D847">
        <v>19827</v>
      </c>
      <c r="E847">
        <v>8</v>
      </c>
    </row>
    <row r="848" spans="1:5" x14ac:dyDescent="0.3">
      <c r="A848" t="s">
        <v>18</v>
      </c>
      <c r="B848" t="s">
        <v>197</v>
      </c>
      <c r="C848" t="s">
        <v>415</v>
      </c>
      <c r="D848">
        <v>68231</v>
      </c>
      <c r="E848">
        <v>7</v>
      </c>
    </row>
    <row r="849" spans="1:5" x14ac:dyDescent="0.3">
      <c r="A849" t="s">
        <v>45</v>
      </c>
      <c r="B849" t="s">
        <v>154</v>
      </c>
      <c r="C849" t="s">
        <v>415</v>
      </c>
      <c r="D849">
        <v>88866</v>
      </c>
      <c r="E849">
        <v>7</v>
      </c>
    </row>
    <row r="850" spans="1:5" x14ac:dyDescent="0.3">
      <c r="A850" t="s">
        <v>45</v>
      </c>
      <c r="B850" t="s">
        <v>194</v>
      </c>
      <c r="C850" t="s">
        <v>415</v>
      </c>
      <c r="D850">
        <v>86038</v>
      </c>
      <c r="E850">
        <v>9</v>
      </c>
    </row>
    <row r="851" spans="1:5" x14ac:dyDescent="0.3">
      <c r="A851" t="s">
        <v>50</v>
      </c>
      <c r="B851" t="s">
        <v>268</v>
      </c>
      <c r="C851" t="s">
        <v>415</v>
      </c>
      <c r="D851">
        <v>64908</v>
      </c>
      <c r="E851">
        <v>5</v>
      </c>
    </row>
    <row r="852" spans="1:5" x14ac:dyDescent="0.3">
      <c r="A852" t="s">
        <v>40</v>
      </c>
      <c r="B852" t="s">
        <v>166</v>
      </c>
      <c r="C852" t="s">
        <v>415</v>
      </c>
      <c r="D852">
        <v>47004</v>
      </c>
      <c r="E852">
        <v>7</v>
      </c>
    </row>
    <row r="853" spans="1:5" x14ac:dyDescent="0.3">
      <c r="A853" t="s">
        <v>8</v>
      </c>
      <c r="B853" t="s">
        <v>247</v>
      </c>
      <c r="C853" t="s">
        <v>415</v>
      </c>
      <c r="D853">
        <v>99434</v>
      </c>
      <c r="E853">
        <v>4</v>
      </c>
    </row>
    <row r="854" spans="1:5" x14ac:dyDescent="0.3">
      <c r="A854" t="s">
        <v>50</v>
      </c>
      <c r="B854" t="s">
        <v>124</v>
      </c>
      <c r="C854" t="s">
        <v>416</v>
      </c>
      <c r="D854">
        <v>69841</v>
      </c>
      <c r="E854">
        <v>8</v>
      </c>
    </row>
    <row r="855" spans="1:5" x14ac:dyDescent="0.3">
      <c r="A855" t="s">
        <v>28</v>
      </c>
      <c r="B855" t="s">
        <v>32</v>
      </c>
      <c r="C855" t="s">
        <v>416</v>
      </c>
      <c r="D855">
        <v>47465</v>
      </c>
      <c r="E855">
        <v>5</v>
      </c>
    </row>
    <row r="856" spans="1:5" x14ac:dyDescent="0.3">
      <c r="A856" t="s">
        <v>5</v>
      </c>
      <c r="B856" t="s">
        <v>34</v>
      </c>
      <c r="C856" t="s">
        <v>416</v>
      </c>
      <c r="D856">
        <v>68281</v>
      </c>
      <c r="E856">
        <v>10</v>
      </c>
    </row>
    <row r="857" spans="1:5" x14ac:dyDescent="0.3">
      <c r="A857" t="s">
        <v>5</v>
      </c>
      <c r="B857" t="s">
        <v>169</v>
      </c>
      <c r="C857" t="s">
        <v>417</v>
      </c>
      <c r="D857">
        <v>53868</v>
      </c>
      <c r="E857">
        <v>4</v>
      </c>
    </row>
    <row r="858" spans="1:5" x14ac:dyDescent="0.3">
      <c r="A858" t="s">
        <v>12</v>
      </c>
      <c r="B858" t="s">
        <v>270</v>
      </c>
      <c r="C858" t="s">
        <v>417</v>
      </c>
      <c r="D858">
        <v>40835</v>
      </c>
      <c r="E858">
        <v>1</v>
      </c>
    </row>
    <row r="859" spans="1:5" x14ac:dyDescent="0.3">
      <c r="A859" t="s">
        <v>10</v>
      </c>
      <c r="B859" t="s">
        <v>69</v>
      </c>
      <c r="C859" t="s">
        <v>418</v>
      </c>
      <c r="D859">
        <v>87835</v>
      </c>
      <c r="E859">
        <v>9</v>
      </c>
    </row>
    <row r="860" spans="1:5" x14ac:dyDescent="0.3">
      <c r="A860" t="s">
        <v>8</v>
      </c>
      <c r="B860" t="s">
        <v>193</v>
      </c>
      <c r="C860" t="s">
        <v>418</v>
      </c>
      <c r="D860">
        <v>70317</v>
      </c>
      <c r="E860">
        <v>10</v>
      </c>
    </row>
    <row r="861" spans="1:5" x14ac:dyDescent="0.3">
      <c r="A861" t="s">
        <v>40</v>
      </c>
      <c r="B861" t="s">
        <v>163</v>
      </c>
      <c r="C861" t="s">
        <v>419</v>
      </c>
      <c r="D861">
        <v>12943</v>
      </c>
      <c r="E861">
        <v>5</v>
      </c>
    </row>
    <row r="862" spans="1:5" x14ac:dyDescent="0.3">
      <c r="A862" t="s">
        <v>40</v>
      </c>
      <c r="B862" t="s">
        <v>152</v>
      </c>
      <c r="C862" t="s">
        <v>419</v>
      </c>
      <c r="D862">
        <v>24566</v>
      </c>
      <c r="E862">
        <v>5</v>
      </c>
    </row>
    <row r="863" spans="1:5" x14ac:dyDescent="0.3">
      <c r="A863" t="s">
        <v>12</v>
      </c>
      <c r="B863" t="s">
        <v>176</v>
      </c>
      <c r="C863" t="s">
        <v>419</v>
      </c>
      <c r="D863">
        <v>96582</v>
      </c>
      <c r="E863">
        <v>7</v>
      </c>
    </row>
    <row r="864" spans="1:5" x14ac:dyDescent="0.3">
      <c r="A864" t="s">
        <v>47</v>
      </c>
      <c r="B864" t="s">
        <v>217</v>
      </c>
      <c r="C864" t="s">
        <v>419</v>
      </c>
      <c r="D864">
        <v>99765</v>
      </c>
      <c r="E864">
        <v>6</v>
      </c>
    </row>
    <row r="865" spans="1:5" x14ac:dyDescent="0.3">
      <c r="A865" t="s">
        <v>10</v>
      </c>
      <c r="B865" t="s">
        <v>251</v>
      </c>
      <c r="C865" t="s">
        <v>419</v>
      </c>
      <c r="D865">
        <v>65631</v>
      </c>
      <c r="E865">
        <v>2</v>
      </c>
    </row>
    <row r="866" spans="1:5" x14ac:dyDescent="0.3">
      <c r="A866" t="s">
        <v>50</v>
      </c>
      <c r="B866" t="s">
        <v>199</v>
      </c>
      <c r="C866" t="s">
        <v>419</v>
      </c>
      <c r="D866">
        <v>17497</v>
      </c>
      <c r="E866">
        <v>0</v>
      </c>
    </row>
    <row r="867" spans="1:5" x14ac:dyDescent="0.3">
      <c r="A867" t="s">
        <v>14</v>
      </c>
      <c r="B867" t="s">
        <v>178</v>
      </c>
      <c r="C867" t="s">
        <v>420</v>
      </c>
      <c r="D867">
        <v>43358</v>
      </c>
      <c r="E867">
        <v>2</v>
      </c>
    </row>
    <row r="868" spans="1:5" x14ac:dyDescent="0.3">
      <c r="A868" t="s">
        <v>28</v>
      </c>
      <c r="B868" t="s">
        <v>96</v>
      </c>
      <c r="C868" t="s">
        <v>420</v>
      </c>
      <c r="D868">
        <v>42619</v>
      </c>
      <c r="E868">
        <v>3</v>
      </c>
    </row>
    <row r="869" spans="1:5" x14ac:dyDescent="0.3">
      <c r="A869" t="s">
        <v>10</v>
      </c>
      <c r="B869" t="s">
        <v>276</v>
      </c>
      <c r="C869" t="s">
        <v>420</v>
      </c>
      <c r="D869">
        <v>45757</v>
      </c>
      <c r="E869">
        <v>7</v>
      </c>
    </row>
    <row r="870" spans="1:5" x14ac:dyDescent="0.3">
      <c r="A870" t="s">
        <v>21</v>
      </c>
      <c r="B870" t="s">
        <v>89</v>
      </c>
      <c r="C870" t="s">
        <v>420</v>
      </c>
      <c r="D870">
        <v>88519</v>
      </c>
      <c r="E870">
        <v>9</v>
      </c>
    </row>
    <row r="871" spans="1:5" x14ac:dyDescent="0.3">
      <c r="A871" t="s">
        <v>45</v>
      </c>
      <c r="B871" t="s">
        <v>180</v>
      </c>
      <c r="C871" t="s">
        <v>421</v>
      </c>
      <c r="D871">
        <v>47909</v>
      </c>
      <c r="E871">
        <v>9</v>
      </c>
    </row>
    <row r="872" spans="1:5" x14ac:dyDescent="0.3">
      <c r="A872" t="s">
        <v>28</v>
      </c>
      <c r="B872" t="s">
        <v>154</v>
      </c>
      <c r="C872" t="s">
        <v>421</v>
      </c>
      <c r="D872">
        <v>23077</v>
      </c>
      <c r="E872">
        <v>6</v>
      </c>
    </row>
    <row r="873" spans="1:5" x14ac:dyDescent="0.3">
      <c r="A873" t="s">
        <v>21</v>
      </c>
      <c r="B873" t="s">
        <v>112</v>
      </c>
      <c r="C873" t="s">
        <v>422</v>
      </c>
      <c r="D873">
        <v>87643</v>
      </c>
      <c r="E873">
        <v>4</v>
      </c>
    </row>
    <row r="874" spans="1:5" x14ac:dyDescent="0.3">
      <c r="A874" t="s">
        <v>40</v>
      </c>
      <c r="B874" t="s">
        <v>364</v>
      </c>
      <c r="C874" t="s">
        <v>423</v>
      </c>
      <c r="D874">
        <v>51319</v>
      </c>
      <c r="E874">
        <v>9</v>
      </c>
    </row>
    <row r="875" spans="1:5" x14ac:dyDescent="0.3">
      <c r="A875" t="s">
        <v>14</v>
      </c>
      <c r="B875" t="s">
        <v>43</v>
      </c>
      <c r="C875" t="s">
        <v>424</v>
      </c>
      <c r="D875">
        <v>69935</v>
      </c>
      <c r="E875">
        <v>6</v>
      </c>
    </row>
    <row r="876" spans="1:5" x14ac:dyDescent="0.3">
      <c r="A876" t="s">
        <v>5</v>
      </c>
      <c r="B876" t="s">
        <v>23</v>
      </c>
      <c r="C876" t="s">
        <v>424</v>
      </c>
      <c r="D876">
        <v>20669</v>
      </c>
      <c r="E876">
        <v>7</v>
      </c>
    </row>
    <row r="877" spans="1:5" x14ac:dyDescent="0.3">
      <c r="A877" t="s">
        <v>18</v>
      </c>
      <c r="B877" t="s">
        <v>197</v>
      </c>
      <c r="C877" t="s">
        <v>424</v>
      </c>
      <c r="D877">
        <v>94901</v>
      </c>
      <c r="E877">
        <v>8</v>
      </c>
    </row>
    <row r="878" spans="1:5" x14ac:dyDescent="0.3">
      <c r="A878" t="s">
        <v>45</v>
      </c>
      <c r="B878" t="s">
        <v>318</v>
      </c>
      <c r="C878" t="s">
        <v>424</v>
      </c>
      <c r="D878">
        <v>30214</v>
      </c>
      <c r="E878">
        <v>6</v>
      </c>
    </row>
    <row r="879" spans="1:5" x14ac:dyDescent="0.3">
      <c r="A879" t="s">
        <v>5</v>
      </c>
      <c r="B879" t="s">
        <v>88</v>
      </c>
      <c r="C879" t="s">
        <v>424</v>
      </c>
      <c r="D879">
        <v>82856</v>
      </c>
      <c r="E879">
        <v>5</v>
      </c>
    </row>
    <row r="880" spans="1:5" x14ac:dyDescent="0.3">
      <c r="A880" t="s">
        <v>21</v>
      </c>
      <c r="B880" t="s">
        <v>166</v>
      </c>
      <c r="C880" t="s">
        <v>424</v>
      </c>
      <c r="D880">
        <v>23841</v>
      </c>
      <c r="E880">
        <v>0</v>
      </c>
    </row>
    <row r="881" spans="1:5" x14ac:dyDescent="0.3">
      <c r="A881" t="s">
        <v>40</v>
      </c>
      <c r="B881" t="s">
        <v>194</v>
      </c>
      <c r="C881" t="s">
        <v>424</v>
      </c>
      <c r="D881">
        <v>56630</v>
      </c>
      <c r="E881">
        <v>6</v>
      </c>
    </row>
    <row r="882" spans="1:5" x14ac:dyDescent="0.3">
      <c r="A882" t="s">
        <v>14</v>
      </c>
      <c r="B882" t="s">
        <v>209</v>
      </c>
      <c r="C882" t="s">
        <v>424</v>
      </c>
      <c r="D882">
        <v>26760</v>
      </c>
      <c r="E882">
        <v>8</v>
      </c>
    </row>
    <row r="883" spans="1:5" x14ac:dyDescent="0.3">
      <c r="A883" t="s">
        <v>8</v>
      </c>
      <c r="B883" t="s">
        <v>20</v>
      </c>
      <c r="C883" t="s">
        <v>424</v>
      </c>
      <c r="D883">
        <v>19460</v>
      </c>
      <c r="E883">
        <v>6</v>
      </c>
    </row>
    <row r="884" spans="1:5" x14ac:dyDescent="0.3">
      <c r="A884" t="s">
        <v>10</v>
      </c>
      <c r="B884" t="s">
        <v>168</v>
      </c>
      <c r="C884" t="s">
        <v>425</v>
      </c>
      <c r="D884">
        <v>74845</v>
      </c>
      <c r="E884">
        <v>6</v>
      </c>
    </row>
    <row r="885" spans="1:5" x14ac:dyDescent="0.3">
      <c r="A885" t="s">
        <v>45</v>
      </c>
      <c r="B885" t="s">
        <v>318</v>
      </c>
      <c r="C885" t="s">
        <v>426</v>
      </c>
      <c r="D885">
        <v>63641</v>
      </c>
      <c r="E885">
        <v>4</v>
      </c>
    </row>
    <row r="886" spans="1:5" x14ac:dyDescent="0.3">
      <c r="A886" t="s">
        <v>14</v>
      </c>
      <c r="B886" t="s">
        <v>122</v>
      </c>
      <c r="C886" t="s">
        <v>426</v>
      </c>
      <c r="D886">
        <v>77926</v>
      </c>
      <c r="E886">
        <v>5</v>
      </c>
    </row>
    <row r="887" spans="1:5" x14ac:dyDescent="0.3">
      <c r="A887" t="s">
        <v>45</v>
      </c>
      <c r="B887" t="s">
        <v>15</v>
      </c>
      <c r="C887" t="s">
        <v>427</v>
      </c>
      <c r="D887">
        <v>68638</v>
      </c>
      <c r="E887">
        <v>10</v>
      </c>
    </row>
    <row r="888" spans="1:5" x14ac:dyDescent="0.3">
      <c r="A888" t="s">
        <v>21</v>
      </c>
      <c r="B888" t="s">
        <v>156</v>
      </c>
      <c r="C888" t="s">
        <v>427</v>
      </c>
      <c r="D888">
        <v>32669</v>
      </c>
      <c r="E888">
        <v>6</v>
      </c>
    </row>
    <row r="889" spans="1:5" x14ac:dyDescent="0.3">
      <c r="A889" t="s">
        <v>21</v>
      </c>
      <c r="B889" t="s">
        <v>66</v>
      </c>
      <c r="C889" t="s">
        <v>427</v>
      </c>
      <c r="D889">
        <v>36397</v>
      </c>
      <c r="E889">
        <v>3</v>
      </c>
    </row>
    <row r="890" spans="1:5" x14ac:dyDescent="0.3">
      <c r="A890" t="s">
        <v>12</v>
      </c>
      <c r="B890" t="s">
        <v>101</v>
      </c>
      <c r="C890" t="s">
        <v>427</v>
      </c>
      <c r="D890">
        <v>95490</v>
      </c>
      <c r="E890">
        <v>9</v>
      </c>
    </row>
    <row r="891" spans="1:5" x14ac:dyDescent="0.3">
      <c r="A891" t="s">
        <v>47</v>
      </c>
      <c r="B891" t="s">
        <v>318</v>
      </c>
      <c r="C891" t="s">
        <v>428</v>
      </c>
      <c r="D891">
        <v>73518</v>
      </c>
      <c r="E891">
        <v>3</v>
      </c>
    </row>
    <row r="892" spans="1:5" x14ac:dyDescent="0.3">
      <c r="A892" t="s">
        <v>50</v>
      </c>
      <c r="B892" t="s">
        <v>77</v>
      </c>
      <c r="C892" t="s">
        <v>429</v>
      </c>
      <c r="D892">
        <v>84549</v>
      </c>
      <c r="E892">
        <v>6</v>
      </c>
    </row>
    <row r="893" spans="1:5" x14ac:dyDescent="0.3">
      <c r="A893" t="s">
        <v>45</v>
      </c>
      <c r="B893" t="s">
        <v>59</v>
      </c>
      <c r="C893" t="s">
        <v>429</v>
      </c>
      <c r="D893">
        <v>31595</v>
      </c>
      <c r="E893">
        <v>7</v>
      </c>
    </row>
    <row r="894" spans="1:5" x14ac:dyDescent="0.3">
      <c r="A894" t="s">
        <v>47</v>
      </c>
      <c r="B894" t="s">
        <v>144</v>
      </c>
      <c r="C894" t="s">
        <v>429</v>
      </c>
      <c r="D894">
        <v>50566</v>
      </c>
      <c r="E894">
        <v>8</v>
      </c>
    </row>
    <row r="895" spans="1:5" x14ac:dyDescent="0.3">
      <c r="A895" t="s">
        <v>18</v>
      </c>
      <c r="B895" t="s">
        <v>315</v>
      </c>
      <c r="C895" t="s">
        <v>429</v>
      </c>
      <c r="D895">
        <v>10305</v>
      </c>
      <c r="E895">
        <v>8</v>
      </c>
    </row>
    <row r="896" spans="1:5" x14ac:dyDescent="0.3">
      <c r="A896" t="s">
        <v>50</v>
      </c>
      <c r="B896" t="s">
        <v>103</v>
      </c>
      <c r="C896" t="s">
        <v>429</v>
      </c>
      <c r="D896">
        <v>25553</v>
      </c>
      <c r="E896">
        <v>4</v>
      </c>
    </row>
    <row r="897" spans="1:5" x14ac:dyDescent="0.3">
      <c r="A897" t="s">
        <v>40</v>
      </c>
      <c r="B897" t="s">
        <v>25</v>
      </c>
      <c r="C897" t="s">
        <v>429</v>
      </c>
      <c r="D897">
        <v>62550</v>
      </c>
      <c r="E897">
        <v>7</v>
      </c>
    </row>
    <row r="898" spans="1:5" x14ac:dyDescent="0.3">
      <c r="A898" t="s">
        <v>5</v>
      </c>
      <c r="B898" t="s">
        <v>273</v>
      </c>
      <c r="C898" t="s">
        <v>430</v>
      </c>
      <c r="D898">
        <v>29369</v>
      </c>
      <c r="E898">
        <v>5</v>
      </c>
    </row>
    <row r="899" spans="1:5" x14ac:dyDescent="0.3">
      <c r="A899" t="s">
        <v>18</v>
      </c>
      <c r="B899" t="s">
        <v>147</v>
      </c>
      <c r="C899" t="s">
        <v>430</v>
      </c>
      <c r="D899">
        <v>18597</v>
      </c>
      <c r="E899">
        <v>7</v>
      </c>
    </row>
    <row r="900" spans="1:5" x14ac:dyDescent="0.3">
      <c r="A900" t="s">
        <v>21</v>
      </c>
      <c r="B900" t="s">
        <v>122</v>
      </c>
      <c r="C900" t="s">
        <v>430</v>
      </c>
      <c r="D900">
        <v>95910</v>
      </c>
      <c r="E900">
        <v>4</v>
      </c>
    </row>
    <row r="901" spans="1:5" x14ac:dyDescent="0.3">
      <c r="A901" t="s">
        <v>45</v>
      </c>
      <c r="B901" t="s">
        <v>135</v>
      </c>
      <c r="C901" t="s">
        <v>431</v>
      </c>
      <c r="D901">
        <v>81045</v>
      </c>
      <c r="E901">
        <v>8</v>
      </c>
    </row>
    <row r="902" spans="1:5" x14ac:dyDescent="0.3">
      <c r="A902" t="s">
        <v>8</v>
      </c>
      <c r="B902" t="s">
        <v>56</v>
      </c>
      <c r="C902" t="s">
        <v>432</v>
      </c>
      <c r="D902">
        <v>96091</v>
      </c>
      <c r="E902">
        <v>4</v>
      </c>
    </row>
    <row r="903" spans="1:5" x14ac:dyDescent="0.3">
      <c r="A903" t="s">
        <v>5</v>
      </c>
      <c r="B903" t="s">
        <v>394</v>
      </c>
      <c r="C903" t="s">
        <v>432</v>
      </c>
      <c r="D903">
        <v>58936</v>
      </c>
      <c r="E903">
        <v>7</v>
      </c>
    </row>
    <row r="904" spans="1:5" x14ac:dyDescent="0.3">
      <c r="A904" t="s">
        <v>18</v>
      </c>
      <c r="B904" t="s">
        <v>36</v>
      </c>
      <c r="C904" t="s">
        <v>432</v>
      </c>
      <c r="D904">
        <v>64570</v>
      </c>
      <c r="E904">
        <v>10</v>
      </c>
    </row>
    <row r="905" spans="1:5" x14ac:dyDescent="0.3">
      <c r="A905" t="s">
        <v>5</v>
      </c>
      <c r="B905" t="s">
        <v>61</v>
      </c>
      <c r="C905" t="s">
        <v>432</v>
      </c>
      <c r="D905">
        <v>84176</v>
      </c>
      <c r="E905">
        <v>7</v>
      </c>
    </row>
    <row r="906" spans="1:5" x14ac:dyDescent="0.3">
      <c r="A906" t="s">
        <v>14</v>
      </c>
      <c r="B906" t="s">
        <v>80</v>
      </c>
      <c r="C906" t="s">
        <v>433</v>
      </c>
      <c r="D906">
        <v>31478</v>
      </c>
      <c r="E906">
        <v>3</v>
      </c>
    </row>
    <row r="907" spans="1:5" x14ac:dyDescent="0.3">
      <c r="A907" t="s">
        <v>28</v>
      </c>
      <c r="B907" t="s">
        <v>190</v>
      </c>
      <c r="C907" t="s">
        <v>433</v>
      </c>
      <c r="D907">
        <v>78095</v>
      </c>
      <c r="E907">
        <v>6</v>
      </c>
    </row>
    <row r="908" spans="1:5" x14ac:dyDescent="0.3">
      <c r="A908" t="s">
        <v>5</v>
      </c>
      <c r="B908" t="s">
        <v>388</v>
      </c>
      <c r="C908" t="s">
        <v>433</v>
      </c>
      <c r="D908">
        <v>77668</v>
      </c>
      <c r="E908">
        <v>8</v>
      </c>
    </row>
    <row r="909" spans="1:5" x14ac:dyDescent="0.3">
      <c r="A909" t="s">
        <v>47</v>
      </c>
      <c r="B909" t="s">
        <v>160</v>
      </c>
      <c r="C909" t="s">
        <v>433</v>
      </c>
      <c r="D909">
        <v>55719</v>
      </c>
      <c r="E909">
        <v>2</v>
      </c>
    </row>
    <row r="910" spans="1:5" x14ac:dyDescent="0.3">
      <c r="A910" t="s">
        <v>28</v>
      </c>
      <c r="B910" t="s">
        <v>171</v>
      </c>
      <c r="C910" t="s">
        <v>434</v>
      </c>
      <c r="D910">
        <v>44575</v>
      </c>
      <c r="E910">
        <v>4</v>
      </c>
    </row>
    <row r="911" spans="1:5" x14ac:dyDescent="0.3">
      <c r="A911" t="s">
        <v>10</v>
      </c>
      <c r="B911" t="s">
        <v>156</v>
      </c>
      <c r="C911" t="s">
        <v>434</v>
      </c>
      <c r="D911">
        <v>94350</v>
      </c>
      <c r="E911">
        <v>8</v>
      </c>
    </row>
    <row r="912" spans="1:5" x14ac:dyDescent="0.3">
      <c r="A912" t="s">
        <v>50</v>
      </c>
      <c r="B912" t="s">
        <v>167</v>
      </c>
      <c r="C912" t="s">
        <v>434</v>
      </c>
      <c r="D912">
        <v>95899</v>
      </c>
      <c r="E912">
        <v>6</v>
      </c>
    </row>
    <row r="913" spans="1:5" x14ac:dyDescent="0.3">
      <c r="A913" t="s">
        <v>45</v>
      </c>
      <c r="B913" t="s">
        <v>305</v>
      </c>
      <c r="C913" t="s">
        <v>434</v>
      </c>
      <c r="D913">
        <v>33675</v>
      </c>
      <c r="E913">
        <v>5</v>
      </c>
    </row>
    <row r="914" spans="1:5" x14ac:dyDescent="0.3">
      <c r="A914" t="s">
        <v>14</v>
      </c>
      <c r="B914" t="s">
        <v>48</v>
      </c>
      <c r="C914" t="s">
        <v>434</v>
      </c>
      <c r="D914">
        <v>55617</v>
      </c>
      <c r="E914">
        <v>6</v>
      </c>
    </row>
    <row r="915" spans="1:5" x14ac:dyDescent="0.3">
      <c r="A915" t="s">
        <v>18</v>
      </c>
      <c r="B915" t="s">
        <v>258</v>
      </c>
      <c r="C915" t="s">
        <v>435</v>
      </c>
      <c r="D915">
        <v>97832</v>
      </c>
      <c r="E915">
        <v>3</v>
      </c>
    </row>
    <row r="916" spans="1:5" x14ac:dyDescent="0.3">
      <c r="A916" t="s">
        <v>8</v>
      </c>
      <c r="B916" t="s">
        <v>149</v>
      </c>
      <c r="C916" t="s">
        <v>435</v>
      </c>
      <c r="D916">
        <v>27553</v>
      </c>
      <c r="E916">
        <v>3</v>
      </c>
    </row>
    <row r="917" spans="1:5" x14ac:dyDescent="0.3">
      <c r="A917" t="s">
        <v>18</v>
      </c>
      <c r="B917" t="s">
        <v>114</v>
      </c>
      <c r="C917" t="s">
        <v>435</v>
      </c>
      <c r="D917">
        <v>51805</v>
      </c>
      <c r="E917">
        <v>6</v>
      </c>
    </row>
    <row r="918" spans="1:5" x14ac:dyDescent="0.3">
      <c r="A918" t="s">
        <v>10</v>
      </c>
      <c r="B918" t="s">
        <v>178</v>
      </c>
      <c r="C918" t="s">
        <v>436</v>
      </c>
      <c r="D918">
        <v>79397</v>
      </c>
      <c r="E918">
        <v>9</v>
      </c>
    </row>
    <row r="919" spans="1:5" x14ac:dyDescent="0.3">
      <c r="A919" t="s">
        <v>14</v>
      </c>
      <c r="B919" t="s">
        <v>124</v>
      </c>
      <c r="C919" t="s">
        <v>436</v>
      </c>
      <c r="D919">
        <v>92198</v>
      </c>
      <c r="E919">
        <v>6</v>
      </c>
    </row>
    <row r="920" spans="1:5" x14ac:dyDescent="0.3">
      <c r="A920" t="s">
        <v>21</v>
      </c>
      <c r="B920" t="s">
        <v>251</v>
      </c>
      <c r="C920" t="s">
        <v>437</v>
      </c>
      <c r="D920">
        <v>31175</v>
      </c>
      <c r="E920">
        <v>6</v>
      </c>
    </row>
    <row r="921" spans="1:5" x14ac:dyDescent="0.3">
      <c r="A921" t="s">
        <v>50</v>
      </c>
      <c r="B921" t="s">
        <v>252</v>
      </c>
      <c r="C921" t="s">
        <v>438</v>
      </c>
      <c r="D921">
        <v>89439</v>
      </c>
      <c r="E921">
        <v>8</v>
      </c>
    </row>
    <row r="922" spans="1:5" x14ac:dyDescent="0.3">
      <c r="A922" t="s">
        <v>45</v>
      </c>
      <c r="B922" t="s">
        <v>165</v>
      </c>
      <c r="C922" t="s">
        <v>438</v>
      </c>
      <c r="D922">
        <v>13366</v>
      </c>
      <c r="E922">
        <v>8</v>
      </c>
    </row>
    <row r="923" spans="1:5" x14ac:dyDescent="0.3">
      <c r="A923" t="s">
        <v>12</v>
      </c>
      <c r="B923" t="s">
        <v>126</v>
      </c>
      <c r="C923" t="s">
        <v>438</v>
      </c>
      <c r="D923">
        <v>55525</v>
      </c>
      <c r="E923">
        <v>8</v>
      </c>
    </row>
    <row r="924" spans="1:5" x14ac:dyDescent="0.3">
      <c r="A924" t="s">
        <v>50</v>
      </c>
      <c r="B924" t="s">
        <v>238</v>
      </c>
      <c r="C924" t="s">
        <v>438</v>
      </c>
      <c r="D924">
        <v>53139</v>
      </c>
      <c r="E924">
        <v>9</v>
      </c>
    </row>
    <row r="925" spans="1:5" x14ac:dyDescent="0.3">
      <c r="A925" t="s">
        <v>8</v>
      </c>
      <c r="B925" t="s">
        <v>338</v>
      </c>
      <c r="C925" t="s">
        <v>438</v>
      </c>
      <c r="D925">
        <v>84178</v>
      </c>
      <c r="E925">
        <v>4</v>
      </c>
    </row>
    <row r="926" spans="1:5" x14ac:dyDescent="0.3">
      <c r="A926" t="s">
        <v>8</v>
      </c>
      <c r="B926" t="s">
        <v>54</v>
      </c>
      <c r="C926" t="s">
        <v>438</v>
      </c>
      <c r="D926">
        <v>14995</v>
      </c>
      <c r="E926">
        <v>10</v>
      </c>
    </row>
    <row r="927" spans="1:5" x14ac:dyDescent="0.3">
      <c r="A927" t="s">
        <v>47</v>
      </c>
      <c r="B927" t="s">
        <v>83</v>
      </c>
      <c r="C927" t="s">
        <v>439</v>
      </c>
      <c r="D927">
        <v>84755</v>
      </c>
      <c r="E927">
        <v>8</v>
      </c>
    </row>
    <row r="928" spans="1:5" x14ac:dyDescent="0.3">
      <c r="A928" t="s">
        <v>28</v>
      </c>
      <c r="B928" t="s">
        <v>440</v>
      </c>
      <c r="C928" t="s">
        <v>439</v>
      </c>
      <c r="D928">
        <v>34427</v>
      </c>
      <c r="E928">
        <v>4</v>
      </c>
    </row>
    <row r="929" spans="1:5" x14ac:dyDescent="0.3">
      <c r="A929" t="s">
        <v>28</v>
      </c>
      <c r="B929" t="s">
        <v>150</v>
      </c>
      <c r="C929" t="s">
        <v>439</v>
      </c>
      <c r="D929">
        <v>51328</v>
      </c>
      <c r="E929">
        <v>7</v>
      </c>
    </row>
    <row r="930" spans="1:5" x14ac:dyDescent="0.3">
      <c r="A930" t="s">
        <v>8</v>
      </c>
      <c r="B930" t="s">
        <v>256</v>
      </c>
      <c r="C930" t="s">
        <v>439</v>
      </c>
      <c r="D930">
        <v>56972</v>
      </c>
      <c r="E930">
        <v>7</v>
      </c>
    </row>
    <row r="931" spans="1:5" x14ac:dyDescent="0.3">
      <c r="A931" t="s">
        <v>14</v>
      </c>
      <c r="B931" t="s">
        <v>221</v>
      </c>
      <c r="C931" t="s">
        <v>439</v>
      </c>
      <c r="D931">
        <v>75966</v>
      </c>
      <c r="E931">
        <v>7</v>
      </c>
    </row>
    <row r="932" spans="1:5" x14ac:dyDescent="0.3">
      <c r="A932" t="s">
        <v>12</v>
      </c>
      <c r="B932" t="s">
        <v>97</v>
      </c>
      <c r="C932" t="s">
        <v>439</v>
      </c>
      <c r="D932">
        <v>34431</v>
      </c>
      <c r="E932">
        <v>6</v>
      </c>
    </row>
    <row r="933" spans="1:5" x14ac:dyDescent="0.3">
      <c r="A933" t="s">
        <v>12</v>
      </c>
      <c r="B933" t="s">
        <v>35</v>
      </c>
      <c r="C933" t="s">
        <v>439</v>
      </c>
      <c r="D933">
        <v>32825</v>
      </c>
      <c r="E933">
        <v>6</v>
      </c>
    </row>
    <row r="934" spans="1:5" x14ac:dyDescent="0.3">
      <c r="A934" t="s">
        <v>14</v>
      </c>
      <c r="B934" t="s">
        <v>46</v>
      </c>
      <c r="C934" t="s">
        <v>439</v>
      </c>
      <c r="D934">
        <v>25271</v>
      </c>
      <c r="E934">
        <v>9</v>
      </c>
    </row>
    <row r="935" spans="1:5" x14ac:dyDescent="0.3">
      <c r="A935" t="s">
        <v>14</v>
      </c>
      <c r="B935" t="s">
        <v>69</v>
      </c>
      <c r="C935" t="s">
        <v>441</v>
      </c>
      <c r="D935">
        <v>17389</v>
      </c>
      <c r="E935">
        <v>7</v>
      </c>
    </row>
    <row r="936" spans="1:5" x14ac:dyDescent="0.3">
      <c r="A936" t="s">
        <v>47</v>
      </c>
      <c r="B936" t="s">
        <v>199</v>
      </c>
      <c r="C936" t="s">
        <v>441</v>
      </c>
      <c r="D936">
        <v>32060</v>
      </c>
      <c r="E936">
        <v>1</v>
      </c>
    </row>
    <row r="937" spans="1:5" x14ac:dyDescent="0.3">
      <c r="A937" t="s">
        <v>14</v>
      </c>
      <c r="B937" t="s">
        <v>123</v>
      </c>
      <c r="C937" t="s">
        <v>442</v>
      </c>
      <c r="D937">
        <v>95697</v>
      </c>
      <c r="E937">
        <v>6</v>
      </c>
    </row>
    <row r="938" spans="1:5" x14ac:dyDescent="0.3">
      <c r="A938" t="s">
        <v>12</v>
      </c>
      <c r="B938" t="s">
        <v>195</v>
      </c>
      <c r="C938" t="s">
        <v>442</v>
      </c>
      <c r="D938">
        <v>92203</v>
      </c>
      <c r="E938">
        <v>7</v>
      </c>
    </row>
    <row r="939" spans="1:5" x14ac:dyDescent="0.3">
      <c r="A939" t="s">
        <v>21</v>
      </c>
      <c r="B939" t="s">
        <v>197</v>
      </c>
      <c r="C939" t="s">
        <v>442</v>
      </c>
      <c r="D939">
        <v>17341</v>
      </c>
      <c r="E939">
        <v>5</v>
      </c>
    </row>
    <row r="940" spans="1:5" x14ac:dyDescent="0.3">
      <c r="A940" t="s">
        <v>5</v>
      </c>
      <c r="B940" t="s">
        <v>25</v>
      </c>
      <c r="C940" t="s">
        <v>442</v>
      </c>
      <c r="D940">
        <v>11478</v>
      </c>
      <c r="E940">
        <v>6</v>
      </c>
    </row>
    <row r="941" spans="1:5" x14ac:dyDescent="0.3">
      <c r="A941" t="s">
        <v>8</v>
      </c>
      <c r="B941" t="s">
        <v>182</v>
      </c>
      <c r="C941" t="s">
        <v>442</v>
      </c>
      <c r="D941">
        <v>13433</v>
      </c>
      <c r="E941">
        <v>7</v>
      </c>
    </row>
    <row r="942" spans="1:5" x14ac:dyDescent="0.3">
      <c r="A942" t="s">
        <v>5</v>
      </c>
      <c r="B942" t="s">
        <v>394</v>
      </c>
      <c r="C942" t="s">
        <v>442</v>
      </c>
      <c r="D942">
        <v>32465</v>
      </c>
      <c r="E942">
        <v>5</v>
      </c>
    </row>
    <row r="943" spans="1:5" x14ac:dyDescent="0.3">
      <c r="A943" t="s">
        <v>18</v>
      </c>
      <c r="B943" t="s">
        <v>69</v>
      </c>
      <c r="C943" t="s">
        <v>443</v>
      </c>
      <c r="D943">
        <v>88473</v>
      </c>
      <c r="E943">
        <v>8</v>
      </c>
    </row>
    <row r="944" spans="1:5" x14ac:dyDescent="0.3">
      <c r="A944" t="s">
        <v>28</v>
      </c>
      <c r="B944" t="s">
        <v>258</v>
      </c>
      <c r="C944" t="s">
        <v>444</v>
      </c>
      <c r="D944">
        <v>35915</v>
      </c>
      <c r="E944">
        <v>3</v>
      </c>
    </row>
    <row r="945" spans="1:5" x14ac:dyDescent="0.3">
      <c r="A945" t="s">
        <v>14</v>
      </c>
      <c r="B945" t="s">
        <v>210</v>
      </c>
      <c r="C945" t="s">
        <v>444</v>
      </c>
      <c r="D945">
        <v>39702</v>
      </c>
      <c r="E945">
        <v>2</v>
      </c>
    </row>
    <row r="946" spans="1:5" x14ac:dyDescent="0.3">
      <c r="A946" t="s">
        <v>28</v>
      </c>
      <c r="B946" t="s">
        <v>238</v>
      </c>
      <c r="C946" t="s">
        <v>445</v>
      </c>
      <c r="D946">
        <v>24687</v>
      </c>
      <c r="E946">
        <v>6</v>
      </c>
    </row>
    <row r="947" spans="1:5" x14ac:dyDescent="0.3">
      <c r="A947" t="s">
        <v>18</v>
      </c>
      <c r="B947" t="s">
        <v>140</v>
      </c>
      <c r="C947" t="s">
        <v>445</v>
      </c>
      <c r="D947">
        <v>26664</v>
      </c>
      <c r="E947">
        <v>9</v>
      </c>
    </row>
    <row r="948" spans="1:5" x14ac:dyDescent="0.3">
      <c r="A948" t="s">
        <v>50</v>
      </c>
      <c r="B948" t="s">
        <v>69</v>
      </c>
      <c r="C948" t="s">
        <v>445</v>
      </c>
      <c r="D948">
        <v>82396</v>
      </c>
      <c r="E948">
        <v>10</v>
      </c>
    </row>
    <row r="949" spans="1:5" x14ac:dyDescent="0.3">
      <c r="A949" t="s">
        <v>40</v>
      </c>
      <c r="B949" t="s">
        <v>75</v>
      </c>
      <c r="C949" t="s">
        <v>445</v>
      </c>
      <c r="D949">
        <v>62807</v>
      </c>
      <c r="E949">
        <v>6</v>
      </c>
    </row>
    <row r="950" spans="1:5" x14ac:dyDescent="0.3">
      <c r="A950" t="s">
        <v>40</v>
      </c>
      <c r="B950" t="s">
        <v>124</v>
      </c>
      <c r="C950" t="s">
        <v>445</v>
      </c>
      <c r="D950">
        <v>50401</v>
      </c>
      <c r="E950">
        <v>7</v>
      </c>
    </row>
    <row r="951" spans="1:5" x14ac:dyDescent="0.3">
      <c r="A951" t="s">
        <v>14</v>
      </c>
      <c r="B951" t="s">
        <v>324</v>
      </c>
      <c r="C951" t="s">
        <v>445</v>
      </c>
      <c r="D951">
        <v>27667</v>
      </c>
      <c r="E951">
        <v>10</v>
      </c>
    </row>
    <row r="952" spans="1:5" x14ac:dyDescent="0.3">
      <c r="A952" t="s">
        <v>45</v>
      </c>
      <c r="B952" t="s">
        <v>247</v>
      </c>
      <c r="C952" t="s">
        <v>445</v>
      </c>
      <c r="D952">
        <v>11064</v>
      </c>
      <c r="E952">
        <v>3</v>
      </c>
    </row>
    <row r="953" spans="1:5" x14ac:dyDescent="0.3">
      <c r="A953" t="s">
        <v>40</v>
      </c>
      <c r="B953" t="s">
        <v>36</v>
      </c>
      <c r="C953" t="s">
        <v>445</v>
      </c>
      <c r="D953">
        <v>90538</v>
      </c>
      <c r="E953">
        <v>6</v>
      </c>
    </row>
    <row r="954" spans="1:5" x14ac:dyDescent="0.3">
      <c r="A954" t="s">
        <v>14</v>
      </c>
      <c r="B954" t="s">
        <v>202</v>
      </c>
      <c r="C954" t="s">
        <v>445</v>
      </c>
      <c r="D954">
        <v>73658</v>
      </c>
      <c r="E954">
        <v>9</v>
      </c>
    </row>
    <row r="955" spans="1:5" x14ac:dyDescent="0.3">
      <c r="A955" t="s">
        <v>40</v>
      </c>
      <c r="B955" t="s">
        <v>258</v>
      </c>
      <c r="C955" t="s">
        <v>446</v>
      </c>
      <c r="D955">
        <v>43575</v>
      </c>
      <c r="E955">
        <v>6</v>
      </c>
    </row>
    <row r="956" spans="1:5" x14ac:dyDescent="0.3">
      <c r="A956" t="s">
        <v>8</v>
      </c>
      <c r="B956" t="s">
        <v>195</v>
      </c>
      <c r="C956" t="s">
        <v>446</v>
      </c>
      <c r="D956">
        <v>52834</v>
      </c>
      <c r="E956">
        <v>6</v>
      </c>
    </row>
    <row r="957" spans="1:5" x14ac:dyDescent="0.3">
      <c r="A957" t="s">
        <v>21</v>
      </c>
      <c r="B957" t="s">
        <v>27</v>
      </c>
      <c r="C957" t="s">
        <v>447</v>
      </c>
      <c r="D957">
        <v>31342</v>
      </c>
      <c r="E957">
        <v>8</v>
      </c>
    </row>
    <row r="958" spans="1:5" x14ac:dyDescent="0.3">
      <c r="A958" t="s">
        <v>12</v>
      </c>
      <c r="B958" t="s">
        <v>209</v>
      </c>
      <c r="C958" t="s">
        <v>447</v>
      </c>
      <c r="D958">
        <v>85089</v>
      </c>
      <c r="E958">
        <v>7</v>
      </c>
    </row>
    <row r="959" spans="1:5" x14ac:dyDescent="0.3">
      <c r="A959" t="s">
        <v>14</v>
      </c>
      <c r="B959" t="s">
        <v>282</v>
      </c>
      <c r="C959" t="s">
        <v>447</v>
      </c>
      <c r="D959">
        <v>37038</v>
      </c>
      <c r="E959">
        <v>6</v>
      </c>
    </row>
    <row r="960" spans="1:5" x14ac:dyDescent="0.3">
      <c r="A960" t="s">
        <v>45</v>
      </c>
      <c r="B960" t="s">
        <v>92</v>
      </c>
      <c r="C960" t="s">
        <v>447</v>
      </c>
      <c r="D960">
        <v>27213</v>
      </c>
      <c r="E960">
        <v>10</v>
      </c>
    </row>
    <row r="961" spans="1:5" x14ac:dyDescent="0.3">
      <c r="A961" t="s">
        <v>5</v>
      </c>
      <c r="B961" t="s">
        <v>252</v>
      </c>
      <c r="C961" t="s">
        <v>447</v>
      </c>
      <c r="D961">
        <v>27746</v>
      </c>
      <c r="E961">
        <v>2</v>
      </c>
    </row>
    <row r="962" spans="1:5" x14ac:dyDescent="0.3">
      <c r="A962" t="s">
        <v>47</v>
      </c>
      <c r="B962" t="s">
        <v>101</v>
      </c>
      <c r="C962" t="s">
        <v>447</v>
      </c>
      <c r="D962">
        <v>91064</v>
      </c>
      <c r="E962">
        <v>8</v>
      </c>
    </row>
    <row r="963" spans="1:5" x14ac:dyDescent="0.3">
      <c r="A963" t="s">
        <v>21</v>
      </c>
      <c r="B963" t="s">
        <v>312</v>
      </c>
      <c r="C963" t="s">
        <v>448</v>
      </c>
      <c r="D963">
        <v>92257</v>
      </c>
      <c r="E963">
        <v>7</v>
      </c>
    </row>
    <row r="964" spans="1:5" x14ac:dyDescent="0.3">
      <c r="A964" t="s">
        <v>8</v>
      </c>
      <c r="B964" t="s">
        <v>59</v>
      </c>
      <c r="C964" t="s">
        <v>448</v>
      </c>
      <c r="D964">
        <v>94318</v>
      </c>
      <c r="E964">
        <v>9</v>
      </c>
    </row>
    <row r="965" spans="1:5" x14ac:dyDescent="0.3">
      <c r="A965" t="s">
        <v>10</v>
      </c>
      <c r="B965" t="s">
        <v>69</v>
      </c>
      <c r="C965" t="s">
        <v>448</v>
      </c>
      <c r="D965">
        <v>54519</v>
      </c>
      <c r="E965">
        <v>5</v>
      </c>
    </row>
    <row r="966" spans="1:5" x14ac:dyDescent="0.3">
      <c r="A966" t="s">
        <v>8</v>
      </c>
      <c r="B966" t="s">
        <v>69</v>
      </c>
      <c r="C966" t="s">
        <v>448</v>
      </c>
      <c r="D966">
        <v>94963</v>
      </c>
      <c r="E966">
        <v>8</v>
      </c>
    </row>
    <row r="967" spans="1:5" x14ac:dyDescent="0.3">
      <c r="A967" t="s">
        <v>21</v>
      </c>
      <c r="B967" t="s">
        <v>17</v>
      </c>
      <c r="C967" t="s">
        <v>449</v>
      </c>
      <c r="D967">
        <v>84263</v>
      </c>
      <c r="E967">
        <v>8</v>
      </c>
    </row>
    <row r="968" spans="1:5" x14ac:dyDescent="0.3">
      <c r="A968" t="s">
        <v>21</v>
      </c>
      <c r="B968" t="s">
        <v>89</v>
      </c>
      <c r="C968" t="s">
        <v>449</v>
      </c>
      <c r="D968">
        <v>91512</v>
      </c>
      <c r="E968">
        <v>9</v>
      </c>
    </row>
    <row r="969" spans="1:5" x14ac:dyDescent="0.3">
      <c r="A969" t="s">
        <v>50</v>
      </c>
      <c r="B969" t="s">
        <v>13</v>
      </c>
      <c r="C969" t="s">
        <v>449</v>
      </c>
      <c r="D969">
        <v>26145</v>
      </c>
      <c r="E969">
        <v>1</v>
      </c>
    </row>
    <row r="970" spans="1:5" x14ac:dyDescent="0.3">
      <c r="A970" t="s">
        <v>5</v>
      </c>
      <c r="B970" t="s">
        <v>277</v>
      </c>
      <c r="C970" t="s">
        <v>449</v>
      </c>
      <c r="D970">
        <v>48536</v>
      </c>
      <c r="E970">
        <v>7</v>
      </c>
    </row>
    <row r="971" spans="1:5" x14ac:dyDescent="0.3">
      <c r="A971" t="s">
        <v>12</v>
      </c>
      <c r="B971" t="s">
        <v>127</v>
      </c>
      <c r="C971" t="s">
        <v>449</v>
      </c>
      <c r="D971">
        <v>97952</v>
      </c>
      <c r="E971">
        <v>10</v>
      </c>
    </row>
    <row r="972" spans="1:5" x14ac:dyDescent="0.3">
      <c r="A972" t="s">
        <v>45</v>
      </c>
      <c r="B972" t="s">
        <v>36</v>
      </c>
      <c r="C972" t="s">
        <v>449</v>
      </c>
      <c r="D972">
        <v>72248</v>
      </c>
      <c r="E972">
        <v>7</v>
      </c>
    </row>
    <row r="973" spans="1:5" x14ac:dyDescent="0.3">
      <c r="A973" t="s">
        <v>21</v>
      </c>
      <c r="B973" t="s">
        <v>276</v>
      </c>
      <c r="C973" t="s">
        <v>450</v>
      </c>
      <c r="D973">
        <v>79261</v>
      </c>
      <c r="E973">
        <v>6</v>
      </c>
    </row>
    <row r="974" spans="1:5" x14ac:dyDescent="0.3">
      <c r="A974" t="s">
        <v>5</v>
      </c>
      <c r="B974" t="s">
        <v>112</v>
      </c>
      <c r="C974" t="s">
        <v>450</v>
      </c>
      <c r="D974">
        <v>98242</v>
      </c>
      <c r="E974">
        <v>6</v>
      </c>
    </row>
    <row r="975" spans="1:5" x14ac:dyDescent="0.3">
      <c r="A975" t="s">
        <v>45</v>
      </c>
      <c r="B975" t="s">
        <v>48</v>
      </c>
      <c r="C975" t="s">
        <v>450</v>
      </c>
      <c r="D975">
        <v>44969</v>
      </c>
      <c r="E975">
        <v>6</v>
      </c>
    </row>
    <row r="976" spans="1:5" x14ac:dyDescent="0.3">
      <c r="A976" t="s">
        <v>14</v>
      </c>
      <c r="B976" t="s">
        <v>136</v>
      </c>
      <c r="C976" t="s">
        <v>451</v>
      </c>
      <c r="D976">
        <v>24827</v>
      </c>
      <c r="E976">
        <v>0</v>
      </c>
    </row>
    <row r="977" spans="1:5" x14ac:dyDescent="0.3">
      <c r="A977" t="s">
        <v>5</v>
      </c>
      <c r="B977" t="s">
        <v>76</v>
      </c>
      <c r="C977" t="s">
        <v>451</v>
      </c>
      <c r="D977">
        <v>21289</v>
      </c>
      <c r="E977">
        <v>7</v>
      </c>
    </row>
    <row r="978" spans="1:5" x14ac:dyDescent="0.3">
      <c r="A978" t="s">
        <v>10</v>
      </c>
      <c r="B978" t="s">
        <v>191</v>
      </c>
      <c r="C978" t="s">
        <v>451</v>
      </c>
      <c r="D978">
        <v>10565</v>
      </c>
      <c r="E978">
        <v>9</v>
      </c>
    </row>
    <row r="979" spans="1:5" x14ac:dyDescent="0.3">
      <c r="A979" t="s">
        <v>47</v>
      </c>
      <c r="B979" t="s">
        <v>402</v>
      </c>
      <c r="C979" t="s">
        <v>452</v>
      </c>
      <c r="D979">
        <v>83288</v>
      </c>
      <c r="E979">
        <v>2</v>
      </c>
    </row>
    <row r="980" spans="1:5" x14ac:dyDescent="0.3">
      <c r="A980" t="s">
        <v>47</v>
      </c>
      <c r="B980" t="s">
        <v>88</v>
      </c>
      <c r="C980" t="s">
        <v>453</v>
      </c>
      <c r="D980">
        <v>93065</v>
      </c>
      <c r="E980">
        <v>3</v>
      </c>
    </row>
    <row r="981" spans="1:5" x14ac:dyDescent="0.3">
      <c r="A981" t="s">
        <v>5</v>
      </c>
      <c r="B981" t="s">
        <v>85</v>
      </c>
      <c r="C981" t="s">
        <v>453</v>
      </c>
      <c r="D981">
        <v>83575</v>
      </c>
      <c r="E981">
        <v>6</v>
      </c>
    </row>
    <row r="982" spans="1:5" x14ac:dyDescent="0.3">
      <c r="A982" t="s">
        <v>28</v>
      </c>
      <c r="B982" t="s">
        <v>63</v>
      </c>
      <c r="C982" t="s">
        <v>453</v>
      </c>
      <c r="D982">
        <v>92170</v>
      </c>
      <c r="E982">
        <v>4</v>
      </c>
    </row>
    <row r="983" spans="1:5" x14ac:dyDescent="0.3">
      <c r="A983" t="s">
        <v>14</v>
      </c>
      <c r="B983" t="s">
        <v>289</v>
      </c>
      <c r="C983" t="s">
        <v>453</v>
      </c>
      <c r="D983">
        <v>44049</v>
      </c>
      <c r="E983">
        <v>2</v>
      </c>
    </row>
    <row r="984" spans="1:5" x14ac:dyDescent="0.3">
      <c r="A984" t="s">
        <v>21</v>
      </c>
      <c r="B984" t="s">
        <v>225</v>
      </c>
      <c r="C984" t="s">
        <v>453</v>
      </c>
      <c r="D984">
        <v>15547</v>
      </c>
      <c r="E984">
        <v>8</v>
      </c>
    </row>
    <row r="985" spans="1:5" x14ac:dyDescent="0.3">
      <c r="A985" t="s">
        <v>10</v>
      </c>
      <c r="B985" t="s">
        <v>394</v>
      </c>
      <c r="C985" t="s">
        <v>453</v>
      </c>
      <c r="D985">
        <v>79621</v>
      </c>
      <c r="E985">
        <v>5</v>
      </c>
    </row>
    <row r="986" spans="1:5" x14ac:dyDescent="0.3">
      <c r="A986" t="s">
        <v>14</v>
      </c>
      <c r="B986" t="s">
        <v>141</v>
      </c>
      <c r="C986" t="s">
        <v>453</v>
      </c>
      <c r="D986">
        <v>50670</v>
      </c>
      <c r="E986">
        <v>9</v>
      </c>
    </row>
    <row r="987" spans="1:5" x14ac:dyDescent="0.3">
      <c r="A987" t="s">
        <v>50</v>
      </c>
      <c r="B987" t="s">
        <v>74</v>
      </c>
      <c r="C987" t="s">
        <v>454</v>
      </c>
      <c r="D987">
        <v>29651</v>
      </c>
      <c r="E987">
        <v>5</v>
      </c>
    </row>
    <row r="988" spans="1:5" x14ac:dyDescent="0.3">
      <c r="A988" t="s">
        <v>28</v>
      </c>
      <c r="B988" t="s">
        <v>277</v>
      </c>
      <c r="C988" t="s">
        <v>454</v>
      </c>
      <c r="D988">
        <v>15328</v>
      </c>
      <c r="E988">
        <v>2</v>
      </c>
    </row>
    <row r="989" spans="1:5" x14ac:dyDescent="0.3">
      <c r="A989" t="s">
        <v>8</v>
      </c>
      <c r="B989" t="s">
        <v>124</v>
      </c>
      <c r="C989" t="s">
        <v>455</v>
      </c>
      <c r="D989">
        <v>70952</v>
      </c>
      <c r="E989">
        <v>8</v>
      </c>
    </row>
    <row r="990" spans="1:5" x14ac:dyDescent="0.3">
      <c r="A990" t="s">
        <v>18</v>
      </c>
      <c r="B990" t="s">
        <v>195</v>
      </c>
      <c r="C990" t="s">
        <v>455</v>
      </c>
      <c r="D990">
        <v>72674</v>
      </c>
      <c r="E990">
        <v>8</v>
      </c>
    </row>
    <row r="991" spans="1:5" x14ac:dyDescent="0.3">
      <c r="A991" t="s">
        <v>18</v>
      </c>
      <c r="B991" t="s">
        <v>116</v>
      </c>
      <c r="C991" t="s">
        <v>456</v>
      </c>
      <c r="D991">
        <v>70903</v>
      </c>
      <c r="E991">
        <v>7</v>
      </c>
    </row>
    <row r="992" spans="1:5" x14ac:dyDescent="0.3">
      <c r="A992" t="s">
        <v>45</v>
      </c>
      <c r="B992" t="s">
        <v>380</v>
      </c>
      <c r="C992" t="s">
        <v>456</v>
      </c>
      <c r="D992">
        <v>66354</v>
      </c>
      <c r="E992">
        <v>7</v>
      </c>
    </row>
    <row r="993" spans="1:5" x14ac:dyDescent="0.3">
      <c r="A993" t="s">
        <v>5</v>
      </c>
      <c r="B993" t="s">
        <v>56</v>
      </c>
      <c r="C993" t="s">
        <v>456</v>
      </c>
      <c r="D993">
        <v>35034</v>
      </c>
      <c r="E993">
        <v>7</v>
      </c>
    </row>
    <row r="994" spans="1:5" x14ac:dyDescent="0.3">
      <c r="A994" t="s">
        <v>40</v>
      </c>
      <c r="B994" t="s">
        <v>180</v>
      </c>
      <c r="C994" t="s">
        <v>456</v>
      </c>
      <c r="D994">
        <v>21147</v>
      </c>
      <c r="E994">
        <v>10</v>
      </c>
    </row>
    <row r="995" spans="1:5" x14ac:dyDescent="0.3">
      <c r="A995" t="s">
        <v>5</v>
      </c>
      <c r="B995" t="s">
        <v>312</v>
      </c>
      <c r="C995" t="s">
        <v>456</v>
      </c>
      <c r="D995">
        <v>75478</v>
      </c>
      <c r="E995">
        <v>10</v>
      </c>
    </row>
    <row r="996" spans="1:5" x14ac:dyDescent="0.3">
      <c r="A996" t="s">
        <v>40</v>
      </c>
      <c r="B996" t="s">
        <v>78</v>
      </c>
      <c r="C996" t="s">
        <v>457</v>
      </c>
      <c r="D996">
        <v>83542</v>
      </c>
      <c r="E996">
        <v>9</v>
      </c>
    </row>
    <row r="997" spans="1:5" x14ac:dyDescent="0.3">
      <c r="A997" t="s">
        <v>21</v>
      </c>
      <c r="B997" t="s">
        <v>85</v>
      </c>
      <c r="C997" t="s">
        <v>457</v>
      </c>
      <c r="D997">
        <v>82691</v>
      </c>
      <c r="E997">
        <v>7</v>
      </c>
    </row>
    <row r="998" spans="1:5" x14ac:dyDescent="0.3">
      <c r="A998" t="s">
        <v>12</v>
      </c>
      <c r="B998" t="s">
        <v>176</v>
      </c>
      <c r="C998" t="s">
        <v>457</v>
      </c>
      <c r="D998">
        <v>45870</v>
      </c>
      <c r="E998">
        <v>10</v>
      </c>
    </row>
    <row r="999" spans="1:5" x14ac:dyDescent="0.3">
      <c r="A999" t="s">
        <v>28</v>
      </c>
      <c r="B999" t="s">
        <v>181</v>
      </c>
      <c r="C999" t="s">
        <v>458</v>
      </c>
      <c r="D999">
        <v>73916</v>
      </c>
      <c r="E999">
        <v>7</v>
      </c>
    </row>
    <row r="1000" spans="1:5" x14ac:dyDescent="0.3">
      <c r="A1000" t="s">
        <v>12</v>
      </c>
      <c r="B1000" t="s">
        <v>183</v>
      </c>
      <c r="C1000" t="s">
        <v>458</v>
      </c>
      <c r="D1000">
        <v>96488</v>
      </c>
      <c r="E1000">
        <v>4</v>
      </c>
    </row>
    <row r="1001" spans="1:5" x14ac:dyDescent="0.3">
      <c r="A1001" t="s">
        <v>5</v>
      </c>
      <c r="B1001" t="s">
        <v>412</v>
      </c>
      <c r="C1001" t="s">
        <v>458</v>
      </c>
      <c r="D1001">
        <v>49150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zoomScaleNormal="100" workbookViewId="0">
      <selection activeCell="B17" sqref="B17"/>
    </sheetView>
  </sheetViews>
  <sheetFormatPr defaultRowHeight="14.4" x14ac:dyDescent="0.3"/>
  <cols>
    <col min="1" max="1" width="27.109375" customWidth="1"/>
    <col min="2" max="2" width="46.88671875" customWidth="1"/>
    <col min="3" max="3" width="10.109375" bestFit="1" customWidth="1"/>
    <col min="4" max="4" width="10.33203125" bestFit="1" customWidth="1"/>
    <col min="5" max="5" width="10.109375" bestFit="1" customWidth="1"/>
    <col min="7" max="7" width="33.5546875" customWidth="1"/>
    <col min="8" max="9" width="13.109375" customWidth="1"/>
    <col min="10" max="10" width="14.33203125" customWidth="1"/>
    <col min="11" max="35" width="13.109375" customWidth="1"/>
  </cols>
  <sheetData>
    <row r="1" spans="1:11" x14ac:dyDescent="0.3">
      <c r="A1" t="s">
        <v>459</v>
      </c>
      <c r="B1" s="2" t="s">
        <v>516</v>
      </c>
    </row>
    <row r="2" spans="1:11" ht="28.8" x14ac:dyDescent="0.3">
      <c r="A2" s="3" t="s">
        <v>460</v>
      </c>
      <c r="B2" t="s">
        <v>461</v>
      </c>
      <c r="G2" s="4" t="s">
        <v>462</v>
      </c>
      <c r="H2" s="5" t="s">
        <v>463</v>
      </c>
      <c r="I2" s="5" t="s">
        <v>464</v>
      </c>
      <c r="J2" s="6" t="s">
        <v>465</v>
      </c>
      <c r="K2" s="5" t="s">
        <v>4</v>
      </c>
    </row>
    <row r="3" spans="1:11" x14ac:dyDescent="0.3">
      <c r="B3" t="s">
        <v>466</v>
      </c>
      <c r="F3">
        <v>1</v>
      </c>
      <c r="G3" s="11" t="s">
        <v>21</v>
      </c>
      <c r="H3" s="7">
        <f>COUNTIF('Задача 1'!B:B,результат!G3)</f>
        <v>75</v>
      </c>
      <c r="I3" s="8">
        <f>SUMIF(Данные!A:A,результат!G3,Данные!D:D)</f>
        <v>5014390</v>
      </c>
      <c r="J3" s="24">
        <f>VLOOKUP(G3,'Задача 1.2'!A:C,3,0)</f>
        <v>333</v>
      </c>
      <c r="K3" s="26">
        <f>( COUNTIFS(Данные!A:A,результат!G3,Данные!E:E,"&gt;=9") - COUNTIFS(Данные!A:A,результат!G3,Данные!E:E,"&lt;=6") ) / COUNTIFS(Данные!A:A,результат!G3,Данные!E:E,"&lt;=0")</f>
        <v>-16</v>
      </c>
    </row>
    <row r="4" spans="1:11" x14ac:dyDescent="0.3">
      <c r="B4" t="s">
        <v>467</v>
      </c>
      <c r="F4">
        <v>2</v>
      </c>
      <c r="G4" s="11" t="s">
        <v>14</v>
      </c>
      <c r="H4" s="7">
        <f>COUNTIF('Задача 1'!B:B,результат!G4)</f>
        <v>77</v>
      </c>
      <c r="I4" s="8">
        <f>SUMIF(Данные!A:A,результат!G4,Данные!D:D)</f>
        <v>5117834</v>
      </c>
      <c r="J4" s="24">
        <f>VLOOKUP(G4,'Задача 1.2'!A:C,3,0)</f>
        <v>227</v>
      </c>
      <c r="K4" s="25">
        <f>( COUNTIFS(Данные!A:A,результат!G4,Данные!E:E,"&gt;=9") - COUNTIFS(Данные!A:A,результат!G4,Данные!E:E,"&lt;=6") ) / COUNTIFS(Данные!A:A,результат!G4,Данные!E:E,"&lt;=0")</f>
        <v>-14</v>
      </c>
    </row>
    <row r="5" spans="1:11" x14ac:dyDescent="0.3">
      <c r="B5" t="s">
        <v>468</v>
      </c>
      <c r="F5">
        <v>3</v>
      </c>
      <c r="G5" s="11" t="s">
        <v>28</v>
      </c>
      <c r="H5" s="7">
        <f>COUNTIF('Задача 1'!B:B,результат!G5)</f>
        <v>63</v>
      </c>
      <c r="I5" s="8">
        <f>SUMIF(Данные!A:A,результат!G5,Данные!D:D)</f>
        <v>3924069</v>
      </c>
      <c r="J5" s="24">
        <f>VLOOKUP(G5,'Задача 1.2'!A:C,3,0)</f>
        <v>221</v>
      </c>
      <c r="K5" s="25">
        <f>( COUNTIFS(Данные!A:A,результат!G5,Данные!E:E,"&gt;=9") - COUNTIFS(Данные!A:A,результат!G5,Данные!E:E,"&lt;=6") ) / COUNTIFS(Данные!A:A,результат!G5,Данные!E:E,"&lt;=0")</f>
        <v>-9</v>
      </c>
    </row>
    <row r="6" spans="1:11" x14ac:dyDescent="0.3">
      <c r="B6" s="9" t="s">
        <v>469</v>
      </c>
      <c r="F6">
        <v>4</v>
      </c>
      <c r="G6" s="11" t="s">
        <v>10</v>
      </c>
      <c r="H6" s="7">
        <f>COUNTIF('Задача 1'!B:B,результат!G6)</f>
        <v>67</v>
      </c>
      <c r="I6" s="8">
        <f>SUMIF(Данные!A:A,результат!G6,Данные!D:D)</f>
        <v>4748937</v>
      </c>
      <c r="J6" s="24">
        <f>VLOOKUP(G6,'Задача 1.2'!A:C,3,0)</f>
        <v>262</v>
      </c>
      <c r="K6" s="25">
        <f>( COUNTIFS(Данные!A:A,результат!G6,Данные!E:E,"&gt;=9") - COUNTIFS(Данные!A:A,результат!G6,Данные!E:E,"&lt;=6") ) / COUNTIFS(Данные!A:A,результат!G6,Данные!E:E,"&lt;=0")</f>
        <v>-29</v>
      </c>
    </row>
    <row r="7" spans="1:11" x14ac:dyDescent="0.3">
      <c r="B7" s="10" t="s">
        <v>470</v>
      </c>
      <c r="F7">
        <v>5</v>
      </c>
      <c r="G7" s="11" t="s">
        <v>47</v>
      </c>
      <c r="H7" s="7">
        <f>COUNTIF('Задача 1'!B:B,результат!G7)</f>
        <v>75</v>
      </c>
      <c r="I7" s="8">
        <f>SUMIF(Данные!A:A,результат!G7,Данные!D:D)</f>
        <v>4941526</v>
      </c>
      <c r="J7" s="24">
        <f>VLOOKUP(G7,'Задача 1.2'!A:C,3,0)</f>
        <v>323</v>
      </c>
      <c r="K7" s="25">
        <f>( COUNTIFS(Данные!A:A,результат!G7,Данные!E:E,"&gt;=9") - COUNTIFS(Данные!A:A,результат!G7,Данные!E:E,"&lt;=6") ) / COUNTIFS(Данные!A:A,результат!G7,Данные!E:E,"&lt;=0")</f>
        <v>-19</v>
      </c>
    </row>
    <row r="8" spans="1:11" x14ac:dyDescent="0.3">
      <c r="B8" t="s">
        <v>471</v>
      </c>
      <c r="F8">
        <v>6</v>
      </c>
      <c r="G8" s="11" t="s">
        <v>45</v>
      </c>
      <c r="H8" s="7">
        <f>COUNTIF('Задача 1'!B:B,результат!G8)</f>
        <v>69</v>
      </c>
      <c r="I8" s="8">
        <f>SUMIF(Данные!A:A,результат!G8,Данные!D:D)</f>
        <v>4515870</v>
      </c>
      <c r="J8" s="24">
        <f>VLOOKUP(G8,'Задача 1.2'!A:C,3,0)</f>
        <v>300</v>
      </c>
      <c r="K8" s="25">
        <f>( COUNTIFS(Данные!A:A,результат!G8,Данные!E:E,"&gt;=9") - COUNTIFS(Данные!A:A,результат!G8,Данные!E:E,"&lt;=6") ) / COUNTIFS(Данные!A:A,результат!G8,Данные!E:E,"&lt;=0")</f>
        <v>-14</v>
      </c>
    </row>
    <row r="9" spans="1:11" x14ac:dyDescent="0.3">
      <c r="F9">
        <v>7</v>
      </c>
      <c r="G9" s="11" t="s">
        <v>50</v>
      </c>
      <c r="H9" s="7">
        <f>COUNTIF('Задача 1'!B:B,результат!G9)</f>
        <v>72</v>
      </c>
      <c r="I9" s="8">
        <f>SUMIF(Данные!A:A,результат!G9,Данные!D:D)</f>
        <v>5071015</v>
      </c>
      <c r="J9" s="24">
        <f>VLOOKUP(G9,'Задача 1.2'!A:C,3,0)</f>
        <v>286</v>
      </c>
      <c r="K9" s="25">
        <f>( COUNTIFS(Данные!A:A,результат!G9,Данные!E:E,"&gt;=9") - COUNTIFS(Данные!A:A,результат!G9,Данные!E:E,"&lt;=6") ) / COUNTIFS(Данные!A:A,результат!G9,Данные!E:E,"&lt;=0")</f>
        <v>-15.5</v>
      </c>
    </row>
    <row r="10" spans="1:11" x14ac:dyDescent="0.3">
      <c r="F10">
        <v>8</v>
      </c>
      <c r="G10" s="11" t="s">
        <v>12</v>
      </c>
      <c r="H10" s="7">
        <f>COUNTIF('Задача 1'!B:B,результат!G10)</f>
        <v>50</v>
      </c>
      <c r="I10" s="8">
        <f>SUMIF(Данные!A:A,результат!G10,Данные!D:D)</f>
        <v>3860169</v>
      </c>
      <c r="J10" s="24">
        <f>VLOOKUP(G10,'Задача 1.2'!A:C,3,0)</f>
        <v>268</v>
      </c>
      <c r="K10" s="25">
        <f>( COUNTIFS(Данные!A:A,результат!G10,Данные!E:E,"&gt;=9") - COUNTIFS(Данные!A:A,результат!G10,Данные!E:E,"&lt;=6") ) / COUNTIFS(Данные!A:A,результат!G10,Данные!E:E,"&lt;=0")</f>
        <v>-12</v>
      </c>
    </row>
    <row r="11" spans="1:11" x14ac:dyDescent="0.3">
      <c r="F11">
        <v>9</v>
      </c>
      <c r="G11" s="11" t="s">
        <v>18</v>
      </c>
      <c r="H11" s="7">
        <f>COUNTIF('Задача 1'!B:B,результат!G11)</f>
        <v>59</v>
      </c>
      <c r="I11" s="8">
        <f>SUMIF(Данные!A:A,результат!G11,Данные!D:D)</f>
        <v>4408761</v>
      </c>
      <c r="J11" s="24">
        <f>VLOOKUP(G11,'Задача 1.2'!A:C,3,0)</f>
        <v>302</v>
      </c>
      <c r="K11" s="25">
        <f>( COUNTIFS(Данные!A:A,результат!G11,Данные!E:E,"&gt;=9") - COUNTIFS(Данные!A:A,результат!G11,Данные!E:E,"&lt;=6") ) / COUNTIFS(Данные!A:A,результат!G11,Данные!E:E,"&lt;=0")</f>
        <v>-27</v>
      </c>
    </row>
    <row r="12" spans="1:11" x14ac:dyDescent="0.3">
      <c r="B12" t="s">
        <v>472</v>
      </c>
      <c r="F12">
        <v>10</v>
      </c>
      <c r="G12" s="11" t="s">
        <v>5</v>
      </c>
      <c r="H12" s="7">
        <f>COUNTIF('Задача 1'!B:B,результат!G12)</f>
        <v>64</v>
      </c>
      <c r="I12" s="8">
        <f>SUMIF(Данные!A:A,результат!G12,Данные!D:D)</f>
        <v>4502588</v>
      </c>
      <c r="J12" s="24">
        <f>VLOOKUP(G12,'Задача 1.2'!A:C,3,0)</f>
        <v>280</v>
      </c>
      <c r="K12" s="25">
        <f>( COUNTIFS(Данные!A:A,результат!G12,Данные!E:E,"&gt;=9") - COUNTIFS(Данные!A:A,результат!G12,Данные!E:E,"&lt;=6") ) / COUNTIFS(Данные!A:A,результат!G12,Данные!E:E,"&lt;=0")</f>
        <v>-19</v>
      </c>
    </row>
    <row r="13" spans="1:11" x14ac:dyDescent="0.3">
      <c r="A13" t="s">
        <v>473</v>
      </c>
      <c r="B13" s="11" t="str">
        <f>INDEX(G3:G14,MATCH(MAX(H3:H14),H3:H14,0))</f>
        <v>Громова Мария Ильинична</v>
      </c>
      <c r="F13">
        <v>11</v>
      </c>
      <c r="G13" s="11" t="s">
        <v>40</v>
      </c>
      <c r="H13" s="7">
        <f>COUNTIF('Задача 1'!B:B,результат!G13)</f>
        <v>67</v>
      </c>
      <c r="I13" s="8">
        <f>SUMIF(Данные!A:A,результат!G13,Данные!D:D)</f>
        <v>4297231</v>
      </c>
      <c r="J13" s="24">
        <f>VLOOKUP(G13,'Задача 1.2'!A:C,3,0)</f>
        <v>231</v>
      </c>
      <c r="K13" s="25">
        <f>( COUNTIFS(Данные!A:A,результат!G13,Данные!E:E,"&gt;=9") - COUNTIFS(Данные!A:A,результат!G13,Данные!E:E,"&lt;=6") ) / COUNTIFS(Данные!A:A,результат!G13,Данные!E:E,"&lt;=0")</f>
        <v>-10.5</v>
      </c>
    </row>
    <row r="14" spans="1:11" x14ac:dyDescent="0.3">
      <c r="F14">
        <v>12</v>
      </c>
      <c r="G14" s="11" t="s">
        <v>8</v>
      </c>
      <c r="H14" s="7">
        <f>COUNTIF('Задача 1'!B:B,результат!G14)</f>
        <v>76</v>
      </c>
      <c r="I14" s="8">
        <f>SUMIF(Данные!A:A,результат!G14,Данные!D:D)</f>
        <v>5294051</v>
      </c>
      <c r="J14" s="24">
        <f>VLOOKUP(G14,'Задача 1.2'!A:C,3,0)</f>
        <v>329</v>
      </c>
      <c r="K14" s="25">
        <f>( COUNTIFS(Данные!A:A,результат!G14,Данные!E:E,"&gt;=9") - COUNTIFS(Данные!A:A,результат!G14,Данные!E:E,"&lt;=6") ) / COUNTIFS(Данные!A:A,результат!G14,Данные!E:E,"&lt;=0")</f>
        <v>-21.5</v>
      </c>
    </row>
    <row r="15" spans="1:11" x14ac:dyDescent="0.3">
      <c r="A15" t="s">
        <v>474</v>
      </c>
      <c r="B15" s="11" t="str">
        <f>INDEX(G3:G14,MATCH(MAX(I3:I14),I3:I14,0))</f>
        <v>Яковлев Артем Игоревич</v>
      </c>
    </row>
    <row r="17" spans="1:11" ht="15.6" x14ac:dyDescent="0.3">
      <c r="A17" t="s">
        <v>475</v>
      </c>
      <c r="B17" s="11" t="str">
        <f>INDEX(G3:G14,MATCH(MAX(J3:J14),J3:J14,0))</f>
        <v>Белов Алексей Константинович</v>
      </c>
      <c r="G17" s="12"/>
    </row>
    <row r="19" spans="1:11" x14ac:dyDescent="0.3">
      <c r="A19" t="s">
        <v>4</v>
      </c>
      <c r="B19" s="11" t="str">
        <f>INDEX(G3:G14,MATCH(MAX(K3:K14),K3:K14,0))</f>
        <v>Иванова Анна Сергеевна</v>
      </c>
    </row>
    <row r="21" spans="1:1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3">
      <c r="A23" s="3" t="s">
        <v>476</v>
      </c>
      <c r="B23" t="s">
        <v>477</v>
      </c>
      <c r="G23" t="s">
        <v>478</v>
      </c>
    </row>
    <row r="24" spans="1:11" x14ac:dyDescent="0.3">
      <c r="B24" s="14" t="s">
        <v>479</v>
      </c>
      <c r="G24" t="s">
        <v>480</v>
      </c>
      <c r="H24" t="s">
        <v>481</v>
      </c>
      <c r="I24" t="s">
        <v>464</v>
      </c>
    </row>
    <row r="25" spans="1:11" x14ac:dyDescent="0.3">
      <c r="B25" s="14" t="s">
        <v>482</v>
      </c>
      <c r="F25">
        <v>1</v>
      </c>
      <c r="G25" s="11" t="s">
        <v>67</v>
      </c>
      <c r="H25" s="11">
        <v>2</v>
      </c>
      <c r="I25" s="11">
        <v>883676</v>
      </c>
    </row>
    <row r="26" spans="1:11" x14ac:dyDescent="0.3">
      <c r="B26" s="14" t="s">
        <v>483</v>
      </c>
      <c r="F26">
        <v>2</v>
      </c>
      <c r="G26" s="11" t="s">
        <v>48</v>
      </c>
      <c r="H26" s="11">
        <v>5</v>
      </c>
      <c r="I26" s="11">
        <v>746080</v>
      </c>
    </row>
    <row r="27" spans="1:11" x14ac:dyDescent="0.3">
      <c r="F27">
        <v>3</v>
      </c>
      <c r="G27" s="11" t="s">
        <v>69</v>
      </c>
      <c r="H27" s="11">
        <v>3</v>
      </c>
      <c r="I27" s="11">
        <v>680657</v>
      </c>
    </row>
    <row r="28" spans="1:11" x14ac:dyDescent="0.3">
      <c r="F28">
        <v>4</v>
      </c>
      <c r="G28" s="11" t="s">
        <v>84</v>
      </c>
      <c r="H28" s="11">
        <v>3</v>
      </c>
      <c r="I28" s="11">
        <v>636973</v>
      </c>
    </row>
    <row r="29" spans="1:11" x14ac:dyDescent="0.3">
      <c r="F29">
        <v>5</v>
      </c>
      <c r="G29" s="11" t="s">
        <v>35</v>
      </c>
      <c r="H29" s="11">
        <v>8</v>
      </c>
      <c r="I29" s="11">
        <v>610926</v>
      </c>
    </row>
    <row r="30" spans="1:11" x14ac:dyDescent="0.3">
      <c r="F30">
        <v>6</v>
      </c>
      <c r="G30" s="11" t="s">
        <v>115</v>
      </c>
      <c r="H30" s="11">
        <v>5</v>
      </c>
      <c r="I30" s="11">
        <v>596460</v>
      </c>
    </row>
    <row r="31" spans="1:11" x14ac:dyDescent="0.3">
      <c r="F31">
        <v>7</v>
      </c>
      <c r="G31" s="11" t="s">
        <v>144</v>
      </c>
      <c r="H31" s="11">
        <v>3</v>
      </c>
      <c r="I31" s="11">
        <v>583616</v>
      </c>
    </row>
    <row r="32" spans="1:11" x14ac:dyDescent="0.3">
      <c r="F32">
        <v>8</v>
      </c>
      <c r="G32" s="11" t="s">
        <v>178</v>
      </c>
      <c r="H32" s="11">
        <v>3</v>
      </c>
      <c r="I32" s="11">
        <v>565367</v>
      </c>
    </row>
    <row r="33" spans="6:9" x14ac:dyDescent="0.3">
      <c r="F33">
        <v>9</v>
      </c>
      <c r="G33" s="11" t="s">
        <v>190</v>
      </c>
      <c r="H33" s="11">
        <v>7</v>
      </c>
      <c r="I33" s="11">
        <v>561141</v>
      </c>
    </row>
    <row r="34" spans="6:9" x14ac:dyDescent="0.3">
      <c r="F34">
        <v>10</v>
      </c>
      <c r="G34" s="11" t="s">
        <v>174</v>
      </c>
      <c r="H34" s="11">
        <v>4</v>
      </c>
      <c r="I34" s="11">
        <v>561096</v>
      </c>
    </row>
    <row r="37" spans="6:9" x14ac:dyDescent="0.3">
      <c r="G37" t="s">
        <v>484</v>
      </c>
    </row>
    <row r="38" spans="6:9" x14ac:dyDescent="0.3">
      <c r="G38" t="s">
        <v>480</v>
      </c>
      <c r="H38" t="s">
        <v>481</v>
      </c>
      <c r="I38" t="s">
        <v>464</v>
      </c>
    </row>
    <row r="39" spans="6:9" x14ac:dyDescent="0.3">
      <c r="F39">
        <v>1</v>
      </c>
      <c r="G39" s="11" t="s">
        <v>250</v>
      </c>
      <c r="H39" s="11">
        <v>3</v>
      </c>
      <c r="I39" s="11">
        <v>446016</v>
      </c>
    </row>
    <row r="40" spans="6:9" x14ac:dyDescent="0.3">
      <c r="F40">
        <v>2</v>
      </c>
      <c r="G40" s="11" t="s">
        <v>398</v>
      </c>
      <c r="H40" s="11">
        <v>5</v>
      </c>
      <c r="I40" s="11">
        <v>163989</v>
      </c>
    </row>
    <row r="41" spans="6:9" x14ac:dyDescent="0.3">
      <c r="F41">
        <v>3</v>
      </c>
      <c r="G41" s="11" t="s">
        <v>440</v>
      </c>
      <c r="H41" s="11">
        <v>1</v>
      </c>
      <c r="I41" s="11">
        <v>0</v>
      </c>
    </row>
    <row r="42" spans="6:9" x14ac:dyDescent="0.3">
      <c r="F42">
        <v>4</v>
      </c>
      <c r="G42" s="11" t="s">
        <v>323</v>
      </c>
      <c r="H42" s="11">
        <v>3</v>
      </c>
      <c r="I42" s="11">
        <v>326968</v>
      </c>
    </row>
    <row r="43" spans="6:9" x14ac:dyDescent="0.3">
      <c r="F43">
        <v>5</v>
      </c>
      <c r="G43" s="11" t="s">
        <v>360</v>
      </c>
      <c r="H43" s="11">
        <v>6</v>
      </c>
      <c r="I43" s="11">
        <v>97355</v>
      </c>
    </row>
    <row r="44" spans="6:9" x14ac:dyDescent="0.3">
      <c r="F44">
        <v>6</v>
      </c>
      <c r="G44" s="11" t="s">
        <v>280</v>
      </c>
      <c r="H44" s="11">
        <v>5</v>
      </c>
      <c r="I44" s="11">
        <v>101763</v>
      </c>
    </row>
    <row r="45" spans="6:9" x14ac:dyDescent="0.3">
      <c r="F45">
        <v>7</v>
      </c>
      <c r="G45" s="11" t="s">
        <v>158</v>
      </c>
      <c r="H45" s="11">
        <v>2</v>
      </c>
      <c r="I45" s="11">
        <v>387713</v>
      </c>
    </row>
    <row r="46" spans="6:9" x14ac:dyDescent="0.3">
      <c r="F46">
        <v>8</v>
      </c>
      <c r="G46" s="11" t="s">
        <v>332</v>
      </c>
      <c r="H46" s="11">
        <v>11</v>
      </c>
      <c r="I46" s="11">
        <v>132173</v>
      </c>
    </row>
    <row r="47" spans="6:9" x14ac:dyDescent="0.3">
      <c r="F47">
        <v>9</v>
      </c>
      <c r="G47" s="11" t="s">
        <v>203</v>
      </c>
      <c r="H47" s="11">
        <v>7</v>
      </c>
      <c r="I47" s="11">
        <v>278272</v>
      </c>
    </row>
    <row r="48" spans="6:9" x14ac:dyDescent="0.3">
      <c r="F48">
        <v>10</v>
      </c>
      <c r="G48" s="11" t="s">
        <v>153</v>
      </c>
      <c r="H48" s="11">
        <v>7</v>
      </c>
      <c r="I48" s="11">
        <v>499450</v>
      </c>
    </row>
    <row r="50" spans="1:20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3">
      <c r="C51" s="15" t="s">
        <v>485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3">
      <c r="A52" s="3" t="s">
        <v>486</v>
      </c>
      <c r="B52" t="s">
        <v>487</v>
      </c>
      <c r="C52" s="15"/>
      <c r="D52" s="15"/>
      <c r="G52" t="s">
        <v>488</v>
      </c>
    </row>
    <row r="53" spans="1:20" x14ac:dyDescent="0.3">
      <c r="B53" t="s">
        <v>489</v>
      </c>
      <c r="C53" s="15" t="s">
        <v>490</v>
      </c>
      <c r="D53" s="15" t="s">
        <v>491</v>
      </c>
      <c r="G53" s="17" t="s">
        <v>462</v>
      </c>
      <c r="H53" s="7" t="s">
        <v>492</v>
      </c>
      <c r="I53" s="7" t="s">
        <v>493</v>
      </c>
      <c r="J53" s="7" t="s">
        <v>494</v>
      </c>
      <c r="K53" s="7" t="s">
        <v>495</v>
      </c>
      <c r="L53" s="7" t="s">
        <v>496</v>
      </c>
      <c r="M53" s="7" t="s">
        <v>497</v>
      </c>
      <c r="N53" s="7" t="s">
        <v>498</v>
      </c>
      <c r="O53" s="7" t="s">
        <v>499</v>
      </c>
      <c r="P53" s="7" t="s">
        <v>500</v>
      </c>
      <c r="Q53" s="7" t="s">
        <v>501</v>
      </c>
      <c r="R53" s="7" t="s">
        <v>502</v>
      </c>
      <c r="S53" s="7" t="s">
        <v>503</v>
      </c>
      <c r="T53" s="7" t="s">
        <v>504</v>
      </c>
    </row>
    <row r="54" spans="1:20" x14ac:dyDescent="0.3">
      <c r="B54" t="s">
        <v>505</v>
      </c>
      <c r="C54" s="18">
        <v>45170</v>
      </c>
      <c r="D54" s="19">
        <v>45537</v>
      </c>
      <c r="G54" s="11" t="s">
        <v>21</v>
      </c>
      <c r="H54" s="11">
        <v>7</v>
      </c>
      <c r="I54" s="11">
        <v>5</v>
      </c>
      <c r="J54" s="11">
        <v>8</v>
      </c>
      <c r="K54" s="11">
        <v>5</v>
      </c>
      <c r="L54" s="11">
        <v>11</v>
      </c>
      <c r="M54" s="11">
        <v>8</v>
      </c>
      <c r="N54" s="11">
        <v>1</v>
      </c>
      <c r="O54" s="11">
        <v>12</v>
      </c>
      <c r="P54" s="11">
        <v>14</v>
      </c>
      <c r="Q54" s="11">
        <v>5</v>
      </c>
      <c r="R54" s="11">
        <v>6</v>
      </c>
      <c r="S54" s="11">
        <v>9</v>
      </c>
      <c r="T54" s="11">
        <v>0</v>
      </c>
    </row>
    <row r="55" spans="1:20" x14ac:dyDescent="0.3">
      <c r="B55" t="s">
        <v>506</v>
      </c>
      <c r="C55" s="15">
        <v>2023</v>
      </c>
      <c r="D55" s="15">
        <v>2024</v>
      </c>
      <c r="G55" s="11" t="s">
        <v>14</v>
      </c>
      <c r="H55" s="11">
        <v>7</v>
      </c>
      <c r="I55" s="11">
        <v>4</v>
      </c>
      <c r="J55" s="11">
        <v>10</v>
      </c>
      <c r="K55" s="11">
        <v>6</v>
      </c>
      <c r="L55" s="11">
        <v>14</v>
      </c>
      <c r="M55" s="11">
        <v>5</v>
      </c>
      <c r="N55" s="11">
        <v>8</v>
      </c>
      <c r="O55" s="11">
        <v>8</v>
      </c>
      <c r="P55" s="11">
        <v>6</v>
      </c>
      <c r="Q55" s="11">
        <v>6</v>
      </c>
      <c r="R55" s="11">
        <v>8</v>
      </c>
      <c r="S55" s="11">
        <v>11</v>
      </c>
      <c r="T55" s="11">
        <v>0</v>
      </c>
    </row>
    <row r="56" spans="1:20" x14ac:dyDescent="0.3">
      <c r="C56" s="15">
        <v>9</v>
      </c>
      <c r="D56" s="15">
        <v>9</v>
      </c>
      <c r="G56" s="11" t="s">
        <v>28</v>
      </c>
      <c r="H56" s="11">
        <v>10</v>
      </c>
      <c r="I56" s="11">
        <v>5</v>
      </c>
      <c r="J56" s="11">
        <v>6</v>
      </c>
      <c r="K56" s="11">
        <v>3</v>
      </c>
      <c r="L56" s="11">
        <v>4</v>
      </c>
      <c r="M56" s="11">
        <v>6</v>
      </c>
      <c r="N56" s="11">
        <v>6</v>
      </c>
      <c r="O56" s="11">
        <v>7</v>
      </c>
      <c r="P56" s="11">
        <v>9</v>
      </c>
      <c r="Q56" s="11">
        <v>5</v>
      </c>
      <c r="R56" s="11">
        <v>5</v>
      </c>
      <c r="S56" s="11">
        <v>6</v>
      </c>
      <c r="T56" s="11">
        <v>1</v>
      </c>
    </row>
    <row r="57" spans="1:20" x14ac:dyDescent="0.3">
      <c r="G57" s="11" t="s">
        <v>10</v>
      </c>
      <c r="H57" s="11">
        <v>5</v>
      </c>
      <c r="I57" s="11">
        <v>7</v>
      </c>
      <c r="J57" s="11">
        <v>6</v>
      </c>
      <c r="K57" s="11">
        <v>9</v>
      </c>
      <c r="L57" s="11">
        <v>5</v>
      </c>
      <c r="M57" s="11">
        <v>12</v>
      </c>
      <c r="N57" s="11">
        <v>2</v>
      </c>
      <c r="O57" s="11">
        <v>7</v>
      </c>
      <c r="P57" s="11">
        <v>10</v>
      </c>
      <c r="Q57" s="11">
        <v>8</v>
      </c>
      <c r="R57" s="11">
        <v>6</v>
      </c>
      <c r="S57" s="11">
        <v>3</v>
      </c>
      <c r="T57" s="11">
        <v>0</v>
      </c>
    </row>
    <row r="58" spans="1:20" x14ac:dyDescent="0.3">
      <c r="G58" s="11" t="s">
        <v>47</v>
      </c>
      <c r="H58" s="11">
        <v>9</v>
      </c>
      <c r="I58" s="11">
        <v>13</v>
      </c>
      <c r="J58" s="11">
        <v>6</v>
      </c>
      <c r="K58" s="11">
        <v>6</v>
      </c>
      <c r="L58" s="11">
        <v>7</v>
      </c>
      <c r="M58" s="11">
        <v>9</v>
      </c>
      <c r="N58" s="11">
        <v>3</v>
      </c>
      <c r="O58" s="11">
        <v>5</v>
      </c>
      <c r="P58" s="11">
        <v>12</v>
      </c>
      <c r="Q58" s="11">
        <v>11</v>
      </c>
      <c r="R58" s="11">
        <v>4</v>
      </c>
      <c r="S58" s="11">
        <v>5</v>
      </c>
      <c r="T58" s="11">
        <v>0</v>
      </c>
    </row>
    <row r="59" spans="1:20" x14ac:dyDescent="0.3">
      <c r="G59" s="11" t="s">
        <v>45</v>
      </c>
      <c r="H59" s="11">
        <v>7</v>
      </c>
      <c r="I59" s="11">
        <v>10</v>
      </c>
      <c r="J59" s="11">
        <v>8</v>
      </c>
      <c r="K59" s="11">
        <v>9</v>
      </c>
      <c r="L59" s="11">
        <v>7</v>
      </c>
      <c r="M59" s="11">
        <v>4</v>
      </c>
      <c r="N59" s="11">
        <v>3</v>
      </c>
      <c r="O59" s="11">
        <v>7</v>
      </c>
      <c r="P59" s="11">
        <v>7</v>
      </c>
      <c r="Q59" s="11">
        <v>10</v>
      </c>
      <c r="R59" s="11">
        <v>9</v>
      </c>
      <c r="S59" s="11">
        <v>6</v>
      </c>
      <c r="T59" s="11">
        <v>0</v>
      </c>
    </row>
    <row r="60" spans="1:20" x14ac:dyDescent="0.3">
      <c r="G60" s="11" t="s">
        <v>50</v>
      </c>
      <c r="H60" s="11">
        <v>6</v>
      </c>
      <c r="I60" s="11">
        <v>5</v>
      </c>
      <c r="J60" s="11">
        <v>10</v>
      </c>
      <c r="K60" s="11">
        <v>7</v>
      </c>
      <c r="L60" s="11">
        <v>10</v>
      </c>
      <c r="M60" s="11">
        <v>10</v>
      </c>
      <c r="N60" s="11">
        <v>3</v>
      </c>
      <c r="O60" s="11">
        <v>9</v>
      </c>
      <c r="P60" s="11">
        <v>5</v>
      </c>
      <c r="Q60" s="11">
        <v>8</v>
      </c>
      <c r="R60" s="11">
        <v>6</v>
      </c>
      <c r="S60" s="11">
        <v>5</v>
      </c>
      <c r="T60" s="11">
        <v>0</v>
      </c>
    </row>
    <row r="61" spans="1:20" x14ac:dyDescent="0.3">
      <c r="G61" s="11" t="s">
        <v>12</v>
      </c>
      <c r="H61" s="11">
        <v>6</v>
      </c>
      <c r="I61" s="11">
        <v>5</v>
      </c>
      <c r="J61" s="11">
        <v>6</v>
      </c>
      <c r="K61" s="11">
        <v>5</v>
      </c>
      <c r="L61" s="11">
        <v>8</v>
      </c>
      <c r="M61" s="11">
        <v>8</v>
      </c>
      <c r="N61" s="11">
        <v>1</v>
      </c>
      <c r="O61" s="11">
        <v>5</v>
      </c>
      <c r="P61" s="11">
        <v>6</v>
      </c>
      <c r="Q61" s="11">
        <v>1</v>
      </c>
      <c r="R61" s="11">
        <v>3</v>
      </c>
      <c r="S61" s="11">
        <v>7</v>
      </c>
      <c r="T61" s="11">
        <v>1</v>
      </c>
    </row>
    <row r="62" spans="1:20" x14ac:dyDescent="0.3">
      <c r="G62" s="11" t="s">
        <v>18</v>
      </c>
      <c r="H62" s="11">
        <v>11</v>
      </c>
      <c r="I62" s="11">
        <v>7</v>
      </c>
      <c r="J62" s="11">
        <v>6</v>
      </c>
      <c r="K62" s="11">
        <v>1</v>
      </c>
      <c r="L62" s="11">
        <v>11</v>
      </c>
      <c r="M62" s="11">
        <v>7</v>
      </c>
      <c r="N62" s="11">
        <v>7</v>
      </c>
      <c r="O62" s="11">
        <v>6</v>
      </c>
      <c r="P62" s="11">
        <v>9</v>
      </c>
      <c r="Q62" s="11">
        <v>8</v>
      </c>
      <c r="R62" s="11">
        <v>7</v>
      </c>
      <c r="S62" s="11">
        <v>4</v>
      </c>
      <c r="T62" s="11">
        <v>0</v>
      </c>
    </row>
    <row r="63" spans="1:20" x14ac:dyDescent="0.3">
      <c r="G63" s="11" t="s">
        <v>5</v>
      </c>
      <c r="H63" s="11">
        <v>4</v>
      </c>
      <c r="I63" s="11">
        <v>11</v>
      </c>
      <c r="J63" s="11">
        <v>9</v>
      </c>
      <c r="K63" s="11">
        <v>5</v>
      </c>
      <c r="L63" s="11">
        <v>6</v>
      </c>
      <c r="M63" s="11">
        <v>2</v>
      </c>
      <c r="N63" s="11">
        <v>3</v>
      </c>
      <c r="O63" s="11">
        <v>7</v>
      </c>
      <c r="P63" s="11">
        <v>9</v>
      </c>
      <c r="Q63" s="11">
        <v>4</v>
      </c>
      <c r="R63" s="11">
        <v>8</v>
      </c>
      <c r="S63" s="11">
        <v>9</v>
      </c>
      <c r="T63" s="11">
        <v>1</v>
      </c>
    </row>
    <row r="64" spans="1:20" x14ac:dyDescent="0.3">
      <c r="G64" s="11" t="s">
        <v>40</v>
      </c>
      <c r="H64" s="11">
        <v>8</v>
      </c>
      <c r="I64" s="11">
        <v>9</v>
      </c>
      <c r="J64" s="11">
        <v>6</v>
      </c>
      <c r="K64" s="11">
        <v>3</v>
      </c>
      <c r="L64" s="11">
        <v>5</v>
      </c>
      <c r="M64" s="11">
        <v>9</v>
      </c>
      <c r="N64" s="11">
        <v>11</v>
      </c>
      <c r="O64" s="11">
        <v>5</v>
      </c>
      <c r="P64" s="11">
        <v>3</v>
      </c>
      <c r="Q64" s="11">
        <v>8</v>
      </c>
      <c r="R64" s="11">
        <v>6</v>
      </c>
      <c r="S64" s="11">
        <v>6</v>
      </c>
      <c r="T64" s="11">
        <v>0</v>
      </c>
    </row>
    <row r="65" spans="7:20" x14ac:dyDescent="0.3">
      <c r="G65" s="11" t="s">
        <v>8</v>
      </c>
      <c r="H65" s="11">
        <v>13</v>
      </c>
      <c r="I65" s="11">
        <v>7</v>
      </c>
      <c r="J65" s="11">
        <v>5</v>
      </c>
      <c r="K65" s="11">
        <v>12</v>
      </c>
      <c r="L65" s="11">
        <v>10</v>
      </c>
      <c r="M65" s="11">
        <v>4</v>
      </c>
      <c r="N65" s="11">
        <v>8</v>
      </c>
      <c r="O65" s="11">
        <v>10</v>
      </c>
      <c r="P65" s="11">
        <v>8</v>
      </c>
      <c r="Q65" s="11">
        <v>9</v>
      </c>
      <c r="R65" s="11">
        <v>5</v>
      </c>
      <c r="S65" s="11">
        <v>8</v>
      </c>
      <c r="T65" s="11">
        <v>0</v>
      </c>
    </row>
    <row r="66" spans="7:20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3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3">
      <c r="G68" s="17" t="s">
        <v>462</v>
      </c>
      <c r="H68" s="7" t="s">
        <v>492</v>
      </c>
      <c r="I68" s="7" t="s">
        <v>493</v>
      </c>
      <c r="J68" s="7" t="s">
        <v>494</v>
      </c>
      <c r="K68" s="7" t="s">
        <v>495</v>
      </c>
      <c r="L68" s="7" t="s">
        <v>496</v>
      </c>
      <c r="M68" s="7" t="s">
        <v>497</v>
      </c>
      <c r="N68" s="7" t="s">
        <v>498</v>
      </c>
      <c r="O68" s="7" t="s">
        <v>499</v>
      </c>
      <c r="P68" s="7" t="s">
        <v>500</v>
      </c>
      <c r="Q68" s="7" t="s">
        <v>501</v>
      </c>
      <c r="R68" s="7" t="s">
        <v>502</v>
      </c>
      <c r="S68" s="7" t="s">
        <v>503</v>
      </c>
      <c r="T68" s="7" t="s">
        <v>504</v>
      </c>
    </row>
    <row r="69" spans="7:20" x14ac:dyDescent="0.3">
      <c r="G69" s="11" t="s">
        <v>21</v>
      </c>
      <c r="H69" s="28">
        <v>-0.14285714285714285</v>
      </c>
      <c r="I69" s="28">
        <v>0</v>
      </c>
      <c r="J69" s="28">
        <v>-0.25</v>
      </c>
      <c r="K69" s="28">
        <v>-0.6</v>
      </c>
      <c r="L69" s="28">
        <v>-0.18181818181818182</v>
      </c>
      <c r="M69" s="28">
        <v>-0.25</v>
      </c>
      <c r="N69" s="28">
        <v>1</v>
      </c>
      <c r="O69" s="28">
        <v>-0.66666666666666663</v>
      </c>
      <c r="P69" s="28">
        <v>-0.5714285714285714</v>
      </c>
      <c r="Q69" s="28">
        <v>-0.2</v>
      </c>
      <c r="R69" s="28">
        <v>-0.66666666666666663</v>
      </c>
      <c r="S69" s="28">
        <v>-0.22222222222222221</v>
      </c>
      <c r="T69" s="28" t="s">
        <v>507</v>
      </c>
    </row>
    <row r="70" spans="7:20" x14ac:dyDescent="0.3">
      <c r="G70" s="11" t="s">
        <v>14</v>
      </c>
      <c r="H70" s="28">
        <v>-0.2857142857142857</v>
      </c>
      <c r="I70" s="28">
        <v>-0.5</v>
      </c>
      <c r="J70" s="28">
        <v>-0.6</v>
      </c>
      <c r="K70" s="28">
        <v>-0.33333333333333331</v>
      </c>
      <c r="L70" s="28">
        <v>-0.35714285714285715</v>
      </c>
      <c r="M70" s="28">
        <v>0.4</v>
      </c>
      <c r="N70" s="28">
        <v>-0.375</v>
      </c>
      <c r="O70" s="28">
        <v>-0.875</v>
      </c>
      <c r="P70" s="28">
        <v>-1</v>
      </c>
      <c r="Q70" s="28">
        <v>-0.66666666666666663</v>
      </c>
      <c r="R70" s="28">
        <v>-0.75</v>
      </c>
      <c r="S70" s="28">
        <v>-9.0909090909090912E-2</v>
      </c>
      <c r="T70" s="28" t="s">
        <v>507</v>
      </c>
    </row>
    <row r="71" spans="7:20" x14ac:dyDescent="0.3">
      <c r="G71" s="11" t="s">
        <v>28</v>
      </c>
      <c r="H71" s="28">
        <v>-0.2</v>
      </c>
      <c r="I71" s="28">
        <v>0</v>
      </c>
      <c r="J71" s="28">
        <v>-0.33333333333333331</v>
      </c>
      <c r="K71" s="28">
        <v>-0.66666666666666663</v>
      </c>
      <c r="L71" s="28">
        <v>0.25</v>
      </c>
      <c r="M71" s="28">
        <v>-0.33333333333333331</v>
      </c>
      <c r="N71" s="28">
        <v>0</v>
      </c>
      <c r="O71" s="28">
        <v>-0.42857142857142855</v>
      </c>
      <c r="P71" s="28">
        <v>-0.66666666666666663</v>
      </c>
      <c r="Q71" s="28">
        <v>-0.2</v>
      </c>
      <c r="R71" s="28">
        <v>-1</v>
      </c>
      <c r="S71" s="28">
        <v>-0.83333333333333337</v>
      </c>
      <c r="T71" s="28">
        <v>0</v>
      </c>
    </row>
    <row r="72" spans="7:20" x14ac:dyDescent="0.3">
      <c r="G72" s="11" t="s">
        <v>10</v>
      </c>
      <c r="H72" s="28">
        <v>-0.6</v>
      </c>
      <c r="I72" s="28">
        <v>-0.7142857142857143</v>
      </c>
      <c r="J72" s="28">
        <v>-0.83333333333333337</v>
      </c>
      <c r="K72" s="28">
        <v>-0.33333333333333331</v>
      </c>
      <c r="L72" s="28">
        <v>-0.6</v>
      </c>
      <c r="M72" s="28">
        <v>-0.5</v>
      </c>
      <c r="N72" s="28">
        <v>0</v>
      </c>
      <c r="O72" s="28">
        <v>-0.14285714285714285</v>
      </c>
      <c r="P72" s="28">
        <v>0.3</v>
      </c>
      <c r="Q72" s="28">
        <v>-0.625</v>
      </c>
      <c r="R72" s="28">
        <v>0</v>
      </c>
      <c r="S72" s="28">
        <v>-0.33333333333333331</v>
      </c>
      <c r="T72" s="28" t="s">
        <v>507</v>
      </c>
    </row>
    <row r="73" spans="7:20" x14ac:dyDescent="0.3">
      <c r="G73" s="11" t="s">
        <v>47</v>
      </c>
      <c r="H73" s="28">
        <v>-0.44444444444444442</v>
      </c>
      <c r="I73" s="28">
        <v>-0.30769230769230771</v>
      </c>
      <c r="J73" s="28">
        <v>-0.5</v>
      </c>
      <c r="K73" s="28">
        <v>-0.66666666666666663</v>
      </c>
      <c r="L73" s="28">
        <v>0</v>
      </c>
      <c r="M73" s="28">
        <v>-0.33333333333333331</v>
      </c>
      <c r="N73" s="28">
        <v>0.33333333333333331</v>
      </c>
      <c r="O73" s="28">
        <v>-1</v>
      </c>
      <c r="P73" s="28">
        <v>-0.58333333333333337</v>
      </c>
      <c r="Q73" s="28">
        <v>-0.27272727272727271</v>
      </c>
      <c r="R73" s="28">
        <v>-0.75</v>
      </c>
      <c r="S73" s="28">
        <v>-0.6</v>
      </c>
      <c r="T73" s="28" t="s">
        <v>507</v>
      </c>
    </row>
    <row r="74" spans="7:20" x14ac:dyDescent="0.3">
      <c r="G74" s="11" t="s">
        <v>45</v>
      </c>
      <c r="H74" s="28">
        <v>-0.42857142857142855</v>
      </c>
      <c r="I74" s="28">
        <v>-0.3</v>
      </c>
      <c r="J74" s="28">
        <v>-0.375</v>
      </c>
      <c r="K74" s="28">
        <v>-0.77777777777777779</v>
      </c>
      <c r="L74" s="28">
        <v>-0.2857142857142857</v>
      </c>
      <c r="M74" s="28">
        <v>0</v>
      </c>
      <c r="N74" s="28">
        <v>-1</v>
      </c>
      <c r="O74" s="28">
        <v>0.14285714285714285</v>
      </c>
      <c r="P74" s="28">
        <v>-0.2857142857142857</v>
      </c>
      <c r="Q74" s="28">
        <v>-0.5</v>
      </c>
      <c r="R74" s="28">
        <v>0</v>
      </c>
      <c r="S74" s="28">
        <v>-0.16666666666666666</v>
      </c>
      <c r="T74" s="28" t="s">
        <v>507</v>
      </c>
    </row>
    <row r="75" spans="7:20" x14ac:dyDescent="0.3">
      <c r="G75" s="11" t="s">
        <v>50</v>
      </c>
      <c r="H75" s="28">
        <v>0</v>
      </c>
      <c r="I75" s="28">
        <v>-0.6</v>
      </c>
      <c r="J75" s="28">
        <v>-0.2</v>
      </c>
      <c r="K75" s="28">
        <v>-0.42857142857142855</v>
      </c>
      <c r="L75" s="28">
        <v>-0.5</v>
      </c>
      <c r="M75" s="28">
        <v>-0.4</v>
      </c>
      <c r="N75" s="28">
        <v>0</v>
      </c>
      <c r="O75" s="28">
        <v>-0.33333333333333331</v>
      </c>
      <c r="P75" s="28">
        <v>-0.2</v>
      </c>
      <c r="Q75" s="28">
        <v>-0.625</v>
      </c>
      <c r="R75" s="28">
        <v>-0.83333333333333337</v>
      </c>
      <c r="S75" s="28">
        <v>0</v>
      </c>
      <c r="T75" s="28" t="s">
        <v>507</v>
      </c>
    </row>
    <row r="76" spans="7:20" x14ac:dyDescent="0.3">
      <c r="G76" s="11" t="s">
        <v>12</v>
      </c>
      <c r="H76" s="28">
        <v>-0.5</v>
      </c>
      <c r="I76" s="28">
        <v>-0.6</v>
      </c>
      <c r="J76" s="28">
        <v>-0.33333333333333331</v>
      </c>
      <c r="K76" s="28">
        <v>0</v>
      </c>
      <c r="L76" s="28">
        <v>-0.625</v>
      </c>
      <c r="M76" s="28">
        <v>-0.5</v>
      </c>
      <c r="N76" s="28">
        <v>0</v>
      </c>
      <c r="O76" s="28">
        <v>-0.6</v>
      </c>
      <c r="P76" s="28">
        <v>-0.33333333333333331</v>
      </c>
      <c r="Q76" s="28">
        <v>-1</v>
      </c>
      <c r="R76" s="28">
        <v>0</v>
      </c>
      <c r="S76" s="28">
        <v>0</v>
      </c>
      <c r="T76" s="28">
        <v>-1</v>
      </c>
    </row>
    <row r="77" spans="7:20" x14ac:dyDescent="0.3">
      <c r="G77" s="11" t="s">
        <v>18</v>
      </c>
      <c r="H77" s="28">
        <v>-0.72727272727272729</v>
      </c>
      <c r="I77" s="28">
        <v>-0.2857142857142857</v>
      </c>
      <c r="J77" s="28">
        <v>-0.33333333333333331</v>
      </c>
      <c r="K77" s="28">
        <v>-1</v>
      </c>
      <c r="L77" s="28">
        <v>-9.0909090909090912E-2</v>
      </c>
      <c r="M77" s="28">
        <v>0</v>
      </c>
      <c r="N77" s="28">
        <v>-0.5714285714285714</v>
      </c>
      <c r="O77" s="28">
        <v>-0.5</v>
      </c>
      <c r="P77" s="28">
        <v>-0.55555555555555558</v>
      </c>
      <c r="Q77" s="28">
        <v>-0.125</v>
      </c>
      <c r="R77" s="28">
        <v>-0.14285714285714285</v>
      </c>
      <c r="S77" s="28">
        <v>0.25</v>
      </c>
      <c r="T77" s="28" t="s">
        <v>507</v>
      </c>
    </row>
    <row r="78" spans="7:20" x14ac:dyDescent="0.3">
      <c r="G78" s="11" t="s">
        <v>5</v>
      </c>
      <c r="H78" s="28">
        <v>-0.75</v>
      </c>
      <c r="I78" s="28">
        <v>-9.0909090909090912E-2</v>
      </c>
      <c r="J78" s="28">
        <v>-0.77777777777777779</v>
      </c>
      <c r="K78" s="28">
        <v>-0.4</v>
      </c>
      <c r="L78" s="28">
        <v>-0.83333333333333337</v>
      </c>
      <c r="M78" s="28">
        <v>-1</v>
      </c>
      <c r="N78" s="28">
        <v>-1</v>
      </c>
      <c r="O78" s="28">
        <v>-0.7142857142857143</v>
      </c>
      <c r="P78" s="28">
        <v>-0.44444444444444442</v>
      </c>
      <c r="Q78" s="28">
        <v>0</v>
      </c>
      <c r="R78" s="28">
        <v>-0.25</v>
      </c>
      <c r="S78" s="28">
        <v>-0.44444444444444442</v>
      </c>
      <c r="T78" s="28">
        <v>0</v>
      </c>
    </row>
    <row r="79" spans="7:20" x14ac:dyDescent="0.3">
      <c r="G79" s="11" t="s">
        <v>40</v>
      </c>
      <c r="H79" s="28">
        <v>0.375</v>
      </c>
      <c r="I79" s="28">
        <v>-0.44444444444444442</v>
      </c>
      <c r="J79" s="28">
        <v>-0.16666666666666666</v>
      </c>
      <c r="K79" s="28">
        <v>-0.66666666666666663</v>
      </c>
      <c r="L79" s="28">
        <v>-0.2</v>
      </c>
      <c r="M79" s="28">
        <v>-0.55555555555555558</v>
      </c>
      <c r="N79" s="28">
        <v>-0.54545454545454541</v>
      </c>
      <c r="O79" s="28">
        <v>-0.2</v>
      </c>
      <c r="P79" s="28">
        <v>-0.33333333333333331</v>
      </c>
      <c r="Q79" s="28">
        <v>0</v>
      </c>
      <c r="R79" s="28">
        <v>-0.33333333333333331</v>
      </c>
      <c r="S79" s="28">
        <v>-0.16666666666666666</v>
      </c>
      <c r="T79" s="28" t="s">
        <v>507</v>
      </c>
    </row>
    <row r="80" spans="7:20" x14ac:dyDescent="0.3">
      <c r="G80" s="11" t="s">
        <v>8</v>
      </c>
      <c r="H80" s="28">
        <v>-0.46153846153846156</v>
      </c>
      <c r="I80" s="28">
        <v>-0.42857142857142855</v>
      </c>
      <c r="J80" s="28">
        <v>0</v>
      </c>
      <c r="K80" s="28">
        <v>-0.5</v>
      </c>
      <c r="L80" s="28">
        <v>-0.5</v>
      </c>
      <c r="M80" s="28">
        <v>-1</v>
      </c>
      <c r="N80" s="28">
        <v>-0.125</v>
      </c>
      <c r="O80" s="28">
        <v>-0.6</v>
      </c>
      <c r="P80" s="28">
        <v>-0.375</v>
      </c>
      <c r="Q80" s="28">
        <v>-0.66666666666666663</v>
      </c>
      <c r="R80" s="28">
        <v>-0.6</v>
      </c>
      <c r="S80" s="28">
        <v>0</v>
      </c>
      <c r="T80" s="28" t="s">
        <v>507</v>
      </c>
    </row>
    <row r="81" spans="7:20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3">
      <c r="G82" t="s">
        <v>508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3">
      <c r="G83" s="17" t="s">
        <v>462</v>
      </c>
      <c r="H83" s="7" t="s">
        <v>492</v>
      </c>
      <c r="I83" s="7" t="s">
        <v>493</v>
      </c>
      <c r="J83" s="7" t="s">
        <v>494</v>
      </c>
      <c r="K83" s="7" t="s">
        <v>495</v>
      </c>
      <c r="L83" s="7" t="s">
        <v>496</v>
      </c>
      <c r="M83" s="7" t="s">
        <v>497</v>
      </c>
      <c r="N83" s="7" t="s">
        <v>498</v>
      </c>
      <c r="O83" s="7" t="s">
        <v>499</v>
      </c>
      <c r="P83" s="7" t="s">
        <v>500</v>
      </c>
      <c r="Q83" s="7" t="s">
        <v>501</v>
      </c>
      <c r="R83" s="7" t="s">
        <v>502</v>
      </c>
      <c r="S83" s="7" t="s">
        <v>503</v>
      </c>
      <c r="T83" s="7" t="s">
        <v>504</v>
      </c>
    </row>
    <row r="84" spans="7:20" x14ac:dyDescent="0.3">
      <c r="G84" s="11" t="s">
        <v>21</v>
      </c>
      <c r="H84" s="30">
        <v>44198.142857142855</v>
      </c>
      <c r="I84" s="30">
        <v>64761.8</v>
      </c>
      <c r="J84" s="30">
        <v>55382</v>
      </c>
      <c r="K84" s="30">
        <v>55137.2</v>
      </c>
      <c r="L84" s="30">
        <v>54766.272727272728</v>
      </c>
      <c r="M84" s="30">
        <v>48445.125</v>
      </c>
      <c r="N84" s="30">
        <v>89836</v>
      </c>
      <c r="O84" s="30">
        <v>50780.416666666664</v>
      </c>
      <c r="P84" s="30">
        <v>57919.857142857145</v>
      </c>
      <c r="Q84" s="30">
        <v>54403</v>
      </c>
      <c r="R84" s="30">
        <v>60829.833333333336</v>
      </c>
      <c r="S84" s="30">
        <v>58376.555555555555</v>
      </c>
      <c r="T84" s="30" t="s">
        <v>507</v>
      </c>
    </row>
    <row r="85" spans="7:20" x14ac:dyDescent="0.3">
      <c r="G85" s="11" t="s">
        <v>14</v>
      </c>
      <c r="H85" s="30">
        <v>51723</v>
      </c>
      <c r="I85" s="30">
        <v>57156.75</v>
      </c>
      <c r="J85" s="30">
        <v>60994.8</v>
      </c>
      <c r="K85" s="30">
        <v>68428.166666666672</v>
      </c>
      <c r="L85" s="30">
        <v>64446.285714285717</v>
      </c>
      <c r="M85" s="30">
        <v>44363.4</v>
      </c>
      <c r="N85" s="30">
        <v>62503.125</v>
      </c>
      <c r="O85" s="30">
        <v>49182.5</v>
      </c>
      <c r="P85" s="30">
        <v>55687.166666666664</v>
      </c>
      <c r="Q85" s="30">
        <v>37653.833333333336</v>
      </c>
      <c r="R85" s="30">
        <v>52137.375</v>
      </c>
      <c r="S85" s="30">
        <v>46539.454545454544</v>
      </c>
      <c r="T85" s="30" t="s">
        <v>507</v>
      </c>
    </row>
    <row r="86" spans="7:20" x14ac:dyDescent="0.3">
      <c r="G86" s="11" t="s">
        <v>28</v>
      </c>
      <c r="H86" s="30">
        <v>51770.9</v>
      </c>
      <c r="I86" s="30">
        <v>65455.4</v>
      </c>
      <c r="J86" s="30">
        <v>68378.666666666672</v>
      </c>
      <c r="K86" s="30">
        <v>67235.333333333328</v>
      </c>
      <c r="L86" s="30">
        <v>38204.25</v>
      </c>
      <c r="M86" s="30">
        <v>45538.333333333336</v>
      </c>
      <c r="N86" s="30">
        <v>44994.666666666664</v>
      </c>
      <c r="O86" s="30">
        <v>59895.285714285717</v>
      </c>
      <c r="P86" s="30">
        <v>59967.888888888891</v>
      </c>
      <c r="Q86" s="30">
        <v>49702</v>
      </c>
      <c r="R86" s="30">
        <v>47166.2</v>
      </c>
      <c r="S86" s="30">
        <v>42309.166666666664</v>
      </c>
      <c r="T86" s="30">
        <v>73916</v>
      </c>
    </row>
    <row r="87" spans="7:20" x14ac:dyDescent="0.3">
      <c r="G87" s="11" t="s">
        <v>10</v>
      </c>
      <c r="H87" s="30">
        <v>52896.2</v>
      </c>
      <c r="I87" s="30">
        <v>66310.142857142855</v>
      </c>
      <c r="J87" s="30">
        <v>69639.5</v>
      </c>
      <c r="K87" s="30">
        <v>71042.222222222219</v>
      </c>
      <c r="L87" s="30">
        <v>46954.8</v>
      </c>
      <c r="M87" s="30">
        <v>40627</v>
      </c>
      <c r="N87" s="30">
        <v>77543.5</v>
      </c>
      <c r="O87" s="30">
        <v>64770.571428571428</v>
      </c>
      <c r="P87" s="30">
        <v>50530.8</v>
      </c>
      <c r="Q87" s="30">
        <v>66807.625</v>
      </c>
      <c r="R87" s="30">
        <v>74635.833333333328</v>
      </c>
      <c r="S87" s="30">
        <v>48235</v>
      </c>
      <c r="T87" s="30" t="s">
        <v>507</v>
      </c>
    </row>
    <row r="88" spans="7:20" x14ac:dyDescent="0.3">
      <c r="G88" s="11" t="s">
        <v>47</v>
      </c>
      <c r="H88" s="30">
        <v>53552.555555555555</v>
      </c>
      <c r="I88" s="30">
        <v>54084.153846153844</v>
      </c>
      <c r="J88" s="30">
        <v>53866.833333333336</v>
      </c>
      <c r="K88" s="30">
        <v>62303.833333333336</v>
      </c>
      <c r="L88" s="30">
        <v>55200.285714285717</v>
      </c>
      <c r="M88" s="30">
        <v>62587.333333333336</v>
      </c>
      <c r="N88" s="30">
        <v>37370</v>
      </c>
      <c r="O88" s="30">
        <v>49159.6</v>
      </c>
      <c r="P88" s="30">
        <v>44541.75</v>
      </c>
      <c r="Q88" s="30">
        <v>50321.63636363636</v>
      </c>
      <c r="R88" s="30">
        <v>69892</v>
      </c>
      <c r="S88" s="30">
        <v>76846.399999999994</v>
      </c>
      <c r="T88" s="30" t="s">
        <v>507</v>
      </c>
    </row>
    <row r="89" spans="7:20" x14ac:dyDescent="0.3">
      <c r="G89" s="11" t="s">
        <v>45</v>
      </c>
      <c r="H89" s="30">
        <v>42800.428571428572</v>
      </c>
      <c r="I89" s="30">
        <v>63963.6</v>
      </c>
      <c r="J89" s="30">
        <v>47786</v>
      </c>
      <c r="K89" s="30">
        <v>43298.111111111109</v>
      </c>
      <c r="L89" s="30">
        <v>52770.571428571428</v>
      </c>
      <c r="M89" s="30">
        <v>30652.5</v>
      </c>
      <c r="N89" s="30">
        <v>35515.666666666664</v>
      </c>
      <c r="O89" s="30">
        <v>64680.142857142855</v>
      </c>
      <c r="P89" s="30">
        <v>54354.142857142855</v>
      </c>
      <c r="Q89" s="30">
        <v>60603.4</v>
      </c>
      <c r="R89" s="30">
        <v>59069</v>
      </c>
      <c r="S89" s="30">
        <v>39202.333333333336</v>
      </c>
      <c r="T89" s="30" t="s">
        <v>507</v>
      </c>
    </row>
    <row r="90" spans="7:20" x14ac:dyDescent="0.3">
      <c r="G90" s="11" t="s">
        <v>50</v>
      </c>
      <c r="H90" s="30">
        <v>61875</v>
      </c>
      <c r="I90" s="30">
        <v>63303</v>
      </c>
      <c r="J90" s="30">
        <v>68735.7</v>
      </c>
      <c r="K90" s="30">
        <v>55562.142857142855</v>
      </c>
      <c r="L90" s="30">
        <v>55565.7</v>
      </c>
      <c r="M90" s="30">
        <v>75523.899999999994</v>
      </c>
      <c r="N90" s="30">
        <v>46964.666666666664</v>
      </c>
      <c r="O90" s="30">
        <v>46952.555555555555</v>
      </c>
      <c r="P90" s="30">
        <v>54363.199999999997</v>
      </c>
      <c r="Q90" s="30">
        <v>65220.25</v>
      </c>
      <c r="R90" s="30">
        <v>59707.833333333336</v>
      </c>
      <c r="S90" s="30">
        <v>56154</v>
      </c>
      <c r="T90" s="30" t="s">
        <v>507</v>
      </c>
    </row>
    <row r="91" spans="7:20" x14ac:dyDescent="0.3">
      <c r="G91" s="11" t="s">
        <v>12</v>
      </c>
      <c r="H91" s="30">
        <v>40299.166666666664</v>
      </c>
      <c r="I91" s="30">
        <v>57859.199999999997</v>
      </c>
      <c r="J91" s="30">
        <v>76573.666666666672</v>
      </c>
      <c r="K91" s="30">
        <v>46008.6</v>
      </c>
      <c r="L91" s="30">
        <v>71184.5</v>
      </c>
      <c r="M91" s="30">
        <v>66874</v>
      </c>
      <c r="N91" s="30">
        <v>67613</v>
      </c>
      <c r="O91" s="30">
        <v>51997.2</v>
      </c>
      <c r="P91" s="30">
        <v>55839.833333333336</v>
      </c>
      <c r="Q91" s="30">
        <v>99197</v>
      </c>
      <c r="R91" s="30">
        <v>77635.666666666672</v>
      </c>
      <c r="S91" s="30">
        <v>63413.571428571428</v>
      </c>
      <c r="T91" s="30">
        <v>96488</v>
      </c>
    </row>
    <row r="92" spans="7:20" x14ac:dyDescent="0.3">
      <c r="G92" s="11" t="s">
        <v>18</v>
      </c>
      <c r="H92" s="30">
        <v>39284.090909090912</v>
      </c>
      <c r="I92" s="30">
        <v>46276.285714285717</v>
      </c>
      <c r="J92" s="30">
        <v>72567.333333333328</v>
      </c>
      <c r="K92" s="30">
        <v>15986</v>
      </c>
      <c r="L92" s="30">
        <v>52228.63636363636</v>
      </c>
      <c r="M92" s="30">
        <v>40258.285714285717</v>
      </c>
      <c r="N92" s="30">
        <v>64712.142857142855</v>
      </c>
      <c r="O92" s="30">
        <v>57888.666666666664</v>
      </c>
      <c r="P92" s="30">
        <v>56631.777777777781</v>
      </c>
      <c r="Q92" s="30">
        <v>46253.875</v>
      </c>
      <c r="R92" s="30">
        <v>58034.428571428572</v>
      </c>
      <c r="S92" s="30">
        <v>64678.5</v>
      </c>
      <c r="T92" s="30" t="s">
        <v>507</v>
      </c>
    </row>
    <row r="93" spans="7:20" x14ac:dyDescent="0.3">
      <c r="G93" s="11" t="s">
        <v>5</v>
      </c>
      <c r="H93" s="30">
        <v>50745.75</v>
      </c>
      <c r="I93" s="30">
        <v>63341.727272727272</v>
      </c>
      <c r="J93" s="30">
        <v>58493.222222222219</v>
      </c>
      <c r="K93" s="30">
        <v>62789.8</v>
      </c>
      <c r="L93" s="30">
        <v>67893.833333333328</v>
      </c>
      <c r="M93" s="30">
        <v>82213.5</v>
      </c>
      <c r="N93" s="30">
        <v>52555.666666666664</v>
      </c>
      <c r="O93" s="30">
        <v>55785.142857142855</v>
      </c>
      <c r="P93" s="30">
        <v>56382.666666666664</v>
      </c>
      <c r="Q93" s="30">
        <v>44061.25</v>
      </c>
      <c r="R93" s="30">
        <v>59477.875</v>
      </c>
      <c r="S93" s="30">
        <v>48204.777777777781</v>
      </c>
      <c r="T93" s="30">
        <v>49150</v>
      </c>
    </row>
    <row r="94" spans="7:20" x14ac:dyDescent="0.3">
      <c r="G94" s="11" t="s">
        <v>40</v>
      </c>
      <c r="H94" s="30">
        <v>48171.25</v>
      </c>
      <c r="I94" s="30">
        <v>55300.555555555555</v>
      </c>
      <c r="J94" s="30">
        <v>55440.666666666664</v>
      </c>
      <c r="K94" s="30">
        <v>46414</v>
      </c>
      <c r="L94" s="30">
        <v>48077.8</v>
      </c>
      <c r="M94" s="30">
        <v>71454.555555555562</v>
      </c>
      <c r="N94" s="30">
        <v>48768.454545454544</v>
      </c>
      <c r="O94" s="30">
        <v>52747.199999999997</v>
      </c>
      <c r="P94" s="30">
        <v>46697.666666666664</v>
      </c>
      <c r="Q94" s="30">
        <v>63935.75</v>
      </c>
      <c r="R94" s="30">
        <v>42502</v>
      </c>
      <c r="S94" s="30">
        <v>58668.333333333336</v>
      </c>
      <c r="T94" s="30" t="s">
        <v>507</v>
      </c>
    </row>
    <row r="95" spans="7:20" x14ac:dyDescent="0.3">
      <c r="G95" s="11" t="s">
        <v>8</v>
      </c>
      <c r="H95" s="30">
        <v>49469.307692307695</v>
      </c>
      <c r="I95" s="30">
        <v>31825.142857142859</v>
      </c>
      <c r="J95" s="30">
        <v>54131.6</v>
      </c>
      <c r="K95" s="30">
        <v>47363</v>
      </c>
      <c r="L95" s="30">
        <v>56997.5</v>
      </c>
      <c r="M95" s="30">
        <v>28155.5</v>
      </c>
      <c r="N95" s="30">
        <v>58867.625</v>
      </c>
      <c r="O95" s="30">
        <v>53726.3</v>
      </c>
      <c r="P95" s="30">
        <v>61016.125</v>
      </c>
      <c r="Q95" s="30">
        <v>68303.333333333328</v>
      </c>
      <c r="R95" s="30">
        <v>62571</v>
      </c>
      <c r="S95" s="30">
        <v>60330.625</v>
      </c>
      <c r="T95" s="30" t="s">
        <v>507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5639-2E0A-4A07-85CA-4A8C5D6730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BAA7-CEB1-41FC-9741-D5085D16EE88}">
  <dimension ref="A1:Q1001"/>
  <sheetViews>
    <sheetView workbookViewId="0">
      <selection activeCell="G17" sqref="G17"/>
    </sheetView>
  </sheetViews>
  <sheetFormatPr defaultRowHeight="14.4" x14ac:dyDescent="0.3"/>
  <cols>
    <col min="1" max="3" width="33" customWidth="1"/>
    <col min="4" max="4" width="10.77734375" style="22" customWidth="1"/>
    <col min="5" max="5" width="12.109375" style="22" customWidth="1"/>
    <col min="6" max="6" width="8.88671875" style="22"/>
    <col min="10" max="10" width="61.88671875" hidden="1" customWidth="1"/>
    <col min="11" max="11" width="28.77734375" hidden="1" customWidth="1"/>
    <col min="12" max="12" width="35" hidden="1" customWidth="1"/>
    <col min="13" max="13" width="11.6640625" hidden="1" customWidth="1"/>
    <col min="14" max="14" width="61.88671875" hidden="1" customWidth="1"/>
    <col min="15" max="15" width="28.77734375" hidden="1" customWidth="1"/>
    <col min="16" max="16" width="35" hidden="1" customWidth="1"/>
    <col min="17" max="17" width="11.6640625" hidden="1" customWidth="1"/>
  </cols>
  <sheetData>
    <row r="1" spans="1:17" x14ac:dyDescent="0.3">
      <c r="A1" s="1" t="s">
        <v>0</v>
      </c>
      <c r="B1" s="1" t="s">
        <v>0</v>
      </c>
      <c r="C1" s="1" t="s">
        <v>1</v>
      </c>
      <c r="D1" s="23" t="s">
        <v>509</v>
      </c>
      <c r="E1" s="23" t="s">
        <v>510</v>
      </c>
      <c r="F1" s="21" t="s">
        <v>511</v>
      </c>
      <c r="J1" s="3"/>
      <c r="K1" s="1" t="s">
        <v>0</v>
      </c>
      <c r="L1" s="1" t="s">
        <v>1</v>
      </c>
      <c r="M1" s="1" t="s">
        <v>2</v>
      </c>
      <c r="O1" s="1" t="s">
        <v>0</v>
      </c>
      <c r="P1" s="1" t="s">
        <v>1</v>
      </c>
      <c r="Q1" s="1" t="s">
        <v>2</v>
      </c>
    </row>
    <row r="2" spans="1:17" x14ac:dyDescent="0.3">
      <c r="A2" t="s">
        <v>21</v>
      </c>
      <c r="B2" t="s">
        <v>21</v>
      </c>
      <c r="C2" t="s">
        <v>305</v>
      </c>
      <c r="D2" s="22" t="str">
        <f>VLOOKUP(B2&amp;C2,J:M,4,0)</f>
        <v>2024-02-12</v>
      </c>
      <c r="E2" s="22" t="str">
        <f>VLOOKUP(B2&amp;C2,N:Q,4,0)</f>
        <v>2024-02-12</v>
      </c>
      <c r="F2" s="22">
        <f>E2-D2</f>
        <v>0</v>
      </c>
      <c r="J2" t="str">
        <f>K2&amp;L2</f>
        <v>Ткаченко Андрей ОлеговичЛебедева Виктория Дмитриевна</v>
      </c>
      <c r="K2" t="s">
        <v>5</v>
      </c>
      <c r="L2" t="s">
        <v>6</v>
      </c>
      <c r="M2" t="s">
        <v>7</v>
      </c>
      <c r="N2" t="str">
        <f>O2&amp;P2</f>
        <v>Иванова Анна СергеевнаНовикова Екатерина Михайловна</v>
      </c>
      <c r="O2" t="s">
        <v>28</v>
      </c>
      <c r="P2" t="s">
        <v>181</v>
      </c>
      <c r="Q2" t="s">
        <v>458</v>
      </c>
    </row>
    <row r="3" spans="1:17" x14ac:dyDescent="0.3">
      <c r="A3" t="s">
        <v>14</v>
      </c>
      <c r="B3" t="s">
        <v>21</v>
      </c>
      <c r="C3" t="s">
        <v>176</v>
      </c>
      <c r="D3" s="22" t="str">
        <f t="shared" ref="D3:D66" si="0">VLOOKUP(B3&amp;C3,J:M,4,0)</f>
        <v>2023-11-03</v>
      </c>
      <c r="E3" s="22" t="str">
        <f t="shared" ref="E3:E66" si="1">VLOOKUP(B3&amp;C3,N:Q,4,0)</f>
        <v>2024-06-05</v>
      </c>
      <c r="F3" s="22">
        <f t="shared" ref="F3:F66" si="2">E3-D3</f>
        <v>215</v>
      </c>
      <c r="J3" t="str">
        <f t="shared" ref="J3:J66" si="3">K3&amp;L3</f>
        <v>Яковлев Артем ИгоревичСеменов Дмитрий Олегович</v>
      </c>
      <c r="K3" t="s">
        <v>8</v>
      </c>
      <c r="L3" t="s">
        <v>9</v>
      </c>
      <c r="M3" t="s">
        <v>7</v>
      </c>
      <c r="N3" t="str">
        <f t="shared" ref="N3:N66" si="4">O3&amp;P3</f>
        <v>Семенова Ирина ВалерьевнаЛебедев Максим Михайлович</v>
      </c>
      <c r="O3" t="s">
        <v>12</v>
      </c>
      <c r="P3" t="s">
        <v>183</v>
      </c>
      <c r="Q3" t="s">
        <v>458</v>
      </c>
    </row>
    <row r="4" spans="1:17" x14ac:dyDescent="0.3">
      <c r="A4" t="s">
        <v>28</v>
      </c>
      <c r="B4" t="s">
        <v>21</v>
      </c>
      <c r="C4" t="s">
        <v>71</v>
      </c>
      <c r="D4" s="22" t="str">
        <f t="shared" si="0"/>
        <v>2023-09-14</v>
      </c>
      <c r="E4" s="22" t="str">
        <f t="shared" si="1"/>
        <v>2023-09-14</v>
      </c>
      <c r="F4" s="22">
        <f t="shared" si="2"/>
        <v>0</v>
      </c>
      <c r="J4" t="str">
        <f t="shared" si="3"/>
        <v>Кузнецов Дмитрий ЛьвовичНовикова Екатерина Ивановна</v>
      </c>
      <c r="K4" t="s">
        <v>10</v>
      </c>
      <c r="L4" t="s">
        <v>11</v>
      </c>
      <c r="M4" t="s">
        <v>7</v>
      </c>
      <c r="N4" t="str">
        <f t="shared" si="4"/>
        <v>Ткаченко Андрей ОлеговичВасильева Александра Александровна</v>
      </c>
      <c r="O4" t="s">
        <v>5</v>
      </c>
      <c r="P4" t="s">
        <v>412</v>
      </c>
      <c r="Q4" t="s">
        <v>458</v>
      </c>
    </row>
    <row r="5" spans="1:17" x14ac:dyDescent="0.3">
      <c r="A5" t="s">
        <v>10</v>
      </c>
      <c r="B5" t="s">
        <v>21</v>
      </c>
      <c r="C5" t="s">
        <v>160</v>
      </c>
      <c r="D5" s="22" t="str">
        <f t="shared" si="0"/>
        <v>2023-12-27</v>
      </c>
      <c r="E5" s="22" t="str">
        <f t="shared" si="1"/>
        <v>2023-12-27</v>
      </c>
      <c r="F5" s="22">
        <f t="shared" si="2"/>
        <v>0</v>
      </c>
      <c r="J5" t="str">
        <f t="shared" si="3"/>
        <v>Семенова Ирина ВалерьевнаЕгорова Юлия Алексеевна</v>
      </c>
      <c r="K5" t="s">
        <v>12</v>
      </c>
      <c r="L5" t="s">
        <v>13</v>
      </c>
      <c r="M5" t="s">
        <v>7</v>
      </c>
      <c r="N5" t="str">
        <f t="shared" si="4"/>
        <v>Фролов Сергей ВикторовичПетров Павел Кириллович</v>
      </c>
      <c r="O5" t="s">
        <v>40</v>
      </c>
      <c r="P5" t="s">
        <v>78</v>
      </c>
      <c r="Q5" t="s">
        <v>457</v>
      </c>
    </row>
    <row r="6" spans="1:17" x14ac:dyDescent="0.3">
      <c r="A6" t="s">
        <v>47</v>
      </c>
      <c r="B6" t="s">
        <v>21</v>
      </c>
      <c r="C6" t="s">
        <v>24</v>
      </c>
      <c r="D6" s="22" t="str">
        <f t="shared" si="0"/>
        <v>2024-02-16</v>
      </c>
      <c r="E6" s="22" t="str">
        <f t="shared" si="1"/>
        <v>2024-02-16</v>
      </c>
      <c r="F6" s="22">
        <f t="shared" si="2"/>
        <v>0</v>
      </c>
      <c r="J6" t="str">
        <f t="shared" si="3"/>
        <v>Громова Мария ИльиничнаПетров Илья Михайлович</v>
      </c>
      <c r="K6" t="s">
        <v>14</v>
      </c>
      <c r="L6" t="s">
        <v>15</v>
      </c>
      <c r="M6" t="s">
        <v>16</v>
      </c>
      <c r="N6" t="str">
        <f t="shared" si="4"/>
        <v>Белов Алексей КонстантиновичЛебедев Дмитрий Викторович</v>
      </c>
      <c r="O6" t="s">
        <v>21</v>
      </c>
      <c r="P6" t="s">
        <v>85</v>
      </c>
      <c r="Q6" t="s">
        <v>457</v>
      </c>
    </row>
    <row r="7" spans="1:17" x14ac:dyDescent="0.3">
      <c r="A7" t="s">
        <v>45</v>
      </c>
      <c r="B7" t="s">
        <v>21</v>
      </c>
      <c r="C7" t="s">
        <v>200</v>
      </c>
      <c r="D7" s="22" t="str">
        <f t="shared" si="0"/>
        <v>2023-11-15</v>
      </c>
      <c r="E7" s="22" t="str">
        <f t="shared" si="1"/>
        <v>2023-11-15</v>
      </c>
      <c r="F7" s="22">
        <f t="shared" si="2"/>
        <v>0</v>
      </c>
      <c r="J7" t="str">
        <f t="shared" si="3"/>
        <v>Яковлев Артем ИгоревичКузнецова Полина Романовна</v>
      </c>
      <c r="K7" t="s">
        <v>8</v>
      </c>
      <c r="L7" t="s">
        <v>17</v>
      </c>
      <c r="M7" t="s">
        <v>16</v>
      </c>
      <c r="N7" t="str">
        <f t="shared" si="4"/>
        <v>Семенова Ирина ВалерьевнаАлексеева Елена Кирилловна</v>
      </c>
      <c r="O7" t="s">
        <v>12</v>
      </c>
      <c r="P7" t="s">
        <v>176</v>
      </c>
      <c r="Q7" t="s">
        <v>457</v>
      </c>
    </row>
    <row r="8" spans="1:17" x14ac:dyDescent="0.3">
      <c r="A8" t="s">
        <v>50</v>
      </c>
      <c r="B8" t="s">
        <v>21</v>
      </c>
      <c r="C8" t="s">
        <v>89</v>
      </c>
      <c r="D8" s="22" t="str">
        <f t="shared" si="0"/>
        <v>2023-09-21</v>
      </c>
      <c r="E8" s="22" t="str">
        <f t="shared" si="1"/>
        <v>2024-08-19</v>
      </c>
      <c r="F8" s="22">
        <f t="shared" si="2"/>
        <v>333</v>
      </c>
      <c r="J8" t="str">
        <f t="shared" si="3"/>
        <v>Сидорова Елена ВасильевнаЛебедева Полина Ивановна</v>
      </c>
      <c r="K8" t="s">
        <v>18</v>
      </c>
      <c r="L8" t="s">
        <v>19</v>
      </c>
      <c r="M8" t="s">
        <v>16</v>
      </c>
      <c r="N8" t="str">
        <f t="shared" si="4"/>
        <v>Сидорова Елена ВасильевнаОрлов Матвей Алексеевич</v>
      </c>
      <c r="O8" t="s">
        <v>18</v>
      </c>
      <c r="P8" t="s">
        <v>116</v>
      </c>
      <c r="Q8" t="s">
        <v>456</v>
      </c>
    </row>
    <row r="9" spans="1:17" x14ac:dyDescent="0.3">
      <c r="A9" t="s">
        <v>12</v>
      </c>
      <c r="B9" t="s">
        <v>21</v>
      </c>
      <c r="C9" t="s">
        <v>173</v>
      </c>
      <c r="D9" s="22" t="str">
        <f t="shared" si="0"/>
        <v>2023-11-01</v>
      </c>
      <c r="E9" s="22" t="str">
        <f t="shared" si="1"/>
        <v>2023-11-01</v>
      </c>
      <c r="F9" s="22">
        <f t="shared" si="2"/>
        <v>0</v>
      </c>
      <c r="J9" t="str">
        <f t="shared" si="3"/>
        <v>Яковлев Артем ИгоревичКузнецов Никита Андреевич</v>
      </c>
      <c r="K9" t="s">
        <v>8</v>
      </c>
      <c r="L9" t="s">
        <v>20</v>
      </c>
      <c r="M9" t="s">
        <v>16</v>
      </c>
      <c r="N9" t="str">
        <f t="shared" si="4"/>
        <v>Орлов Павел ДенисовичПавлов Павел Юрьевич</v>
      </c>
      <c r="O9" t="s">
        <v>45</v>
      </c>
      <c r="P9" t="s">
        <v>380</v>
      </c>
      <c r="Q9" t="s">
        <v>456</v>
      </c>
    </row>
    <row r="10" spans="1:17" x14ac:dyDescent="0.3">
      <c r="A10" t="s">
        <v>18</v>
      </c>
      <c r="B10" t="s">
        <v>21</v>
      </c>
      <c r="C10" t="s">
        <v>140</v>
      </c>
      <c r="D10" s="22" t="str">
        <f t="shared" si="0"/>
        <v>2024-06-12</v>
      </c>
      <c r="E10" s="22" t="str">
        <f t="shared" si="1"/>
        <v>2024-06-12</v>
      </c>
      <c r="F10" s="22">
        <f t="shared" si="2"/>
        <v>0</v>
      </c>
      <c r="J10" t="str">
        <f t="shared" si="3"/>
        <v>Белов Алексей КонстантиновичКузнецова Мария Юрьевна</v>
      </c>
      <c r="K10" t="s">
        <v>21</v>
      </c>
      <c r="L10" t="s">
        <v>22</v>
      </c>
      <c r="M10" t="s">
        <v>16</v>
      </c>
      <c r="N10" t="str">
        <f t="shared" si="4"/>
        <v>Ткаченко Андрей ОлеговичСмирнов Павел Геннадьевич</v>
      </c>
      <c r="O10" t="s">
        <v>5</v>
      </c>
      <c r="P10" t="s">
        <v>56</v>
      </c>
      <c r="Q10" t="s">
        <v>456</v>
      </c>
    </row>
    <row r="11" spans="1:17" x14ac:dyDescent="0.3">
      <c r="A11" t="s">
        <v>5</v>
      </c>
      <c r="B11" t="s">
        <v>21</v>
      </c>
      <c r="C11" t="s">
        <v>103</v>
      </c>
      <c r="D11" s="22" t="str">
        <f t="shared" si="0"/>
        <v>2024-01-15</v>
      </c>
      <c r="E11" s="22" t="str">
        <f t="shared" si="1"/>
        <v>2024-01-15</v>
      </c>
      <c r="F11" s="22">
        <f t="shared" si="2"/>
        <v>0</v>
      </c>
      <c r="J11" t="str">
        <f t="shared" si="3"/>
        <v>Громова Мария ИльиничнаПетрова Вероника Александровна</v>
      </c>
      <c r="K11" t="s">
        <v>14</v>
      </c>
      <c r="L11" t="s">
        <v>23</v>
      </c>
      <c r="M11" t="s">
        <v>16</v>
      </c>
      <c r="N11" t="str">
        <f t="shared" si="4"/>
        <v>Фролов Сергей ВикторовичСидорова Елена Кирилловна</v>
      </c>
      <c r="O11" t="s">
        <v>40</v>
      </c>
      <c r="P11" t="s">
        <v>180</v>
      </c>
      <c r="Q11" t="s">
        <v>456</v>
      </c>
    </row>
    <row r="12" spans="1:17" x14ac:dyDescent="0.3">
      <c r="A12" t="s">
        <v>40</v>
      </c>
      <c r="B12" t="s">
        <v>21</v>
      </c>
      <c r="C12" t="s">
        <v>53</v>
      </c>
      <c r="D12" s="22" t="str">
        <f t="shared" si="0"/>
        <v>2024-05-13</v>
      </c>
      <c r="E12" s="22" t="str">
        <f t="shared" si="1"/>
        <v>2024-05-13</v>
      </c>
      <c r="F12" s="22">
        <f t="shared" si="2"/>
        <v>0</v>
      </c>
      <c r="J12" t="str">
        <f t="shared" si="3"/>
        <v>Яковлев Артем ИгоревичВасильев Матвей Романович</v>
      </c>
      <c r="K12" t="s">
        <v>8</v>
      </c>
      <c r="L12" t="s">
        <v>24</v>
      </c>
      <c r="M12" t="s">
        <v>16</v>
      </c>
      <c r="N12" t="str">
        <f t="shared" si="4"/>
        <v>Ткаченко Андрей ОлеговичЛебедева Юлия Олеговна</v>
      </c>
      <c r="O12" t="s">
        <v>5</v>
      </c>
      <c r="P12" t="s">
        <v>312</v>
      </c>
      <c r="Q12" t="s">
        <v>456</v>
      </c>
    </row>
    <row r="13" spans="1:17" x14ac:dyDescent="0.3">
      <c r="A13" t="s">
        <v>8</v>
      </c>
      <c r="B13" t="s">
        <v>21</v>
      </c>
      <c r="C13" t="s">
        <v>112</v>
      </c>
      <c r="D13" s="22" t="str">
        <f t="shared" si="0"/>
        <v>2024-07-11</v>
      </c>
      <c r="E13" s="22" t="str">
        <f t="shared" si="1"/>
        <v>2024-07-11</v>
      </c>
      <c r="F13" s="22">
        <f t="shared" si="2"/>
        <v>0</v>
      </c>
      <c r="J13" t="str">
        <f t="shared" si="3"/>
        <v>Сидорова Елена ВасильевнаЕгоров Артем Никитич</v>
      </c>
      <c r="K13" t="s">
        <v>18</v>
      </c>
      <c r="L13" t="s">
        <v>25</v>
      </c>
      <c r="M13" t="s">
        <v>26</v>
      </c>
      <c r="N13" t="str">
        <f t="shared" si="4"/>
        <v>Яковлев Артем ИгоревичИванов Дмитрий Павлович</v>
      </c>
      <c r="O13" t="s">
        <v>8</v>
      </c>
      <c r="P13" t="s">
        <v>124</v>
      </c>
      <c r="Q13" t="s">
        <v>455</v>
      </c>
    </row>
    <row r="14" spans="1:17" x14ac:dyDescent="0.3">
      <c r="B14" t="s">
        <v>21</v>
      </c>
      <c r="C14" t="s">
        <v>63</v>
      </c>
      <c r="D14" s="22" t="str">
        <f t="shared" si="0"/>
        <v>2024-01-11</v>
      </c>
      <c r="E14" s="22" t="str">
        <f t="shared" si="1"/>
        <v>2024-05-23</v>
      </c>
      <c r="F14" s="22">
        <f t="shared" si="2"/>
        <v>133</v>
      </c>
      <c r="J14" t="str">
        <f t="shared" si="3"/>
        <v>Сидорова Елена ВасильевнаОрлова София Станиславовна</v>
      </c>
      <c r="K14" t="s">
        <v>18</v>
      </c>
      <c r="L14" t="s">
        <v>27</v>
      </c>
      <c r="M14" t="s">
        <v>26</v>
      </c>
      <c r="N14" t="str">
        <f t="shared" si="4"/>
        <v>Сидорова Елена ВасильевнаНовикова Ирина Юрьевна</v>
      </c>
      <c r="O14" t="s">
        <v>18</v>
      </c>
      <c r="P14" t="s">
        <v>195</v>
      </c>
      <c r="Q14" t="s">
        <v>455</v>
      </c>
    </row>
    <row r="15" spans="1:17" x14ac:dyDescent="0.3">
      <c r="B15" t="s">
        <v>21</v>
      </c>
      <c r="C15" t="s">
        <v>251</v>
      </c>
      <c r="D15" s="22" t="str">
        <f t="shared" si="0"/>
        <v>2024-02-01</v>
      </c>
      <c r="E15" s="22" t="str">
        <f t="shared" si="1"/>
        <v>2024-08-01</v>
      </c>
      <c r="F15" s="22">
        <f t="shared" si="2"/>
        <v>182</v>
      </c>
      <c r="J15" t="str">
        <f t="shared" si="3"/>
        <v>Иванова Анна СергеевнаОрлова Ирина Ильинична</v>
      </c>
      <c r="K15" t="s">
        <v>28</v>
      </c>
      <c r="L15" t="s">
        <v>29</v>
      </c>
      <c r="M15" t="s">
        <v>26</v>
      </c>
      <c r="N15" t="str">
        <f t="shared" si="4"/>
        <v>Петров Владимир КирилловичКозлов Роман Александрович</v>
      </c>
      <c r="O15" t="s">
        <v>50</v>
      </c>
      <c r="P15" t="s">
        <v>74</v>
      </c>
      <c r="Q15" t="s">
        <v>454</v>
      </c>
    </row>
    <row r="16" spans="1:17" x14ac:dyDescent="0.3">
      <c r="B16" t="s">
        <v>21</v>
      </c>
      <c r="C16" t="s">
        <v>83</v>
      </c>
      <c r="D16" s="22" t="str">
        <f t="shared" si="0"/>
        <v>2024-05-20</v>
      </c>
      <c r="E16" s="22" t="str">
        <f t="shared" si="1"/>
        <v>2024-05-20</v>
      </c>
      <c r="F16" s="22">
        <f t="shared" si="2"/>
        <v>0</v>
      </c>
      <c r="J16" t="str">
        <f t="shared" si="3"/>
        <v>Семенова Ирина ВалерьевнаОрлов Георгий Кириллович</v>
      </c>
      <c r="K16" t="s">
        <v>12</v>
      </c>
      <c r="L16" t="s">
        <v>30</v>
      </c>
      <c r="M16" t="s">
        <v>31</v>
      </c>
      <c r="N16" t="str">
        <f t="shared" si="4"/>
        <v>Иванова Анна СергеевнаНиколаев Егор Романович</v>
      </c>
      <c r="O16" t="s">
        <v>28</v>
      </c>
      <c r="P16" t="s">
        <v>277</v>
      </c>
      <c r="Q16" t="s">
        <v>454</v>
      </c>
    </row>
    <row r="17" spans="2:17" x14ac:dyDescent="0.3">
      <c r="B17" t="s">
        <v>21</v>
      </c>
      <c r="C17" t="s">
        <v>74</v>
      </c>
      <c r="D17" s="22" t="str">
        <f t="shared" si="0"/>
        <v>2024-01-08</v>
      </c>
      <c r="E17" s="22" t="str">
        <f t="shared" si="1"/>
        <v>2024-01-08</v>
      </c>
      <c r="F17" s="22">
        <f t="shared" si="2"/>
        <v>0</v>
      </c>
      <c r="J17" t="str">
        <f t="shared" si="3"/>
        <v>Семенова Ирина ВалерьевнаПетрова Валерия Павловна</v>
      </c>
      <c r="K17" t="s">
        <v>12</v>
      </c>
      <c r="L17" t="s">
        <v>32</v>
      </c>
      <c r="M17" t="s">
        <v>33</v>
      </c>
      <c r="N17" t="str">
        <f t="shared" si="4"/>
        <v>Новикова Ольга ПетровнаФедоров Владимир Артемович</v>
      </c>
      <c r="O17" t="s">
        <v>47</v>
      </c>
      <c r="P17" t="s">
        <v>88</v>
      </c>
      <c r="Q17" t="s">
        <v>453</v>
      </c>
    </row>
    <row r="18" spans="2:17" x14ac:dyDescent="0.3">
      <c r="B18" t="s">
        <v>21</v>
      </c>
      <c r="C18" t="s">
        <v>279</v>
      </c>
      <c r="D18" s="22" t="str">
        <f t="shared" si="0"/>
        <v>2024-05-23</v>
      </c>
      <c r="E18" s="22" t="str">
        <f t="shared" si="1"/>
        <v>2024-05-23</v>
      </c>
      <c r="F18" s="22">
        <f t="shared" si="2"/>
        <v>0</v>
      </c>
      <c r="J18" t="str">
        <f t="shared" si="3"/>
        <v>Иванова Анна СергеевнаФедоров Илья Владимирович</v>
      </c>
      <c r="K18" t="s">
        <v>28</v>
      </c>
      <c r="L18" t="s">
        <v>34</v>
      </c>
      <c r="M18" t="s">
        <v>33</v>
      </c>
      <c r="N18" t="str">
        <f t="shared" si="4"/>
        <v>Ткаченко Андрей ОлеговичЛебедев Дмитрий Викторович</v>
      </c>
      <c r="O18" t="s">
        <v>5</v>
      </c>
      <c r="P18" t="s">
        <v>85</v>
      </c>
      <c r="Q18" t="s">
        <v>453</v>
      </c>
    </row>
    <row r="19" spans="2:17" x14ac:dyDescent="0.3">
      <c r="B19" t="s">
        <v>21</v>
      </c>
      <c r="C19" t="s">
        <v>398</v>
      </c>
      <c r="D19" s="22" t="str">
        <f t="shared" si="0"/>
        <v>2024-06-10</v>
      </c>
      <c r="E19" s="22" t="str">
        <f t="shared" si="1"/>
        <v>2024-06-10</v>
      </c>
      <c r="F19" s="22">
        <f t="shared" si="2"/>
        <v>0</v>
      </c>
      <c r="J19" t="str">
        <f t="shared" si="3"/>
        <v>Громова Мария ИльиничнаФедоров Илья Владимирович</v>
      </c>
      <c r="K19" t="s">
        <v>14</v>
      </c>
      <c r="L19" t="s">
        <v>34</v>
      </c>
      <c r="M19" t="s">
        <v>33</v>
      </c>
      <c r="N19" t="str">
        <f t="shared" si="4"/>
        <v>Иванова Анна СергеевнаЕгорова Ирина Павловна</v>
      </c>
      <c r="O19" t="s">
        <v>28</v>
      </c>
      <c r="P19" t="s">
        <v>63</v>
      </c>
      <c r="Q19" t="s">
        <v>453</v>
      </c>
    </row>
    <row r="20" spans="2:17" x14ac:dyDescent="0.3">
      <c r="B20" t="s">
        <v>21</v>
      </c>
      <c r="C20" t="s">
        <v>252</v>
      </c>
      <c r="D20" s="22" t="str">
        <f t="shared" si="0"/>
        <v>2023-12-25</v>
      </c>
      <c r="E20" s="22" t="str">
        <f t="shared" si="1"/>
        <v>2023-12-25</v>
      </c>
      <c r="F20" s="22">
        <f t="shared" si="2"/>
        <v>0</v>
      </c>
      <c r="J20" t="str">
        <f t="shared" si="3"/>
        <v>Ткаченко Андрей ОлеговичСтепанова Полина Артемовна</v>
      </c>
      <c r="K20" t="s">
        <v>5</v>
      </c>
      <c r="L20" t="s">
        <v>35</v>
      </c>
      <c r="M20" t="s">
        <v>33</v>
      </c>
      <c r="N20" t="str">
        <f t="shared" si="4"/>
        <v>Громова Мария ИльиничнаМорозов Артем Александрович</v>
      </c>
      <c r="O20" t="s">
        <v>14</v>
      </c>
      <c r="P20" t="s">
        <v>289</v>
      </c>
      <c r="Q20" t="s">
        <v>453</v>
      </c>
    </row>
    <row r="21" spans="2:17" x14ac:dyDescent="0.3">
      <c r="B21" t="s">
        <v>21</v>
      </c>
      <c r="C21" t="s">
        <v>67</v>
      </c>
      <c r="D21" s="22" t="str">
        <f t="shared" si="0"/>
        <v>2024-05-31</v>
      </c>
      <c r="E21" s="22" t="str">
        <f t="shared" si="1"/>
        <v>2024-05-31</v>
      </c>
      <c r="F21" s="22">
        <f t="shared" si="2"/>
        <v>0</v>
      </c>
      <c r="J21" t="str">
        <f t="shared" si="3"/>
        <v>Громова Мария ИльиничнаНовиков Михаил Владимирович</v>
      </c>
      <c r="K21" t="s">
        <v>14</v>
      </c>
      <c r="L21" t="s">
        <v>36</v>
      </c>
      <c r="M21" t="s">
        <v>33</v>
      </c>
      <c r="N21" t="str">
        <f t="shared" si="4"/>
        <v>Белов Алексей КонстантиновичКузнецов Сергей Кириллович</v>
      </c>
      <c r="O21" t="s">
        <v>21</v>
      </c>
      <c r="P21" t="s">
        <v>225</v>
      </c>
      <c r="Q21" t="s">
        <v>453</v>
      </c>
    </row>
    <row r="22" spans="2:17" x14ac:dyDescent="0.3">
      <c r="B22" t="s">
        <v>21</v>
      </c>
      <c r="C22" t="s">
        <v>225</v>
      </c>
      <c r="D22" s="22" t="str">
        <f t="shared" si="0"/>
        <v>2024-08-26</v>
      </c>
      <c r="E22" s="22" t="str">
        <f t="shared" si="1"/>
        <v>2024-08-26</v>
      </c>
      <c r="F22" s="22">
        <f t="shared" si="2"/>
        <v>0</v>
      </c>
      <c r="J22" t="str">
        <f t="shared" si="3"/>
        <v>Громова Мария ИльиничнаИванов Александр Павлович</v>
      </c>
      <c r="K22" t="s">
        <v>14</v>
      </c>
      <c r="L22" t="s">
        <v>37</v>
      </c>
      <c r="M22" t="s">
        <v>38</v>
      </c>
      <c r="N22" t="str">
        <f t="shared" si="4"/>
        <v>Кузнецов Дмитрий ЛьвовичПавлова София Владимировна</v>
      </c>
      <c r="O22" t="s">
        <v>10</v>
      </c>
      <c r="P22" t="s">
        <v>394</v>
      </c>
      <c r="Q22" t="s">
        <v>453</v>
      </c>
    </row>
    <row r="23" spans="2:17" x14ac:dyDescent="0.3">
      <c r="B23" t="s">
        <v>21</v>
      </c>
      <c r="C23" t="s">
        <v>43</v>
      </c>
      <c r="D23" s="22" t="str">
        <f t="shared" si="0"/>
        <v>2024-04-08</v>
      </c>
      <c r="E23" s="22" t="str">
        <f t="shared" si="1"/>
        <v>2024-04-08</v>
      </c>
      <c r="F23" s="22">
        <f t="shared" si="2"/>
        <v>0</v>
      </c>
      <c r="J23" t="str">
        <f t="shared" si="3"/>
        <v>Кузнецов Дмитрий ЛьвовичПетров Иван Артемович</v>
      </c>
      <c r="K23" t="s">
        <v>10</v>
      </c>
      <c r="L23" t="s">
        <v>39</v>
      </c>
      <c r="M23" t="s">
        <v>38</v>
      </c>
      <c r="N23" t="str">
        <f t="shared" si="4"/>
        <v>Громова Мария ИльиничнаПавлова Екатерина Егоровна</v>
      </c>
      <c r="O23" t="s">
        <v>14</v>
      </c>
      <c r="P23" t="s">
        <v>141</v>
      </c>
      <c r="Q23" t="s">
        <v>453</v>
      </c>
    </row>
    <row r="24" spans="2:17" x14ac:dyDescent="0.3">
      <c r="B24" t="s">
        <v>21</v>
      </c>
      <c r="C24" t="s">
        <v>276</v>
      </c>
      <c r="D24" s="22" t="str">
        <f t="shared" si="0"/>
        <v>2024-01-18</v>
      </c>
      <c r="E24" s="22" t="str">
        <f t="shared" si="1"/>
        <v>2024-08-20</v>
      </c>
      <c r="F24" s="22">
        <f t="shared" si="2"/>
        <v>215</v>
      </c>
      <c r="J24" t="str">
        <f t="shared" si="3"/>
        <v>Фролов Сергей ВикторовичФедоров Роман Дмитриевич</v>
      </c>
      <c r="K24" t="s">
        <v>40</v>
      </c>
      <c r="L24" t="s">
        <v>41</v>
      </c>
      <c r="M24" t="s">
        <v>38</v>
      </c>
      <c r="N24" t="str">
        <f t="shared" si="4"/>
        <v>Новикова Ольга ПетровнаНовикова Анна Геннадьевна</v>
      </c>
      <c r="O24" t="s">
        <v>47</v>
      </c>
      <c r="P24" t="s">
        <v>402</v>
      </c>
      <c r="Q24" t="s">
        <v>452</v>
      </c>
    </row>
    <row r="25" spans="2:17" x14ac:dyDescent="0.3">
      <c r="B25" t="s">
        <v>21</v>
      </c>
      <c r="C25" t="s">
        <v>22</v>
      </c>
      <c r="D25" s="22" t="str">
        <f t="shared" si="0"/>
        <v>2023-09-04</v>
      </c>
      <c r="E25" s="22" t="str">
        <f t="shared" si="1"/>
        <v>2023-09-04</v>
      </c>
      <c r="F25" s="22">
        <f t="shared" si="2"/>
        <v>0</v>
      </c>
      <c r="J25" t="str">
        <f t="shared" si="3"/>
        <v>Кузнецов Дмитрий ЛьвовичНовикова Людмила Кирилловна</v>
      </c>
      <c r="K25" t="s">
        <v>10</v>
      </c>
      <c r="L25" t="s">
        <v>42</v>
      </c>
      <c r="M25" t="s">
        <v>38</v>
      </c>
      <c r="N25" t="str">
        <f t="shared" si="4"/>
        <v>Громова Мария ИльиничнаЕгоров Константин Ильич</v>
      </c>
      <c r="O25" t="s">
        <v>14</v>
      </c>
      <c r="P25" t="s">
        <v>136</v>
      </c>
      <c r="Q25" t="s">
        <v>451</v>
      </c>
    </row>
    <row r="26" spans="2:17" x14ac:dyDescent="0.3">
      <c r="B26" t="s">
        <v>21</v>
      </c>
      <c r="C26" t="s">
        <v>17</v>
      </c>
      <c r="D26" s="22" t="str">
        <f t="shared" si="0"/>
        <v>2024-08-19</v>
      </c>
      <c r="E26" s="22" t="str">
        <f t="shared" si="1"/>
        <v>2024-08-19</v>
      </c>
      <c r="F26" s="22">
        <f t="shared" si="2"/>
        <v>0</v>
      </c>
      <c r="J26" t="str">
        <f t="shared" si="3"/>
        <v>Фролов Сергей ВикторовичКузнецова Дарья Дмитриевна</v>
      </c>
      <c r="K26" t="s">
        <v>40</v>
      </c>
      <c r="L26" t="s">
        <v>43</v>
      </c>
      <c r="M26" t="s">
        <v>44</v>
      </c>
      <c r="N26" t="str">
        <f t="shared" si="4"/>
        <v>Ткаченко Андрей ОлеговичФедоров Михаил Кириллович</v>
      </c>
      <c r="O26" t="s">
        <v>5</v>
      </c>
      <c r="P26" t="s">
        <v>76</v>
      </c>
      <c r="Q26" t="s">
        <v>451</v>
      </c>
    </row>
    <row r="27" spans="2:17" x14ac:dyDescent="0.3">
      <c r="B27" t="s">
        <v>21</v>
      </c>
      <c r="C27" t="s">
        <v>85</v>
      </c>
      <c r="D27" s="22" t="str">
        <f t="shared" si="0"/>
        <v>2024-04-02</v>
      </c>
      <c r="E27" s="22" t="str">
        <f t="shared" si="1"/>
        <v>2024-08-30</v>
      </c>
      <c r="F27" s="22">
        <f t="shared" si="2"/>
        <v>150</v>
      </c>
      <c r="J27" t="str">
        <f t="shared" si="3"/>
        <v>Орлов Павел ДенисовичМорозов Сергей Олегович</v>
      </c>
      <c r="K27" t="s">
        <v>45</v>
      </c>
      <c r="L27" t="s">
        <v>46</v>
      </c>
      <c r="M27" t="s">
        <v>44</v>
      </c>
      <c r="N27" t="str">
        <f t="shared" si="4"/>
        <v>Кузнецов Дмитрий ЛьвовичПавлов Алексей Геннадьевич</v>
      </c>
      <c r="O27" t="s">
        <v>10</v>
      </c>
      <c r="P27" t="s">
        <v>191</v>
      </c>
      <c r="Q27" t="s">
        <v>451</v>
      </c>
    </row>
    <row r="28" spans="2:17" x14ac:dyDescent="0.3">
      <c r="B28" t="s">
        <v>21</v>
      </c>
      <c r="C28" t="s">
        <v>156</v>
      </c>
      <c r="D28" s="22" t="str">
        <f t="shared" si="0"/>
        <v>2024-07-18</v>
      </c>
      <c r="E28" s="22" t="str">
        <f t="shared" si="1"/>
        <v>2024-07-18</v>
      </c>
      <c r="F28" s="22">
        <f t="shared" si="2"/>
        <v>0</v>
      </c>
      <c r="J28" t="str">
        <f t="shared" si="3"/>
        <v>Новикова Ольга ПетровнаЛебедева Анна Викторовна</v>
      </c>
      <c r="K28" t="s">
        <v>47</v>
      </c>
      <c r="L28" t="s">
        <v>48</v>
      </c>
      <c r="M28" t="s">
        <v>44</v>
      </c>
      <c r="N28" t="str">
        <f t="shared" si="4"/>
        <v>Белов Алексей КонстантиновичКузнецова Ирина Владимировна</v>
      </c>
      <c r="O28" t="s">
        <v>21</v>
      </c>
      <c r="P28" t="s">
        <v>276</v>
      </c>
      <c r="Q28" t="s">
        <v>450</v>
      </c>
    </row>
    <row r="29" spans="2:17" x14ac:dyDescent="0.3">
      <c r="B29" t="s">
        <v>21</v>
      </c>
      <c r="C29" t="s">
        <v>387</v>
      </c>
      <c r="D29" s="22" t="str">
        <f t="shared" si="0"/>
        <v>2024-05-29</v>
      </c>
      <c r="E29" s="22" t="str">
        <f t="shared" si="1"/>
        <v>2024-05-29</v>
      </c>
      <c r="F29" s="22">
        <f t="shared" si="2"/>
        <v>0</v>
      </c>
      <c r="J29" t="str">
        <f t="shared" si="3"/>
        <v>Яковлев Артем ИгоревичЛебедев Артем Кириллович</v>
      </c>
      <c r="K29" t="s">
        <v>8</v>
      </c>
      <c r="L29" t="s">
        <v>49</v>
      </c>
      <c r="M29" t="s">
        <v>44</v>
      </c>
      <c r="N29" t="str">
        <f t="shared" si="4"/>
        <v>Ткаченко Андрей ОлеговичЕгоров Никита Ильич</v>
      </c>
      <c r="O29" t="s">
        <v>5</v>
      </c>
      <c r="P29" t="s">
        <v>112</v>
      </c>
      <c r="Q29" t="s">
        <v>450</v>
      </c>
    </row>
    <row r="30" spans="2:17" x14ac:dyDescent="0.3">
      <c r="B30" t="s">
        <v>21</v>
      </c>
      <c r="C30" t="s">
        <v>312</v>
      </c>
      <c r="D30" s="22" t="str">
        <f t="shared" si="0"/>
        <v>2024-08-15</v>
      </c>
      <c r="E30" s="22" t="str">
        <f t="shared" si="1"/>
        <v>2024-08-15</v>
      </c>
      <c r="F30" s="22">
        <f t="shared" si="2"/>
        <v>0</v>
      </c>
      <c r="J30" t="str">
        <f t="shared" si="3"/>
        <v>Фролов Сергей ВикторовичПетрова Валерия Павловна</v>
      </c>
      <c r="K30" t="s">
        <v>40</v>
      </c>
      <c r="L30" t="s">
        <v>32</v>
      </c>
      <c r="M30" t="s">
        <v>44</v>
      </c>
      <c r="N30" t="str">
        <f t="shared" si="4"/>
        <v>Орлов Павел ДенисовичЛебедева Анна Викторовна</v>
      </c>
      <c r="O30" t="s">
        <v>45</v>
      </c>
      <c r="P30" t="s">
        <v>48</v>
      </c>
      <c r="Q30" t="s">
        <v>450</v>
      </c>
    </row>
    <row r="31" spans="2:17" x14ac:dyDescent="0.3">
      <c r="B31" t="s">
        <v>21</v>
      </c>
      <c r="C31" t="s">
        <v>147</v>
      </c>
      <c r="D31" s="22" t="str">
        <f t="shared" si="0"/>
        <v>2023-11-27</v>
      </c>
      <c r="E31" s="22" t="str">
        <f t="shared" si="1"/>
        <v>2023-12-18</v>
      </c>
      <c r="F31" s="22">
        <f t="shared" si="2"/>
        <v>21</v>
      </c>
      <c r="J31" t="str">
        <f t="shared" si="3"/>
        <v>Петров Владимир КирилловичЛебедев Илья Станиславович</v>
      </c>
      <c r="K31" t="s">
        <v>50</v>
      </c>
      <c r="L31" t="s">
        <v>51</v>
      </c>
      <c r="M31" t="s">
        <v>44</v>
      </c>
      <c r="N31" t="str">
        <f t="shared" si="4"/>
        <v>Белов Алексей КонстантиновичКузнецова Полина Романовна</v>
      </c>
      <c r="O31" t="s">
        <v>21</v>
      </c>
      <c r="P31" t="s">
        <v>17</v>
      </c>
      <c r="Q31" t="s">
        <v>449</v>
      </c>
    </row>
    <row r="32" spans="2:17" x14ac:dyDescent="0.3">
      <c r="B32" t="s">
        <v>21</v>
      </c>
      <c r="C32" t="s">
        <v>289</v>
      </c>
      <c r="D32" s="22" t="str">
        <f t="shared" si="0"/>
        <v>2024-05-20</v>
      </c>
      <c r="E32" s="22" t="str">
        <f t="shared" si="1"/>
        <v>2024-05-20</v>
      </c>
      <c r="F32" s="22">
        <f t="shared" si="2"/>
        <v>0</v>
      </c>
      <c r="J32" t="str">
        <f t="shared" si="3"/>
        <v>Фролов Сергей ВикторовичМорозов Максим Андреевич</v>
      </c>
      <c r="K32" t="s">
        <v>40</v>
      </c>
      <c r="L32" t="s">
        <v>52</v>
      </c>
      <c r="M32" t="s">
        <v>44</v>
      </c>
      <c r="N32" t="str">
        <f t="shared" si="4"/>
        <v>Белов Алексей КонстантиновичВасильев Никита Павлович</v>
      </c>
      <c r="O32" t="s">
        <v>21</v>
      </c>
      <c r="P32" t="s">
        <v>89</v>
      </c>
      <c r="Q32" t="s">
        <v>449</v>
      </c>
    </row>
    <row r="33" spans="2:17" x14ac:dyDescent="0.3">
      <c r="B33" t="s">
        <v>21</v>
      </c>
      <c r="C33" t="s">
        <v>360</v>
      </c>
      <c r="D33" s="22" t="str">
        <f t="shared" si="0"/>
        <v>2024-04-24</v>
      </c>
      <c r="E33" s="22" t="str">
        <f t="shared" si="1"/>
        <v>2024-05-28</v>
      </c>
      <c r="F33" s="22">
        <f t="shared" si="2"/>
        <v>34</v>
      </c>
      <c r="J33" t="str">
        <f t="shared" si="3"/>
        <v>Новикова Ольга ПетровнаВолкова Татьяна Кирилловна</v>
      </c>
      <c r="K33" t="s">
        <v>47</v>
      </c>
      <c r="L33" t="s">
        <v>53</v>
      </c>
      <c r="M33" t="s">
        <v>44</v>
      </c>
      <c r="N33" t="str">
        <f t="shared" si="4"/>
        <v>Петров Владимир КирилловичЕгорова Юлия Алексеевна</v>
      </c>
      <c r="O33" t="s">
        <v>50</v>
      </c>
      <c r="P33" t="s">
        <v>13</v>
      </c>
      <c r="Q33" t="s">
        <v>449</v>
      </c>
    </row>
    <row r="34" spans="2:17" x14ac:dyDescent="0.3">
      <c r="B34" t="s">
        <v>21</v>
      </c>
      <c r="C34" t="s">
        <v>282</v>
      </c>
      <c r="D34" s="22" t="str">
        <f t="shared" si="0"/>
        <v>2024-01-22</v>
      </c>
      <c r="E34" s="22" t="str">
        <f t="shared" si="1"/>
        <v>2024-01-22</v>
      </c>
      <c r="F34" s="22">
        <f t="shared" si="2"/>
        <v>0</v>
      </c>
      <c r="J34" t="str">
        <f t="shared" si="3"/>
        <v>Сидорова Елена ВасильевнаКозлова София Станиславовна</v>
      </c>
      <c r="K34" t="s">
        <v>18</v>
      </c>
      <c r="L34" t="s">
        <v>54</v>
      </c>
      <c r="M34" t="s">
        <v>44</v>
      </c>
      <c r="N34" t="str">
        <f t="shared" si="4"/>
        <v>Ткаченко Андрей ОлеговичНиколаев Егор Романович</v>
      </c>
      <c r="O34" t="s">
        <v>5</v>
      </c>
      <c r="P34" t="s">
        <v>277</v>
      </c>
      <c r="Q34" t="s">
        <v>449</v>
      </c>
    </row>
    <row r="35" spans="2:17" x14ac:dyDescent="0.3">
      <c r="B35" t="s">
        <v>21</v>
      </c>
      <c r="C35" t="s">
        <v>146</v>
      </c>
      <c r="D35" s="22" t="str">
        <f t="shared" si="0"/>
        <v>2024-02-27</v>
      </c>
      <c r="E35" s="22" t="str">
        <f t="shared" si="1"/>
        <v>2024-02-27</v>
      </c>
      <c r="F35" s="22">
        <f t="shared" si="2"/>
        <v>0</v>
      </c>
      <c r="J35" t="str">
        <f t="shared" si="3"/>
        <v>Яковлев Артем ИгоревичЛебедев Владимир Сергеевич</v>
      </c>
      <c r="K35" t="s">
        <v>8</v>
      </c>
      <c r="L35" t="s">
        <v>55</v>
      </c>
      <c r="M35" t="s">
        <v>44</v>
      </c>
      <c r="N35" t="str">
        <f t="shared" si="4"/>
        <v>Семенова Ирина ВалерьевнаСмирнов Артем Егорович</v>
      </c>
      <c r="O35" t="s">
        <v>12</v>
      </c>
      <c r="P35" t="s">
        <v>127</v>
      </c>
      <c r="Q35" t="s">
        <v>449</v>
      </c>
    </row>
    <row r="36" spans="2:17" x14ac:dyDescent="0.3">
      <c r="B36" t="s">
        <v>21</v>
      </c>
      <c r="C36" t="s">
        <v>46</v>
      </c>
      <c r="D36" s="22" t="str">
        <f t="shared" si="0"/>
        <v>2023-10-09</v>
      </c>
      <c r="E36" s="22" t="str">
        <f t="shared" si="1"/>
        <v>2023-10-09</v>
      </c>
      <c r="F36" s="22">
        <f t="shared" si="2"/>
        <v>0</v>
      </c>
      <c r="J36" t="str">
        <f t="shared" si="3"/>
        <v>Иванова Анна СергеевнаСмирнов Павел Геннадьевич</v>
      </c>
      <c r="K36" t="s">
        <v>28</v>
      </c>
      <c r="L36" t="s">
        <v>56</v>
      </c>
      <c r="M36" t="s">
        <v>57</v>
      </c>
      <c r="N36" t="str">
        <f t="shared" si="4"/>
        <v>Орлов Павел ДенисовичНовиков Михаил Владимирович</v>
      </c>
      <c r="O36" t="s">
        <v>45</v>
      </c>
      <c r="P36" t="s">
        <v>36</v>
      </c>
      <c r="Q36" t="s">
        <v>449</v>
      </c>
    </row>
    <row r="37" spans="2:17" x14ac:dyDescent="0.3">
      <c r="B37" t="s">
        <v>21</v>
      </c>
      <c r="C37" t="s">
        <v>174</v>
      </c>
      <c r="D37" s="22" t="str">
        <f t="shared" si="0"/>
        <v>2024-01-16</v>
      </c>
      <c r="E37" s="22" t="str">
        <f t="shared" si="1"/>
        <v>2024-01-16</v>
      </c>
      <c r="F37" s="22">
        <f t="shared" si="2"/>
        <v>0</v>
      </c>
      <c r="J37" t="str">
        <f t="shared" si="3"/>
        <v>Яковлев Артем ИгоревичСеменов Матвей Александрович</v>
      </c>
      <c r="K37" t="s">
        <v>8</v>
      </c>
      <c r="L37" t="s">
        <v>58</v>
      </c>
      <c r="M37" t="s">
        <v>57</v>
      </c>
      <c r="N37" t="str">
        <f t="shared" si="4"/>
        <v>Белов Алексей КонстантиновичЛебедева Юлия Олеговна</v>
      </c>
      <c r="O37" t="s">
        <v>21</v>
      </c>
      <c r="P37" t="s">
        <v>312</v>
      </c>
      <c r="Q37" t="s">
        <v>448</v>
      </c>
    </row>
    <row r="38" spans="2:17" x14ac:dyDescent="0.3">
      <c r="B38" t="s">
        <v>21</v>
      </c>
      <c r="C38" t="s">
        <v>84</v>
      </c>
      <c r="D38" s="22" t="str">
        <f t="shared" si="0"/>
        <v>2023-09-20</v>
      </c>
      <c r="E38" s="22" t="str">
        <f t="shared" si="1"/>
        <v>2023-09-20</v>
      </c>
      <c r="F38" s="22">
        <f t="shared" si="2"/>
        <v>0</v>
      </c>
      <c r="J38" t="str">
        <f t="shared" si="3"/>
        <v>Громова Мария ИльиничнаЛебедев Владимир Егорович</v>
      </c>
      <c r="K38" t="s">
        <v>14</v>
      </c>
      <c r="L38" t="s">
        <v>59</v>
      </c>
      <c r="M38" t="s">
        <v>57</v>
      </c>
      <c r="N38" t="str">
        <f t="shared" si="4"/>
        <v>Яковлев Артем ИгоревичЛебедев Владимир Егорович</v>
      </c>
      <c r="O38" t="s">
        <v>8</v>
      </c>
      <c r="P38" t="s">
        <v>59</v>
      </c>
      <c r="Q38" t="s">
        <v>448</v>
      </c>
    </row>
    <row r="39" spans="2:17" x14ac:dyDescent="0.3">
      <c r="B39" t="s">
        <v>21</v>
      </c>
      <c r="C39" t="s">
        <v>62</v>
      </c>
      <c r="D39" s="22" t="str">
        <f t="shared" si="0"/>
        <v>2023-09-12</v>
      </c>
      <c r="E39" s="22" t="str">
        <f t="shared" si="1"/>
        <v>2023-09-12</v>
      </c>
      <c r="F39" s="22">
        <f t="shared" si="2"/>
        <v>0</v>
      </c>
      <c r="J39" t="str">
        <f t="shared" si="3"/>
        <v>Орлов Павел ДенисовичОрлов Михаил Никитич</v>
      </c>
      <c r="K39" t="s">
        <v>45</v>
      </c>
      <c r="L39" t="s">
        <v>60</v>
      </c>
      <c r="M39" t="s">
        <v>57</v>
      </c>
      <c r="N39" t="str">
        <f t="shared" si="4"/>
        <v>Кузнецов Дмитрий ЛьвовичОрлов Александр Иванович</v>
      </c>
      <c r="O39" t="s">
        <v>10</v>
      </c>
      <c r="P39" t="s">
        <v>69</v>
      </c>
      <c r="Q39" t="s">
        <v>448</v>
      </c>
    </row>
    <row r="40" spans="2:17" x14ac:dyDescent="0.3">
      <c r="B40" t="s">
        <v>21</v>
      </c>
      <c r="C40" t="s">
        <v>277</v>
      </c>
      <c r="D40" s="22" t="str">
        <f t="shared" si="0"/>
        <v>2024-01-18</v>
      </c>
      <c r="E40" s="22" t="str">
        <f t="shared" si="1"/>
        <v>2024-01-18</v>
      </c>
      <c r="F40" s="22">
        <f t="shared" si="2"/>
        <v>0</v>
      </c>
      <c r="J40" t="str">
        <f t="shared" si="3"/>
        <v>Фролов Сергей ВикторовичКозлова Татьяна Михайловна</v>
      </c>
      <c r="K40" t="s">
        <v>40</v>
      </c>
      <c r="L40" t="s">
        <v>61</v>
      </c>
      <c r="M40" t="s">
        <v>57</v>
      </c>
      <c r="N40" t="str">
        <f t="shared" si="4"/>
        <v>Яковлев Артем ИгоревичОрлов Александр Иванович</v>
      </c>
      <c r="O40" t="s">
        <v>8</v>
      </c>
      <c r="P40" t="s">
        <v>69</v>
      </c>
      <c r="Q40" t="s">
        <v>448</v>
      </c>
    </row>
    <row r="41" spans="2:17" x14ac:dyDescent="0.3">
      <c r="B41" t="s">
        <v>21</v>
      </c>
      <c r="C41" t="s">
        <v>81</v>
      </c>
      <c r="D41" s="22" t="str">
        <f t="shared" si="0"/>
        <v>2023-10-02</v>
      </c>
      <c r="E41" s="22" t="str">
        <f t="shared" si="1"/>
        <v>2023-10-02</v>
      </c>
      <c r="F41" s="22">
        <f t="shared" si="2"/>
        <v>0</v>
      </c>
      <c r="J41" t="str">
        <f t="shared" si="3"/>
        <v>Белов Алексей КонстантиновичМорозова Полина Александровна</v>
      </c>
      <c r="K41" t="s">
        <v>21</v>
      </c>
      <c r="L41" t="s">
        <v>62</v>
      </c>
      <c r="M41" t="s">
        <v>57</v>
      </c>
      <c r="N41" t="str">
        <f t="shared" si="4"/>
        <v>Белов Алексей КонстантиновичОрлова София Станиславовна</v>
      </c>
      <c r="O41" t="s">
        <v>21</v>
      </c>
      <c r="P41" t="s">
        <v>27</v>
      </c>
      <c r="Q41" t="s">
        <v>447</v>
      </c>
    </row>
    <row r="42" spans="2:17" x14ac:dyDescent="0.3">
      <c r="B42" t="s">
        <v>21</v>
      </c>
      <c r="C42" t="s">
        <v>11</v>
      </c>
      <c r="D42" s="22" t="str">
        <f t="shared" si="0"/>
        <v>2024-02-13</v>
      </c>
      <c r="E42" s="22" t="str">
        <f t="shared" si="1"/>
        <v>2024-02-13</v>
      </c>
      <c r="F42" s="22">
        <f t="shared" si="2"/>
        <v>0</v>
      </c>
      <c r="J42" t="str">
        <f t="shared" si="3"/>
        <v>Яковлев Артем ИгоревичЕгорова Ирина Павловна</v>
      </c>
      <c r="K42" t="s">
        <v>8</v>
      </c>
      <c r="L42" t="s">
        <v>63</v>
      </c>
      <c r="M42" t="s">
        <v>64</v>
      </c>
      <c r="N42" t="str">
        <f t="shared" si="4"/>
        <v>Семенова Ирина ВалерьевнаКозлов Роман Сергеевич</v>
      </c>
      <c r="O42" t="s">
        <v>12</v>
      </c>
      <c r="P42" t="s">
        <v>209</v>
      </c>
      <c r="Q42" t="s">
        <v>447</v>
      </c>
    </row>
    <row r="43" spans="2:17" x14ac:dyDescent="0.3">
      <c r="B43" t="s">
        <v>21</v>
      </c>
      <c r="C43" t="s">
        <v>30</v>
      </c>
      <c r="D43" s="22" t="str">
        <f t="shared" si="0"/>
        <v>2023-10-02</v>
      </c>
      <c r="E43" s="22" t="str">
        <f t="shared" si="1"/>
        <v>2023-10-02</v>
      </c>
      <c r="F43" s="22">
        <f t="shared" si="2"/>
        <v>0</v>
      </c>
      <c r="J43" t="str">
        <f t="shared" si="3"/>
        <v>Семенова Ирина ВалерьевнаСидорова Мария Павловна</v>
      </c>
      <c r="K43" t="s">
        <v>12</v>
      </c>
      <c r="L43" t="s">
        <v>65</v>
      </c>
      <c r="M43" t="s">
        <v>64</v>
      </c>
      <c r="N43" t="str">
        <f t="shared" si="4"/>
        <v>Громова Мария ИльиничнаМорозов Никита Сергеевич</v>
      </c>
      <c r="O43" t="s">
        <v>14</v>
      </c>
      <c r="P43" t="s">
        <v>282</v>
      </c>
      <c r="Q43" t="s">
        <v>447</v>
      </c>
    </row>
    <row r="44" spans="2:17" x14ac:dyDescent="0.3">
      <c r="B44" t="s">
        <v>21</v>
      </c>
      <c r="C44" t="s">
        <v>116</v>
      </c>
      <c r="D44" s="22" t="str">
        <f t="shared" si="0"/>
        <v>2024-04-30</v>
      </c>
      <c r="E44" s="22" t="str">
        <f t="shared" si="1"/>
        <v>2024-04-30</v>
      </c>
      <c r="F44" s="22">
        <f t="shared" si="2"/>
        <v>0</v>
      </c>
      <c r="J44" t="str">
        <f t="shared" si="3"/>
        <v>Белов Алексей КонстантиновичПетров Алексей Сергеевич</v>
      </c>
      <c r="K44" t="s">
        <v>21</v>
      </c>
      <c r="L44" t="s">
        <v>66</v>
      </c>
      <c r="M44" t="s">
        <v>64</v>
      </c>
      <c r="N44" t="str">
        <f t="shared" si="4"/>
        <v>Орлов Павел ДенисовичПопов Алексей Кириллович</v>
      </c>
      <c r="O44" t="s">
        <v>45</v>
      </c>
      <c r="P44" t="s">
        <v>92</v>
      </c>
      <c r="Q44" t="s">
        <v>447</v>
      </c>
    </row>
    <row r="45" spans="2:17" x14ac:dyDescent="0.3">
      <c r="B45" t="s">
        <v>21</v>
      </c>
      <c r="C45" t="s">
        <v>138</v>
      </c>
      <c r="D45" s="22" t="str">
        <f t="shared" si="0"/>
        <v>2023-10-16</v>
      </c>
      <c r="E45" s="22" t="str">
        <f t="shared" si="1"/>
        <v>2023-10-16</v>
      </c>
      <c r="F45" s="22">
        <f t="shared" si="2"/>
        <v>0</v>
      </c>
      <c r="J45" t="str">
        <f t="shared" si="3"/>
        <v>Яковлев Артем ИгоревичКузнецов Михаил Артемович</v>
      </c>
      <c r="K45" t="s">
        <v>8</v>
      </c>
      <c r="L45" t="s">
        <v>67</v>
      </c>
      <c r="M45" t="s">
        <v>68</v>
      </c>
      <c r="N45" t="str">
        <f t="shared" si="4"/>
        <v>Ткаченко Андрей ОлеговичКузнецов Георгий Кириллович</v>
      </c>
      <c r="O45" t="s">
        <v>5</v>
      </c>
      <c r="P45" t="s">
        <v>252</v>
      </c>
      <c r="Q45" t="s">
        <v>447</v>
      </c>
    </row>
    <row r="46" spans="2:17" x14ac:dyDescent="0.3">
      <c r="B46" t="s">
        <v>21</v>
      </c>
      <c r="C46" t="s">
        <v>27</v>
      </c>
      <c r="D46" s="22" t="str">
        <f t="shared" si="0"/>
        <v>2024-08-14</v>
      </c>
      <c r="E46" s="22" t="str">
        <f t="shared" si="1"/>
        <v>2024-08-14</v>
      </c>
      <c r="F46" s="22">
        <f t="shared" si="2"/>
        <v>0</v>
      </c>
      <c r="J46" t="str">
        <f t="shared" si="3"/>
        <v>Иванова Анна СергеевнаОрлов Александр Иванович</v>
      </c>
      <c r="K46" t="s">
        <v>28</v>
      </c>
      <c r="L46" t="s">
        <v>69</v>
      </c>
      <c r="M46" t="s">
        <v>68</v>
      </c>
      <c r="N46" t="str">
        <f t="shared" si="4"/>
        <v>Новикова Ольга ПетровнаОрлова Полина Олеговна</v>
      </c>
      <c r="O46" t="s">
        <v>47</v>
      </c>
      <c r="P46" t="s">
        <v>101</v>
      </c>
      <c r="Q46" t="s">
        <v>447</v>
      </c>
    </row>
    <row r="47" spans="2:17" x14ac:dyDescent="0.3">
      <c r="B47" t="s">
        <v>21</v>
      </c>
      <c r="C47" t="s">
        <v>169</v>
      </c>
      <c r="D47" s="22" t="str">
        <f t="shared" si="0"/>
        <v>2024-01-16</v>
      </c>
      <c r="E47" s="22" t="str">
        <f t="shared" si="1"/>
        <v>2024-01-16</v>
      </c>
      <c r="F47" s="22">
        <f t="shared" si="2"/>
        <v>0</v>
      </c>
      <c r="J47" t="str">
        <f t="shared" si="3"/>
        <v>Петров Владимир КирилловичПетров Илья Андреевич</v>
      </c>
      <c r="K47" t="s">
        <v>50</v>
      </c>
      <c r="L47" t="s">
        <v>70</v>
      </c>
      <c r="M47" t="s">
        <v>68</v>
      </c>
      <c r="N47" t="str">
        <f t="shared" si="4"/>
        <v>Фролов Сергей ВикторовичОрлова Валерия Юрьевна</v>
      </c>
      <c r="O47" t="s">
        <v>40</v>
      </c>
      <c r="P47" t="s">
        <v>258</v>
      </c>
      <c r="Q47" t="s">
        <v>446</v>
      </c>
    </row>
    <row r="48" spans="2:17" x14ac:dyDescent="0.3">
      <c r="B48" t="s">
        <v>21</v>
      </c>
      <c r="C48" t="s">
        <v>66</v>
      </c>
      <c r="D48" s="22" t="str">
        <f t="shared" si="0"/>
        <v>2023-09-13</v>
      </c>
      <c r="E48" s="22" t="str">
        <f t="shared" si="1"/>
        <v>2024-07-18</v>
      </c>
      <c r="F48" s="22">
        <f t="shared" si="2"/>
        <v>309</v>
      </c>
      <c r="J48" t="str">
        <f t="shared" si="3"/>
        <v>Белов Алексей КонстантиновичАлексеева Светлана Станиславовна</v>
      </c>
      <c r="K48" t="s">
        <v>21</v>
      </c>
      <c r="L48" t="s">
        <v>71</v>
      </c>
      <c r="M48" t="s">
        <v>68</v>
      </c>
      <c r="N48" t="str">
        <f t="shared" si="4"/>
        <v>Яковлев Артем ИгоревичНовикова Ирина Юрьевна</v>
      </c>
      <c r="O48" t="s">
        <v>8</v>
      </c>
      <c r="P48" t="s">
        <v>195</v>
      </c>
      <c r="Q48" t="s">
        <v>446</v>
      </c>
    </row>
    <row r="49" spans="2:17" x14ac:dyDescent="0.3">
      <c r="B49" t="s">
        <v>21</v>
      </c>
      <c r="C49" t="s">
        <v>70</v>
      </c>
      <c r="D49" s="22" t="str">
        <f t="shared" si="0"/>
        <v>2024-01-11</v>
      </c>
      <c r="E49" s="22" t="str">
        <f t="shared" si="1"/>
        <v>2024-01-11</v>
      </c>
      <c r="F49" s="22">
        <f t="shared" si="2"/>
        <v>0</v>
      </c>
      <c r="J49" t="str">
        <f t="shared" si="3"/>
        <v>Иванова Анна СергеевнаПавлов Георгий Андреевич</v>
      </c>
      <c r="K49" t="s">
        <v>28</v>
      </c>
      <c r="L49" t="s">
        <v>72</v>
      </c>
      <c r="M49" t="s">
        <v>73</v>
      </c>
      <c r="N49" t="str">
        <f t="shared" si="4"/>
        <v>Иванова Анна СергеевнаЕгоров Артур Егорович</v>
      </c>
      <c r="O49" t="s">
        <v>28</v>
      </c>
      <c r="P49" t="s">
        <v>238</v>
      </c>
      <c r="Q49" t="s">
        <v>445</v>
      </c>
    </row>
    <row r="50" spans="2:17" x14ac:dyDescent="0.3">
      <c r="B50" t="s">
        <v>21</v>
      </c>
      <c r="C50" t="s">
        <v>78</v>
      </c>
      <c r="D50" s="22" t="str">
        <f t="shared" si="0"/>
        <v>2024-06-20</v>
      </c>
      <c r="E50" s="22" t="str">
        <f t="shared" si="1"/>
        <v>2024-06-20</v>
      </c>
      <c r="F50" s="22">
        <f t="shared" si="2"/>
        <v>0</v>
      </c>
      <c r="J50" t="str">
        <f t="shared" si="3"/>
        <v>Иванова Анна СергеевнаВолкова Татьяна Кирилловна</v>
      </c>
      <c r="K50" t="s">
        <v>28</v>
      </c>
      <c r="L50" t="s">
        <v>53</v>
      </c>
      <c r="M50" t="s">
        <v>73</v>
      </c>
      <c r="N50" t="str">
        <f t="shared" si="4"/>
        <v>Сидорова Елена ВасильевнаВасильева Людмила Ивановна</v>
      </c>
      <c r="O50" t="s">
        <v>18</v>
      </c>
      <c r="P50" t="s">
        <v>140</v>
      </c>
      <c r="Q50" t="s">
        <v>445</v>
      </c>
    </row>
    <row r="51" spans="2:17" x14ac:dyDescent="0.3">
      <c r="B51" t="s">
        <v>21</v>
      </c>
      <c r="C51" t="s">
        <v>92</v>
      </c>
      <c r="D51" s="22" t="str">
        <f t="shared" si="0"/>
        <v>2024-02-05</v>
      </c>
      <c r="E51" s="22" t="str">
        <f t="shared" si="1"/>
        <v>2024-02-05</v>
      </c>
      <c r="F51" s="22">
        <f t="shared" si="2"/>
        <v>0</v>
      </c>
      <c r="J51" t="str">
        <f t="shared" si="3"/>
        <v>Иванова Анна СергеевнаКозлов Роман Александрович</v>
      </c>
      <c r="K51" t="s">
        <v>28</v>
      </c>
      <c r="L51" t="s">
        <v>74</v>
      </c>
      <c r="M51" t="s">
        <v>73</v>
      </c>
      <c r="N51" t="str">
        <f t="shared" si="4"/>
        <v>Петров Владимир КирилловичОрлов Александр Иванович</v>
      </c>
      <c r="O51" t="s">
        <v>50</v>
      </c>
      <c r="P51" t="s">
        <v>69</v>
      </c>
      <c r="Q51" t="s">
        <v>445</v>
      </c>
    </row>
    <row r="52" spans="2:17" x14ac:dyDescent="0.3">
      <c r="B52" t="s">
        <v>21</v>
      </c>
      <c r="C52" t="s">
        <v>109</v>
      </c>
      <c r="D52" s="22" t="str">
        <f t="shared" si="0"/>
        <v>2023-09-29</v>
      </c>
      <c r="E52" s="22" t="str">
        <f t="shared" si="1"/>
        <v>2024-04-15</v>
      </c>
      <c r="F52" s="22">
        <f t="shared" si="2"/>
        <v>199</v>
      </c>
      <c r="J52" t="str">
        <f t="shared" si="3"/>
        <v>Семенова Ирина ВалерьевнаЛебедева Дарья Никитична</v>
      </c>
      <c r="K52" t="s">
        <v>12</v>
      </c>
      <c r="L52" t="s">
        <v>75</v>
      </c>
      <c r="M52" t="s">
        <v>73</v>
      </c>
      <c r="N52" t="str">
        <f t="shared" si="4"/>
        <v>Фролов Сергей ВикторовичЛебедева Дарья Никитична</v>
      </c>
      <c r="O52" t="s">
        <v>40</v>
      </c>
      <c r="P52" t="s">
        <v>75</v>
      </c>
      <c r="Q52" t="s">
        <v>445</v>
      </c>
    </row>
    <row r="53" spans="2:17" x14ac:dyDescent="0.3">
      <c r="B53" t="s">
        <v>21</v>
      </c>
      <c r="C53" t="s">
        <v>90</v>
      </c>
      <c r="D53" s="22" t="str">
        <f t="shared" si="0"/>
        <v>2024-05-07</v>
      </c>
      <c r="E53" s="22" t="str">
        <f t="shared" si="1"/>
        <v>2024-05-07</v>
      </c>
      <c r="F53" s="22">
        <f t="shared" si="2"/>
        <v>0</v>
      </c>
      <c r="J53" t="str">
        <f t="shared" si="3"/>
        <v>Иванова Анна СергеевнаФедоров Михаил Кириллович</v>
      </c>
      <c r="K53" t="s">
        <v>28</v>
      </c>
      <c r="L53" t="s">
        <v>76</v>
      </c>
      <c r="M53" t="s">
        <v>73</v>
      </c>
      <c r="N53" t="str">
        <f t="shared" si="4"/>
        <v>Фролов Сергей ВикторовичИванов Дмитрий Павлович</v>
      </c>
      <c r="O53" t="s">
        <v>40</v>
      </c>
      <c r="P53" t="s">
        <v>124</v>
      </c>
      <c r="Q53" t="s">
        <v>445</v>
      </c>
    </row>
    <row r="54" spans="2:17" x14ac:dyDescent="0.3">
      <c r="B54" t="s">
        <v>21</v>
      </c>
      <c r="C54" t="s">
        <v>167</v>
      </c>
      <c r="D54" s="22" t="str">
        <f t="shared" si="0"/>
        <v>2024-04-12</v>
      </c>
      <c r="E54" s="22" t="str">
        <f t="shared" si="1"/>
        <v>2024-04-12</v>
      </c>
      <c r="F54" s="22">
        <f t="shared" si="2"/>
        <v>0</v>
      </c>
      <c r="J54" t="str">
        <f t="shared" si="3"/>
        <v>Ткаченко Андрей ОлеговичСидоров Александр Артемович</v>
      </c>
      <c r="K54" t="s">
        <v>5</v>
      </c>
      <c r="L54" t="s">
        <v>77</v>
      </c>
      <c r="M54" t="s">
        <v>73</v>
      </c>
      <c r="N54" t="str">
        <f t="shared" si="4"/>
        <v>Громова Мария ИльиничнаПавлов Илья Никитич</v>
      </c>
      <c r="O54" t="s">
        <v>14</v>
      </c>
      <c r="P54" t="s">
        <v>324</v>
      </c>
      <c r="Q54" t="s">
        <v>445</v>
      </c>
    </row>
    <row r="55" spans="2:17" x14ac:dyDescent="0.3">
      <c r="B55" t="s">
        <v>21</v>
      </c>
      <c r="C55" t="s">
        <v>256</v>
      </c>
      <c r="D55" s="22" t="str">
        <f t="shared" si="0"/>
        <v>2024-01-29</v>
      </c>
      <c r="E55" s="22" t="str">
        <f t="shared" si="1"/>
        <v>2024-01-29</v>
      </c>
      <c r="F55" s="22">
        <f t="shared" si="2"/>
        <v>0</v>
      </c>
      <c r="J55" t="str">
        <f t="shared" si="3"/>
        <v>Орлов Павел ДенисовичОрлов Георгий Кириллович</v>
      </c>
      <c r="K55" t="s">
        <v>45</v>
      </c>
      <c r="L55" t="s">
        <v>30</v>
      </c>
      <c r="M55" t="s">
        <v>73</v>
      </c>
      <c r="N55" t="str">
        <f t="shared" si="4"/>
        <v>Орлов Павел ДенисовичНовикова Мария Викторовна</v>
      </c>
      <c r="O55" t="s">
        <v>45</v>
      </c>
      <c r="P55" t="s">
        <v>247</v>
      </c>
      <c r="Q55" t="s">
        <v>445</v>
      </c>
    </row>
    <row r="56" spans="2:17" x14ac:dyDescent="0.3">
      <c r="B56" t="s">
        <v>21</v>
      </c>
      <c r="C56" t="s">
        <v>268</v>
      </c>
      <c r="D56" s="22" t="str">
        <f t="shared" si="0"/>
        <v>2024-01-11</v>
      </c>
      <c r="E56" s="22" t="str">
        <f t="shared" si="1"/>
        <v>2024-01-11</v>
      </c>
      <c r="F56" s="22">
        <f t="shared" si="2"/>
        <v>0</v>
      </c>
      <c r="J56" t="str">
        <f t="shared" si="3"/>
        <v>Сидорова Елена ВасильевнаПетров Павел Кириллович</v>
      </c>
      <c r="K56" t="s">
        <v>18</v>
      </c>
      <c r="L56" t="s">
        <v>78</v>
      </c>
      <c r="M56" t="s">
        <v>79</v>
      </c>
      <c r="N56" t="str">
        <f t="shared" si="4"/>
        <v>Фролов Сергей ВикторовичНовиков Михаил Владимирович</v>
      </c>
      <c r="O56" t="s">
        <v>40</v>
      </c>
      <c r="P56" t="s">
        <v>36</v>
      </c>
      <c r="Q56" t="s">
        <v>445</v>
      </c>
    </row>
    <row r="57" spans="2:17" x14ac:dyDescent="0.3">
      <c r="B57" t="s">
        <v>21</v>
      </c>
      <c r="C57" t="s">
        <v>245</v>
      </c>
      <c r="D57" s="22" t="str">
        <f t="shared" si="0"/>
        <v>2024-04-26</v>
      </c>
      <c r="E57" s="22" t="str">
        <f t="shared" si="1"/>
        <v>2024-04-26</v>
      </c>
      <c r="F57" s="22">
        <f t="shared" si="2"/>
        <v>0</v>
      </c>
      <c r="J57" t="str">
        <f t="shared" si="3"/>
        <v>Яковлев Артем ИгоревичНиколаев Артем Олегович</v>
      </c>
      <c r="K57" t="s">
        <v>8</v>
      </c>
      <c r="L57" t="s">
        <v>80</v>
      </c>
      <c r="M57" t="s">
        <v>79</v>
      </c>
      <c r="N57" t="str">
        <f t="shared" si="4"/>
        <v>Громова Мария ИльиничнаНиколаев Роман Ильич</v>
      </c>
      <c r="O57" t="s">
        <v>14</v>
      </c>
      <c r="P57" t="s">
        <v>202</v>
      </c>
      <c r="Q57" t="s">
        <v>445</v>
      </c>
    </row>
    <row r="58" spans="2:17" x14ac:dyDescent="0.3">
      <c r="B58" t="s">
        <v>21</v>
      </c>
      <c r="C58" t="s">
        <v>9</v>
      </c>
      <c r="D58" s="22" t="str">
        <f t="shared" si="0"/>
        <v>2024-03-27</v>
      </c>
      <c r="E58" s="22" t="str">
        <f t="shared" si="1"/>
        <v>2024-05-01</v>
      </c>
      <c r="F58" s="22">
        <f t="shared" si="2"/>
        <v>35</v>
      </c>
      <c r="J58" t="str">
        <f t="shared" si="3"/>
        <v>Громова Мария ИльиничнаВолкова Татьяна Кирилловна</v>
      </c>
      <c r="K58" t="s">
        <v>14</v>
      </c>
      <c r="L58" t="s">
        <v>53</v>
      </c>
      <c r="M58" t="s">
        <v>79</v>
      </c>
      <c r="N58" t="str">
        <f t="shared" si="4"/>
        <v>Иванова Анна СергеевнаОрлова Валерия Юрьевна</v>
      </c>
      <c r="O58" t="s">
        <v>28</v>
      </c>
      <c r="P58" t="s">
        <v>258</v>
      </c>
      <c r="Q58" t="s">
        <v>444</v>
      </c>
    </row>
    <row r="59" spans="2:17" x14ac:dyDescent="0.3">
      <c r="B59" t="s">
        <v>21</v>
      </c>
      <c r="C59" t="s">
        <v>111</v>
      </c>
      <c r="D59" s="22" t="str">
        <f t="shared" si="0"/>
        <v>2023-12-25</v>
      </c>
      <c r="E59" s="22" t="str">
        <f t="shared" si="1"/>
        <v>2023-12-25</v>
      </c>
      <c r="F59" s="22">
        <f t="shared" si="2"/>
        <v>0</v>
      </c>
      <c r="J59" t="str">
        <f t="shared" si="3"/>
        <v>Фролов Сергей ВикторовичНовиков Иван Андреевич</v>
      </c>
      <c r="K59" t="s">
        <v>40</v>
      </c>
      <c r="L59" t="s">
        <v>81</v>
      </c>
      <c r="M59" t="s">
        <v>79</v>
      </c>
      <c r="N59" t="str">
        <f t="shared" si="4"/>
        <v>Громова Мария ИльиничнаПопов Илья Егорович</v>
      </c>
      <c r="O59" t="s">
        <v>14</v>
      </c>
      <c r="P59" t="s">
        <v>210</v>
      </c>
      <c r="Q59" t="s">
        <v>444</v>
      </c>
    </row>
    <row r="60" spans="2:17" x14ac:dyDescent="0.3">
      <c r="B60" t="s">
        <v>21</v>
      </c>
      <c r="C60" t="s">
        <v>58</v>
      </c>
      <c r="D60" s="22" t="str">
        <f t="shared" si="0"/>
        <v>2024-04-05</v>
      </c>
      <c r="E60" s="22" t="str">
        <f t="shared" si="1"/>
        <v>2024-04-05</v>
      </c>
      <c r="F60" s="22">
        <f t="shared" si="2"/>
        <v>0</v>
      </c>
      <c r="J60" t="str">
        <f t="shared" si="3"/>
        <v>Иванова Анна СергеевнаСмирнов Павел Геннадьевич</v>
      </c>
      <c r="K60" t="s">
        <v>28</v>
      </c>
      <c r="L60" t="s">
        <v>56</v>
      </c>
      <c r="M60" t="s">
        <v>82</v>
      </c>
      <c r="N60" t="str">
        <f t="shared" si="4"/>
        <v>Сидорова Елена ВасильевнаОрлов Александр Иванович</v>
      </c>
      <c r="O60" t="s">
        <v>18</v>
      </c>
      <c r="P60" t="s">
        <v>69</v>
      </c>
      <c r="Q60" t="s">
        <v>443</v>
      </c>
    </row>
    <row r="61" spans="2:17" x14ac:dyDescent="0.3">
      <c r="B61" t="s">
        <v>21</v>
      </c>
      <c r="C61" t="s">
        <v>194</v>
      </c>
      <c r="D61" s="22" t="str">
        <f t="shared" si="0"/>
        <v>2023-11-13</v>
      </c>
      <c r="E61" s="22" t="str">
        <f t="shared" si="1"/>
        <v>2023-11-13</v>
      </c>
      <c r="F61" s="22">
        <f t="shared" si="2"/>
        <v>0</v>
      </c>
      <c r="J61" t="str">
        <f t="shared" si="3"/>
        <v>Новикова Ольга ПетровнаИванов Илья Артемович</v>
      </c>
      <c r="K61" t="s">
        <v>47</v>
      </c>
      <c r="L61" t="s">
        <v>83</v>
      </c>
      <c r="M61" t="s">
        <v>82</v>
      </c>
      <c r="N61" t="str">
        <f t="shared" si="4"/>
        <v>Громова Мария ИльиничнаЛебедев Матвей Кириллович</v>
      </c>
      <c r="O61" t="s">
        <v>14</v>
      </c>
      <c r="P61" t="s">
        <v>123</v>
      </c>
      <c r="Q61" t="s">
        <v>442</v>
      </c>
    </row>
    <row r="62" spans="2:17" x14ac:dyDescent="0.3">
      <c r="B62" t="s">
        <v>21</v>
      </c>
      <c r="C62" t="s">
        <v>119</v>
      </c>
      <c r="D62" s="22" t="str">
        <f t="shared" si="0"/>
        <v>2024-06-10</v>
      </c>
      <c r="E62" s="22" t="str">
        <f t="shared" si="1"/>
        <v>2024-06-10</v>
      </c>
      <c r="F62" s="22">
        <f t="shared" si="2"/>
        <v>0</v>
      </c>
      <c r="J62" t="str">
        <f t="shared" si="3"/>
        <v>Белов Алексей КонстантиновичМорозова Мария Дмитриевна</v>
      </c>
      <c r="K62" t="s">
        <v>21</v>
      </c>
      <c r="L62" t="s">
        <v>84</v>
      </c>
      <c r="M62" t="s">
        <v>82</v>
      </c>
      <c r="N62" t="str">
        <f t="shared" si="4"/>
        <v>Семенова Ирина ВалерьевнаНовикова Ирина Юрьевна</v>
      </c>
      <c r="O62" t="s">
        <v>12</v>
      </c>
      <c r="P62" t="s">
        <v>195</v>
      </c>
      <c r="Q62" t="s">
        <v>442</v>
      </c>
    </row>
    <row r="63" spans="2:17" x14ac:dyDescent="0.3">
      <c r="B63" t="s">
        <v>21</v>
      </c>
      <c r="C63" t="s">
        <v>77</v>
      </c>
      <c r="D63" s="22" t="str">
        <f t="shared" si="0"/>
        <v>2024-02-09</v>
      </c>
      <c r="E63" s="22" t="str">
        <f t="shared" si="1"/>
        <v>2024-02-09</v>
      </c>
      <c r="F63" s="22">
        <f t="shared" si="2"/>
        <v>0</v>
      </c>
      <c r="J63" t="str">
        <f t="shared" si="3"/>
        <v>Новикова Ольга ПетровнаЛебедев Дмитрий Викторович</v>
      </c>
      <c r="K63" t="s">
        <v>47</v>
      </c>
      <c r="L63" t="s">
        <v>85</v>
      </c>
      <c r="M63" t="s">
        <v>86</v>
      </c>
      <c r="N63" t="str">
        <f t="shared" si="4"/>
        <v>Белов Алексей КонстантиновичФедорова Виктория Михайловна</v>
      </c>
      <c r="O63" t="s">
        <v>21</v>
      </c>
      <c r="P63" t="s">
        <v>197</v>
      </c>
      <c r="Q63" t="s">
        <v>442</v>
      </c>
    </row>
    <row r="64" spans="2:17" x14ac:dyDescent="0.3">
      <c r="B64" t="s">
        <v>21</v>
      </c>
      <c r="C64" t="s">
        <v>166</v>
      </c>
      <c r="D64" s="22" t="str">
        <f t="shared" si="0"/>
        <v>2024-07-15</v>
      </c>
      <c r="E64" s="22" t="str">
        <f t="shared" si="1"/>
        <v>2024-07-15</v>
      </c>
      <c r="F64" s="22">
        <f t="shared" si="2"/>
        <v>0</v>
      </c>
      <c r="J64" t="str">
        <f t="shared" si="3"/>
        <v>Орлов Павел ДенисовичФедорова Ольга Викторовна</v>
      </c>
      <c r="K64" t="s">
        <v>45</v>
      </c>
      <c r="L64" t="s">
        <v>87</v>
      </c>
      <c r="M64" t="s">
        <v>86</v>
      </c>
      <c r="N64" t="str">
        <f t="shared" si="4"/>
        <v>Ткаченко Андрей ОлеговичЕгоров Артем Никитич</v>
      </c>
      <c r="O64" t="s">
        <v>5</v>
      </c>
      <c r="P64" t="s">
        <v>25</v>
      </c>
      <c r="Q64" t="s">
        <v>442</v>
      </c>
    </row>
    <row r="65" spans="2:17" x14ac:dyDescent="0.3">
      <c r="B65" t="s">
        <v>21</v>
      </c>
      <c r="C65" t="s">
        <v>180</v>
      </c>
      <c r="D65" s="22" t="str">
        <f t="shared" si="0"/>
        <v>2024-04-29</v>
      </c>
      <c r="E65" s="22" t="str">
        <f t="shared" si="1"/>
        <v>2024-04-29</v>
      </c>
      <c r="F65" s="22">
        <f t="shared" si="2"/>
        <v>0</v>
      </c>
      <c r="J65" t="str">
        <f t="shared" si="3"/>
        <v>Яковлев Артем ИгоревичОрлов Александр Иванович</v>
      </c>
      <c r="K65" t="s">
        <v>8</v>
      </c>
      <c r="L65" t="s">
        <v>69</v>
      </c>
      <c r="M65" t="s">
        <v>86</v>
      </c>
      <c r="N65" t="str">
        <f t="shared" si="4"/>
        <v>Яковлев Артем ИгоревичСмирнова София Андреевна</v>
      </c>
      <c r="O65" t="s">
        <v>8</v>
      </c>
      <c r="P65" t="s">
        <v>182</v>
      </c>
      <c r="Q65" t="s">
        <v>442</v>
      </c>
    </row>
    <row r="66" spans="2:17" x14ac:dyDescent="0.3">
      <c r="B66" t="s">
        <v>21</v>
      </c>
      <c r="C66" t="s">
        <v>65</v>
      </c>
      <c r="D66" s="22" t="str">
        <f t="shared" si="0"/>
        <v>2024-02-05</v>
      </c>
      <c r="E66" s="22" t="str">
        <f t="shared" si="1"/>
        <v>2024-02-05</v>
      </c>
      <c r="F66" s="22">
        <f t="shared" si="2"/>
        <v>0</v>
      </c>
      <c r="J66" t="str">
        <f t="shared" si="3"/>
        <v>Петров Владимир КирилловичФедоров Владимир Артемович</v>
      </c>
      <c r="K66" t="s">
        <v>50</v>
      </c>
      <c r="L66" t="s">
        <v>88</v>
      </c>
      <c r="M66" t="s">
        <v>86</v>
      </c>
      <c r="N66" t="str">
        <f t="shared" si="4"/>
        <v>Ткаченко Андрей ОлеговичПавлова София Владимировна</v>
      </c>
      <c r="O66" t="s">
        <v>5</v>
      </c>
      <c r="P66" t="s">
        <v>394</v>
      </c>
      <c r="Q66" t="s">
        <v>442</v>
      </c>
    </row>
    <row r="67" spans="2:17" x14ac:dyDescent="0.3">
      <c r="B67" t="s">
        <v>21</v>
      </c>
      <c r="C67" t="s">
        <v>127</v>
      </c>
      <c r="D67" s="22" t="str">
        <f t="shared" ref="D67:D130" si="5">VLOOKUP(B67&amp;C67,J:M,4,0)</f>
        <v>2023-10-24</v>
      </c>
      <c r="E67" s="22" t="str">
        <f t="shared" ref="E67:E130" si="6">VLOOKUP(B67&amp;C67,N:Q,4,0)</f>
        <v>2023-10-24</v>
      </c>
      <c r="F67" s="22">
        <f t="shared" ref="F67:F130" si="7">E67-D67</f>
        <v>0</v>
      </c>
      <c r="J67" t="str">
        <f t="shared" ref="J67:J130" si="8">K67&amp;L67</f>
        <v>Белов Алексей КонстантиновичВасильев Никита Павлович</v>
      </c>
      <c r="K67" t="s">
        <v>21</v>
      </c>
      <c r="L67" t="s">
        <v>89</v>
      </c>
      <c r="M67" t="s">
        <v>86</v>
      </c>
      <c r="N67" t="str">
        <f t="shared" ref="N67:N130" si="9">O67&amp;P67</f>
        <v>Громова Мария ИльиничнаОрлов Александр Иванович</v>
      </c>
      <c r="O67" t="s">
        <v>14</v>
      </c>
      <c r="P67" t="s">
        <v>69</v>
      </c>
      <c r="Q67" t="s">
        <v>441</v>
      </c>
    </row>
    <row r="68" spans="2:17" x14ac:dyDescent="0.3">
      <c r="B68" t="s">
        <v>21</v>
      </c>
      <c r="C68" t="s">
        <v>56</v>
      </c>
      <c r="D68" s="22" t="str">
        <f t="shared" si="5"/>
        <v>2024-04-01</v>
      </c>
      <c r="E68" s="22" t="str">
        <f t="shared" si="6"/>
        <v>2024-04-01</v>
      </c>
      <c r="F68" s="22">
        <f t="shared" si="7"/>
        <v>0</v>
      </c>
      <c r="J68" t="str">
        <f t="shared" si="8"/>
        <v>Сидорова Елена ВасильевнаПопова Алиса Ильинична</v>
      </c>
      <c r="K68" t="s">
        <v>18</v>
      </c>
      <c r="L68" t="s">
        <v>90</v>
      </c>
      <c r="M68" t="s">
        <v>91</v>
      </c>
      <c r="N68" t="str">
        <f t="shared" si="9"/>
        <v>Новикова Ольга ПетровнаФедорова Людмила Кирилловна</v>
      </c>
      <c r="O68" t="s">
        <v>47</v>
      </c>
      <c r="P68" t="s">
        <v>199</v>
      </c>
      <c r="Q68" t="s">
        <v>441</v>
      </c>
    </row>
    <row r="69" spans="2:17" x14ac:dyDescent="0.3">
      <c r="B69" t="s">
        <v>21</v>
      </c>
      <c r="C69" t="s">
        <v>117</v>
      </c>
      <c r="D69" s="22" t="str">
        <f t="shared" si="5"/>
        <v>2024-05-13</v>
      </c>
      <c r="E69" s="22" t="str">
        <f t="shared" si="6"/>
        <v>2024-05-13</v>
      </c>
      <c r="F69" s="22">
        <f t="shared" si="7"/>
        <v>0</v>
      </c>
      <c r="J69" t="str">
        <f t="shared" si="8"/>
        <v>Яковлев Артем ИгоревичПопов Алексей Кириллович</v>
      </c>
      <c r="K69" t="s">
        <v>8</v>
      </c>
      <c r="L69" t="s">
        <v>92</v>
      </c>
      <c r="M69" t="s">
        <v>93</v>
      </c>
      <c r="N69" t="str">
        <f t="shared" si="9"/>
        <v>Новикова Ольга ПетровнаИванов Илья Артемович</v>
      </c>
      <c r="O69" t="s">
        <v>47</v>
      </c>
      <c r="P69" t="s">
        <v>83</v>
      </c>
      <c r="Q69" t="s">
        <v>439</v>
      </c>
    </row>
    <row r="70" spans="2:17" x14ac:dyDescent="0.3">
      <c r="B70" t="s">
        <v>21</v>
      </c>
      <c r="C70" t="s">
        <v>163</v>
      </c>
      <c r="D70" s="22" t="str">
        <f t="shared" si="5"/>
        <v>2024-05-06</v>
      </c>
      <c r="E70" s="22" t="str">
        <f t="shared" si="6"/>
        <v>2024-05-06</v>
      </c>
      <c r="F70" s="22">
        <f t="shared" si="7"/>
        <v>0</v>
      </c>
      <c r="J70" t="str">
        <f t="shared" si="8"/>
        <v>Сидорова Елена ВасильевнаПетров Павел Кириллович</v>
      </c>
      <c r="K70" t="s">
        <v>18</v>
      </c>
      <c r="L70" t="s">
        <v>78</v>
      </c>
      <c r="M70" t="s">
        <v>93</v>
      </c>
      <c r="N70" t="str">
        <f t="shared" si="9"/>
        <v>Иванова Анна СергеевнаКузнецова Юлия Андреевна</v>
      </c>
      <c r="O70" t="s">
        <v>28</v>
      </c>
      <c r="P70" t="s">
        <v>440</v>
      </c>
      <c r="Q70" t="s">
        <v>439</v>
      </c>
    </row>
    <row r="71" spans="2:17" x14ac:dyDescent="0.3">
      <c r="B71" t="s">
        <v>21</v>
      </c>
      <c r="C71" t="s">
        <v>122</v>
      </c>
      <c r="D71" s="22" t="str">
        <f t="shared" si="5"/>
        <v>2024-07-23</v>
      </c>
      <c r="E71" s="22" t="str">
        <f t="shared" si="6"/>
        <v>2024-07-23</v>
      </c>
      <c r="F71" s="22">
        <f t="shared" si="7"/>
        <v>0</v>
      </c>
      <c r="J71" t="str">
        <f t="shared" si="8"/>
        <v>Сидорова Елена ВасильевнаЛебедева Анна Викторовна</v>
      </c>
      <c r="K71" t="s">
        <v>18</v>
      </c>
      <c r="L71" t="s">
        <v>48</v>
      </c>
      <c r="M71" t="s">
        <v>93</v>
      </c>
      <c r="N71" t="str">
        <f t="shared" si="9"/>
        <v>Иванова Анна СергеевнаЕгоров Артур Владимирович</v>
      </c>
      <c r="O71" t="s">
        <v>28</v>
      </c>
      <c r="P71" t="s">
        <v>150</v>
      </c>
      <c r="Q71" t="s">
        <v>439</v>
      </c>
    </row>
    <row r="72" spans="2:17" x14ac:dyDescent="0.3">
      <c r="B72" t="s">
        <v>21</v>
      </c>
      <c r="C72" t="s">
        <v>217</v>
      </c>
      <c r="D72" s="22" t="str">
        <f t="shared" si="5"/>
        <v>2023-12-25</v>
      </c>
      <c r="E72" s="22" t="str">
        <f t="shared" si="6"/>
        <v>2023-12-25</v>
      </c>
      <c r="F72" s="22">
        <f t="shared" si="7"/>
        <v>0</v>
      </c>
      <c r="J72" t="str">
        <f t="shared" si="8"/>
        <v>Петров Владимир КирилловичОрлова София Станиславовна</v>
      </c>
      <c r="K72" t="s">
        <v>50</v>
      </c>
      <c r="L72" t="s">
        <v>27</v>
      </c>
      <c r="M72" t="s">
        <v>93</v>
      </c>
      <c r="N72" t="str">
        <f t="shared" si="9"/>
        <v>Яковлев Артем ИгоревичПопова Полина Алексеевна</v>
      </c>
      <c r="O72" t="s">
        <v>8</v>
      </c>
      <c r="P72" t="s">
        <v>256</v>
      </c>
      <c r="Q72" t="s">
        <v>439</v>
      </c>
    </row>
    <row r="73" spans="2:17" x14ac:dyDescent="0.3">
      <c r="B73" t="s">
        <v>21</v>
      </c>
      <c r="C73" t="s">
        <v>88</v>
      </c>
      <c r="D73" s="22" t="str">
        <f t="shared" si="5"/>
        <v>2023-11-09</v>
      </c>
      <c r="E73" s="22" t="str">
        <f t="shared" si="6"/>
        <v>2023-11-09</v>
      </c>
      <c r="F73" s="22">
        <f t="shared" si="7"/>
        <v>0</v>
      </c>
      <c r="J73" t="str">
        <f t="shared" si="8"/>
        <v>Сидорова Елена ВасильевнаПавлов Кирилл Артемович</v>
      </c>
      <c r="K73" t="s">
        <v>18</v>
      </c>
      <c r="L73" t="s">
        <v>94</v>
      </c>
      <c r="M73" t="s">
        <v>93</v>
      </c>
      <c r="N73" t="str">
        <f t="shared" si="9"/>
        <v>Громова Мария ИльиничнаВасильев Константин Геннадьевич</v>
      </c>
      <c r="O73" t="s">
        <v>14</v>
      </c>
      <c r="P73" t="s">
        <v>221</v>
      </c>
      <c r="Q73" t="s">
        <v>439</v>
      </c>
    </row>
    <row r="74" spans="2:17" x14ac:dyDescent="0.3">
      <c r="B74" t="s">
        <v>21</v>
      </c>
      <c r="C74" t="s">
        <v>197</v>
      </c>
      <c r="D74" s="22" t="str">
        <f t="shared" si="5"/>
        <v>2024-08-07</v>
      </c>
      <c r="E74" s="22" t="str">
        <f t="shared" si="6"/>
        <v>2024-08-07</v>
      </c>
      <c r="F74" s="22">
        <f t="shared" si="7"/>
        <v>0</v>
      </c>
      <c r="J74" t="str">
        <f t="shared" si="8"/>
        <v>Кузнецов Дмитрий ЛьвовичВасильев Матвей Андреевич</v>
      </c>
      <c r="K74" t="s">
        <v>10</v>
      </c>
      <c r="L74" t="s">
        <v>95</v>
      </c>
      <c r="M74" t="s">
        <v>93</v>
      </c>
      <c r="N74" t="str">
        <f t="shared" si="9"/>
        <v>Семенова Ирина ВалерьевнаНовиков Роман Романович</v>
      </c>
      <c r="O74" t="s">
        <v>12</v>
      </c>
      <c r="P74" t="s">
        <v>97</v>
      </c>
      <c r="Q74" t="s">
        <v>439</v>
      </c>
    </row>
    <row r="75" spans="2:17" x14ac:dyDescent="0.3">
      <c r="B75" t="s">
        <v>21</v>
      </c>
      <c r="C75" t="s">
        <v>192</v>
      </c>
      <c r="D75" s="22" t="str">
        <f t="shared" si="5"/>
        <v>2023-11-13</v>
      </c>
      <c r="E75" s="22" t="str">
        <f t="shared" si="6"/>
        <v>2024-04-29</v>
      </c>
      <c r="F75" s="22">
        <f t="shared" si="7"/>
        <v>168</v>
      </c>
      <c r="J75" t="str">
        <f t="shared" si="8"/>
        <v>Новикова Ольга ПетровнаСмирнов Павел Геннадьевич</v>
      </c>
      <c r="K75" t="s">
        <v>47</v>
      </c>
      <c r="L75" t="s">
        <v>56</v>
      </c>
      <c r="M75" t="s">
        <v>93</v>
      </c>
      <c r="N75" t="str">
        <f t="shared" si="9"/>
        <v>Семенова Ирина ВалерьевнаСтепанова Полина Артемовна</v>
      </c>
      <c r="O75" t="s">
        <v>12</v>
      </c>
      <c r="P75" t="s">
        <v>35</v>
      </c>
      <c r="Q75" t="s">
        <v>439</v>
      </c>
    </row>
    <row r="76" spans="2:17" x14ac:dyDescent="0.3">
      <c r="B76" t="s">
        <v>21</v>
      </c>
      <c r="C76" t="s">
        <v>199</v>
      </c>
      <c r="D76" s="22" t="str">
        <f t="shared" si="5"/>
        <v>2023-11-15</v>
      </c>
      <c r="E76" s="22" t="str">
        <f t="shared" si="6"/>
        <v>2023-11-15</v>
      </c>
      <c r="F76" s="22">
        <f t="shared" si="7"/>
        <v>0</v>
      </c>
      <c r="J76" t="str">
        <f t="shared" si="8"/>
        <v>Новикова Ольга ПетровнаЕгорова Мария Викторовна</v>
      </c>
      <c r="K76" t="s">
        <v>47</v>
      </c>
      <c r="L76" t="s">
        <v>96</v>
      </c>
      <c r="M76" t="s">
        <v>93</v>
      </c>
      <c r="N76" t="str">
        <f t="shared" si="9"/>
        <v>Громова Мария ИльиничнаМорозов Сергей Олегович</v>
      </c>
      <c r="O76" t="s">
        <v>14</v>
      </c>
      <c r="P76" t="s">
        <v>46</v>
      </c>
      <c r="Q76" t="s">
        <v>439</v>
      </c>
    </row>
    <row r="77" spans="2:17" x14ac:dyDescent="0.3">
      <c r="B77" t="s">
        <v>14</v>
      </c>
      <c r="C77" t="s">
        <v>176</v>
      </c>
      <c r="D77" s="22" t="str">
        <f t="shared" si="5"/>
        <v>2024-03-25</v>
      </c>
      <c r="E77" s="22" t="str">
        <f t="shared" si="6"/>
        <v>2024-03-25</v>
      </c>
      <c r="F77" s="22">
        <f t="shared" si="7"/>
        <v>0</v>
      </c>
      <c r="J77" t="str">
        <f t="shared" si="8"/>
        <v>Яковлев Артем ИгоревичНиколаев Артем Олегович</v>
      </c>
      <c r="K77" t="s">
        <v>8</v>
      </c>
      <c r="L77" t="s">
        <v>80</v>
      </c>
      <c r="M77" t="s">
        <v>93</v>
      </c>
      <c r="N77" t="str">
        <f t="shared" si="9"/>
        <v>Петров Владимир КирилловичКузнецов Георгий Кириллович</v>
      </c>
      <c r="O77" t="s">
        <v>50</v>
      </c>
      <c r="P77" t="s">
        <v>252</v>
      </c>
      <c r="Q77" t="s">
        <v>438</v>
      </c>
    </row>
    <row r="78" spans="2:17" x14ac:dyDescent="0.3">
      <c r="B78" t="s">
        <v>14</v>
      </c>
      <c r="C78" t="s">
        <v>71</v>
      </c>
      <c r="D78" s="22" t="str">
        <f t="shared" si="5"/>
        <v>2023-10-17</v>
      </c>
      <c r="E78" s="22" t="str">
        <f t="shared" si="6"/>
        <v>2023-10-17</v>
      </c>
      <c r="F78" s="22">
        <f t="shared" si="7"/>
        <v>0</v>
      </c>
      <c r="J78" t="str">
        <f t="shared" si="8"/>
        <v>Орлов Павел ДенисовичНовиков Роман Романович</v>
      </c>
      <c r="K78" t="s">
        <v>45</v>
      </c>
      <c r="L78" t="s">
        <v>97</v>
      </c>
      <c r="M78" t="s">
        <v>93</v>
      </c>
      <c r="N78" t="str">
        <f t="shared" si="9"/>
        <v>Орлов Павел ДенисовичСмирнов Дмитрий Никитич</v>
      </c>
      <c r="O78" t="s">
        <v>45</v>
      </c>
      <c r="P78" t="s">
        <v>165</v>
      </c>
      <c r="Q78" t="s">
        <v>438</v>
      </c>
    </row>
    <row r="79" spans="2:17" x14ac:dyDescent="0.3">
      <c r="B79" t="s">
        <v>14</v>
      </c>
      <c r="C79" t="s">
        <v>297</v>
      </c>
      <c r="D79" s="22" t="str">
        <f t="shared" si="5"/>
        <v>2024-02-05</v>
      </c>
      <c r="E79" s="22" t="str">
        <f t="shared" si="6"/>
        <v>2024-02-05</v>
      </c>
      <c r="F79" s="22">
        <f t="shared" si="7"/>
        <v>0</v>
      </c>
      <c r="J79" t="str">
        <f t="shared" si="8"/>
        <v>Петров Владимир КирилловичКузнецова Дарья Дмитриевна</v>
      </c>
      <c r="K79" t="s">
        <v>50</v>
      </c>
      <c r="L79" t="s">
        <v>43</v>
      </c>
      <c r="M79" t="s">
        <v>98</v>
      </c>
      <c r="N79" t="str">
        <f t="shared" si="9"/>
        <v>Семенова Ирина ВалерьевнаНиколаева Юлия Егоровна</v>
      </c>
      <c r="O79" t="s">
        <v>12</v>
      </c>
      <c r="P79" t="s">
        <v>126</v>
      </c>
      <c r="Q79" t="s">
        <v>438</v>
      </c>
    </row>
    <row r="80" spans="2:17" x14ac:dyDescent="0.3">
      <c r="B80" t="s">
        <v>14</v>
      </c>
      <c r="C80" t="s">
        <v>221</v>
      </c>
      <c r="D80" s="22" t="str">
        <f t="shared" si="5"/>
        <v>2024-08-05</v>
      </c>
      <c r="E80" s="22" t="str">
        <f t="shared" si="6"/>
        <v>2024-08-05</v>
      </c>
      <c r="F80" s="22">
        <f t="shared" si="7"/>
        <v>0</v>
      </c>
      <c r="J80" t="str">
        <f t="shared" si="8"/>
        <v>Петров Владимир КирилловичСидорова Ксения Дмитриевна</v>
      </c>
      <c r="K80" t="s">
        <v>50</v>
      </c>
      <c r="L80" t="s">
        <v>99</v>
      </c>
      <c r="M80" t="s">
        <v>98</v>
      </c>
      <c r="N80" t="str">
        <f t="shared" si="9"/>
        <v>Петров Владимир КирилловичЕгоров Артур Егорович</v>
      </c>
      <c r="O80" t="s">
        <v>50</v>
      </c>
      <c r="P80" t="s">
        <v>238</v>
      </c>
      <c r="Q80" t="s">
        <v>438</v>
      </c>
    </row>
    <row r="81" spans="2:17" x14ac:dyDescent="0.3">
      <c r="B81" t="s">
        <v>14</v>
      </c>
      <c r="C81" t="s">
        <v>89</v>
      </c>
      <c r="D81" s="22" t="str">
        <f t="shared" si="5"/>
        <v>2024-06-11</v>
      </c>
      <c r="E81" s="22" t="str">
        <f t="shared" si="6"/>
        <v>2024-06-11</v>
      </c>
      <c r="F81" s="22">
        <f t="shared" si="7"/>
        <v>0</v>
      </c>
      <c r="J81" t="str">
        <f t="shared" si="8"/>
        <v>Новикова Ольга ПетровнаЛебедев Артем Кириллович</v>
      </c>
      <c r="K81" t="s">
        <v>47</v>
      </c>
      <c r="L81" t="s">
        <v>49</v>
      </c>
      <c r="M81" t="s">
        <v>98</v>
      </c>
      <c r="N81" t="str">
        <f t="shared" si="9"/>
        <v>Яковлев Артем ИгоревичСтепанова Мария Ильинична</v>
      </c>
      <c r="O81" t="s">
        <v>8</v>
      </c>
      <c r="P81" t="s">
        <v>338</v>
      </c>
      <c r="Q81" t="s">
        <v>438</v>
      </c>
    </row>
    <row r="82" spans="2:17" x14ac:dyDescent="0.3">
      <c r="B82" t="s">
        <v>14</v>
      </c>
      <c r="C82" t="s">
        <v>235</v>
      </c>
      <c r="D82" s="22" t="str">
        <f t="shared" si="5"/>
        <v>2024-06-18</v>
      </c>
      <c r="E82" s="22" t="str">
        <f t="shared" si="6"/>
        <v>2024-06-18</v>
      </c>
      <c r="F82" s="22">
        <f t="shared" si="7"/>
        <v>0</v>
      </c>
      <c r="J82" t="str">
        <f t="shared" si="8"/>
        <v>Кузнецов Дмитрий ЛьвовичФедоров Дмитрий Михайлович</v>
      </c>
      <c r="K82" t="s">
        <v>10</v>
      </c>
      <c r="L82" t="s">
        <v>100</v>
      </c>
      <c r="M82" t="s">
        <v>98</v>
      </c>
      <c r="N82" t="str">
        <f t="shared" si="9"/>
        <v>Яковлев Артем ИгоревичКозлова София Станиславовна</v>
      </c>
      <c r="O82" t="s">
        <v>8</v>
      </c>
      <c r="P82" t="s">
        <v>54</v>
      </c>
      <c r="Q82" t="s">
        <v>438</v>
      </c>
    </row>
    <row r="83" spans="2:17" x14ac:dyDescent="0.3">
      <c r="B83" t="s">
        <v>14</v>
      </c>
      <c r="C83" t="s">
        <v>103</v>
      </c>
      <c r="D83" s="22" t="str">
        <f t="shared" si="5"/>
        <v>2023-11-06</v>
      </c>
      <c r="E83" s="22" t="str">
        <f t="shared" si="6"/>
        <v>2023-11-06</v>
      </c>
      <c r="F83" s="22">
        <f t="shared" si="7"/>
        <v>0</v>
      </c>
      <c r="J83" t="str">
        <f t="shared" si="8"/>
        <v>Новикова Ольга ПетровнаОрлова Полина Олеговна</v>
      </c>
      <c r="K83" t="s">
        <v>47</v>
      </c>
      <c r="L83" t="s">
        <v>101</v>
      </c>
      <c r="M83" t="s">
        <v>98</v>
      </c>
      <c r="N83" t="str">
        <f t="shared" si="9"/>
        <v>Белов Алексей КонстантиновичЕгорова Наталья Дмитриевна</v>
      </c>
      <c r="O83" t="s">
        <v>21</v>
      </c>
      <c r="P83" t="s">
        <v>251</v>
      </c>
      <c r="Q83" t="s">
        <v>437</v>
      </c>
    </row>
    <row r="84" spans="2:17" x14ac:dyDescent="0.3">
      <c r="B84" t="s">
        <v>14</v>
      </c>
      <c r="C84" t="s">
        <v>53</v>
      </c>
      <c r="D84" s="22" t="str">
        <f t="shared" si="5"/>
        <v>2023-09-19</v>
      </c>
      <c r="E84" s="22" t="str">
        <f t="shared" si="6"/>
        <v>2024-03-18</v>
      </c>
      <c r="F84" s="22">
        <f t="shared" si="7"/>
        <v>181</v>
      </c>
      <c r="J84" t="str">
        <f t="shared" si="8"/>
        <v>Сидорова Елена ВасильевнаЕгорова Мария Викторовна</v>
      </c>
      <c r="K84" t="s">
        <v>18</v>
      </c>
      <c r="L84" t="s">
        <v>96</v>
      </c>
      <c r="M84" t="s">
        <v>102</v>
      </c>
      <c r="N84" t="str">
        <f t="shared" si="9"/>
        <v>Кузнецов Дмитрий ЛьвовичКузнецов Иван Ильич</v>
      </c>
      <c r="O84" t="s">
        <v>10</v>
      </c>
      <c r="P84" t="s">
        <v>178</v>
      </c>
      <c r="Q84" t="s">
        <v>436</v>
      </c>
    </row>
    <row r="85" spans="2:17" x14ac:dyDescent="0.3">
      <c r="B85" t="s">
        <v>14</v>
      </c>
      <c r="C85" t="s">
        <v>25</v>
      </c>
      <c r="D85" s="22" t="str">
        <f t="shared" si="5"/>
        <v>2024-04-05</v>
      </c>
      <c r="E85" s="22" t="str">
        <f t="shared" si="6"/>
        <v>2024-04-05</v>
      </c>
      <c r="F85" s="22">
        <f t="shared" si="7"/>
        <v>0</v>
      </c>
      <c r="J85" t="str">
        <f t="shared" si="8"/>
        <v>Фролов Сергей ВикторовичФедоров Дмитрий Михайлович</v>
      </c>
      <c r="K85" t="s">
        <v>40</v>
      </c>
      <c r="L85" t="s">
        <v>100</v>
      </c>
      <c r="M85" t="s">
        <v>102</v>
      </c>
      <c r="N85" t="str">
        <f t="shared" si="9"/>
        <v>Громова Мария ИльиничнаИванов Дмитрий Павлович</v>
      </c>
      <c r="O85" t="s">
        <v>14</v>
      </c>
      <c r="P85" t="s">
        <v>124</v>
      </c>
      <c r="Q85" t="s">
        <v>436</v>
      </c>
    </row>
    <row r="86" spans="2:17" x14ac:dyDescent="0.3">
      <c r="B86" t="s">
        <v>14</v>
      </c>
      <c r="C86" t="s">
        <v>136</v>
      </c>
      <c r="D86" s="22" t="str">
        <f t="shared" si="5"/>
        <v>2024-03-25</v>
      </c>
      <c r="E86" s="22" t="str">
        <f t="shared" si="6"/>
        <v>2024-08-21</v>
      </c>
      <c r="F86" s="22">
        <f t="shared" si="7"/>
        <v>149</v>
      </c>
      <c r="J86" t="str">
        <f t="shared" si="8"/>
        <v>Фролов Сергей ВикторовичВолков Александр Юрьевич</v>
      </c>
      <c r="K86" t="s">
        <v>40</v>
      </c>
      <c r="L86" t="s">
        <v>103</v>
      </c>
      <c r="M86" t="s">
        <v>104</v>
      </c>
      <c r="N86" t="str">
        <f t="shared" si="9"/>
        <v>Сидорова Елена ВасильевнаОрлова Валерия Юрьевна</v>
      </c>
      <c r="O86" t="s">
        <v>18</v>
      </c>
      <c r="P86" t="s">
        <v>258</v>
      </c>
      <c r="Q86" t="s">
        <v>435</v>
      </c>
    </row>
    <row r="87" spans="2:17" x14ac:dyDescent="0.3">
      <c r="B87" t="s">
        <v>14</v>
      </c>
      <c r="C87" t="s">
        <v>114</v>
      </c>
      <c r="D87" s="22" t="str">
        <f t="shared" si="5"/>
        <v>2024-01-05</v>
      </c>
      <c r="E87" s="22" t="str">
        <f t="shared" si="6"/>
        <v>2024-01-05</v>
      </c>
      <c r="F87" s="22">
        <f t="shared" si="7"/>
        <v>0</v>
      </c>
      <c r="J87" t="str">
        <f t="shared" si="8"/>
        <v>Орлов Павел ДенисовичНовикова Ирина Геннадьевна</v>
      </c>
      <c r="K87" t="s">
        <v>45</v>
      </c>
      <c r="L87" t="s">
        <v>105</v>
      </c>
      <c r="M87" t="s">
        <v>104</v>
      </c>
      <c r="N87" t="str">
        <f t="shared" si="9"/>
        <v>Яковлев Артем ИгоревичПетров Иван Егорович</v>
      </c>
      <c r="O87" t="s">
        <v>8</v>
      </c>
      <c r="P87" t="s">
        <v>149</v>
      </c>
      <c r="Q87" t="s">
        <v>435</v>
      </c>
    </row>
    <row r="88" spans="2:17" x14ac:dyDescent="0.3">
      <c r="B88" t="s">
        <v>14</v>
      </c>
      <c r="C88" t="s">
        <v>112</v>
      </c>
      <c r="D88" s="22" t="str">
        <f t="shared" si="5"/>
        <v>2024-01-15</v>
      </c>
      <c r="E88" s="22" t="str">
        <f t="shared" si="6"/>
        <v>2024-01-15</v>
      </c>
      <c r="F88" s="22">
        <f t="shared" si="7"/>
        <v>0</v>
      </c>
      <c r="J88" t="str">
        <f t="shared" si="8"/>
        <v>Иванова Анна СергеевнаПопова Людмила Ивановна</v>
      </c>
      <c r="K88" t="s">
        <v>28</v>
      </c>
      <c r="L88" t="s">
        <v>106</v>
      </c>
      <c r="M88" t="s">
        <v>104</v>
      </c>
      <c r="N88" t="str">
        <f t="shared" si="9"/>
        <v>Сидорова Елена ВасильевнаЕгоров Максим Олегович</v>
      </c>
      <c r="O88" t="s">
        <v>18</v>
      </c>
      <c r="P88" t="s">
        <v>114</v>
      </c>
      <c r="Q88" t="s">
        <v>435</v>
      </c>
    </row>
    <row r="89" spans="2:17" x14ac:dyDescent="0.3">
      <c r="B89" t="s">
        <v>14</v>
      </c>
      <c r="C89" t="s">
        <v>144</v>
      </c>
      <c r="D89" s="22" t="str">
        <f t="shared" si="5"/>
        <v>2024-06-17</v>
      </c>
      <c r="E89" s="22" t="str">
        <f t="shared" si="6"/>
        <v>2024-06-17</v>
      </c>
      <c r="F89" s="22">
        <f t="shared" si="7"/>
        <v>0</v>
      </c>
      <c r="J89" t="str">
        <f t="shared" si="8"/>
        <v>Новикова Ольга ПетровнаМорозова Светлана Артемовна</v>
      </c>
      <c r="K89" t="s">
        <v>47</v>
      </c>
      <c r="L89" t="s">
        <v>107</v>
      </c>
      <c r="M89" t="s">
        <v>108</v>
      </c>
      <c r="N89" t="str">
        <f t="shared" si="9"/>
        <v>Иванова Анна СергеевнаОрлова Юлия Алексеевна</v>
      </c>
      <c r="O89" t="s">
        <v>28</v>
      </c>
      <c r="P89" t="s">
        <v>171</v>
      </c>
      <c r="Q89" t="s">
        <v>434</v>
      </c>
    </row>
    <row r="90" spans="2:17" x14ac:dyDescent="0.3">
      <c r="B90" t="s">
        <v>14</v>
      </c>
      <c r="C90" t="s">
        <v>251</v>
      </c>
      <c r="D90" s="22" t="str">
        <f t="shared" si="5"/>
        <v>2024-01-01</v>
      </c>
      <c r="E90" s="22" t="str">
        <f t="shared" si="6"/>
        <v>2024-01-01</v>
      </c>
      <c r="F90" s="22">
        <f t="shared" si="7"/>
        <v>0</v>
      </c>
      <c r="J90" t="str">
        <f t="shared" si="8"/>
        <v>Белов Алексей КонстантиновичПопов Иван Михайлович</v>
      </c>
      <c r="K90" t="s">
        <v>21</v>
      </c>
      <c r="L90" t="s">
        <v>109</v>
      </c>
      <c r="M90" t="s">
        <v>108</v>
      </c>
      <c r="N90" t="str">
        <f t="shared" si="9"/>
        <v>Кузнецов Дмитрий ЛьвовичЛебедев Никита Сергеевич</v>
      </c>
      <c r="O90" t="s">
        <v>10</v>
      </c>
      <c r="P90" t="s">
        <v>156</v>
      </c>
      <c r="Q90" t="s">
        <v>434</v>
      </c>
    </row>
    <row r="91" spans="2:17" x14ac:dyDescent="0.3">
      <c r="B91" t="s">
        <v>14</v>
      </c>
      <c r="C91" t="s">
        <v>168</v>
      </c>
      <c r="D91" s="22" t="str">
        <f t="shared" si="5"/>
        <v>2024-03-11</v>
      </c>
      <c r="E91" s="22" t="str">
        <f t="shared" si="6"/>
        <v>2024-03-11</v>
      </c>
      <c r="F91" s="22">
        <f t="shared" si="7"/>
        <v>0</v>
      </c>
      <c r="J91" t="str">
        <f t="shared" si="8"/>
        <v>Ткаченко Андрей ОлеговичНовиков Михаил Владимирович</v>
      </c>
      <c r="K91" t="s">
        <v>5</v>
      </c>
      <c r="L91" t="s">
        <v>36</v>
      </c>
      <c r="M91" t="s">
        <v>108</v>
      </c>
      <c r="N91" t="str">
        <f t="shared" si="9"/>
        <v>Петров Владимир КирилловичПопова Виктория Геннадьевна</v>
      </c>
      <c r="O91" t="s">
        <v>50</v>
      </c>
      <c r="P91" t="s">
        <v>167</v>
      </c>
      <c r="Q91" t="s">
        <v>434</v>
      </c>
    </row>
    <row r="92" spans="2:17" x14ac:dyDescent="0.3">
      <c r="B92" t="s">
        <v>14</v>
      </c>
      <c r="C92" t="s">
        <v>37</v>
      </c>
      <c r="D92" s="22" t="str">
        <f t="shared" si="5"/>
        <v>2023-09-08</v>
      </c>
      <c r="E92" s="22" t="str">
        <f t="shared" si="6"/>
        <v>2024-04-17</v>
      </c>
      <c r="F92" s="22">
        <f t="shared" si="7"/>
        <v>222</v>
      </c>
      <c r="J92" t="str">
        <f t="shared" si="8"/>
        <v>Сидорова Елена ВасильевнаСидоров Роман Кириллович</v>
      </c>
      <c r="K92" t="s">
        <v>18</v>
      </c>
      <c r="L92" t="s">
        <v>110</v>
      </c>
      <c r="M92" t="s">
        <v>108</v>
      </c>
      <c r="N92" t="str">
        <f t="shared" si="9"/>
        <v>Орлов Павел ДенисовичАлексеев Матвей Александрович</v>
      </c>
      <c r="O92" t="s">
        <v>45</v>
      </c>
      <c r="P92" t="s">
        <v>305</v>
      </c>
      <c r="Q92" t="s">
        <v>434</v>
      </c>
    </row>
    <row r="93" spans="2:17" x14ac:dyDescent="0.3">
      <c r="B93" t="s">
        <v>14</v>
      </c>
      <c r="C93" t="s">
        <v>124</v>
      </c>
      <c r="D93" s="22" t="str">
        <f t="shared" si="5"/>
        <v>2024-07-31</v>
      </c>
      <c r="E93" s="22" t="str">
        <f t="shared" si="6"/>
        <v>2024-07-31</v>
      </c>
      <c r="F93" s="22">
        <f t="shared" si="7"/>
        <v>0</v>
      </c>
      <c r="J93" t="str">
        <f t="shared" si="8"/>
        <v>Семенова Ирина ВалерьевнаПопова Людмила Ивановна</v>
      </c>
      <c r="K93" t="s">
        <v>12</v>
      </c>
      <c r="L93" t="s">
        <v>106</v>
      </c>
      <c r="M93" t="s">
        <v>108</v>
      </c>
      <c r="N93" t="str">
        <f t="shared" si="9"/>
        <v>Громова Мария ИльиничнаЛебедева Анна Викторовна</v>
      </c>
      <c r="O93" t="s">
        <v>14</v>
      </c>
      <c r="P93" t="s">
        <v>48</v>
      </c>
      <c r="Q93" t="s">
        <v>434</v>
      </c>
    </row>
    <row r="94" spans="2:17" x14ac:dyDescent="0.3">
      <c r="B94" t="s">
        <v>14</v>
      </c>
      <c r="C94" t="s">
        <v>284</v>
      </c>
      <c r="D94" s="22" t="str">
        <f t="shared" si="5"/>
        <v>2024-07-01</v>
      </c>
      <c r="E94" s="22" t="str">
        <f t="shared" si="6"/>
        <v>2024-07-01</v>
      </c>
      <c r="F94" s="22">
        <f t="shared" si="7"/>
        <v>0</v>
      </c>
      <c r="J94" t="str">
        <f t="shared" si="8"/>
        <v>Орлов Павел ДенисовичСеменов Максим Геннадьевич</v>
      </c>
      <c r="K94" t="s">
        <v>45</v>
      </c>
      <c r="L94" t="s">
        <v>111</v>
      </c>
      <c r="M94" t="s">
        <v>108</v>
      </c>
      <c r="N94" t="str">
        <f t="shared" si="9"/>
        <v>Громова Мария ИльиничнаНиколаев Артем Олегович</v>
      </c>
      <c r="O94" t="s">
        <v>14</v>
      </c>
      <c r="P94" t="s">
        <v>80</v>
      </c>
      <c r="Q94" t="s">
        <v>433</v>
      </c>
    </row>
    <row r="95" spans="2:17" x14ac:dyDescent="0.3">
      <c r="B95" t="s">
        <v>14</v>
      </c>
      <c r="C95" t="s">
        <v>222</v>
      </c>
      <c r="D95" s="22" t="str">
        <f t="shared" si="5"/>
        <v>2023-11-30</v>
      </c>
      <c r="E95" s="22" t="str">
        <f t="shared" si="6"/>
        <v>2023-11-30</v>
      </c>
      <c r="F95" s="22">
        <f t="shared" si="7"/>
        <v>0</v>
      </c>
      <c r="J95" t="str">
        <f t="shared" si="8"/>
        <v>Новикова Ольга ПетровнаЕгоров Никита Ильич</v>
      </c>
      <c r="K95" t="s">
        <v>47</v>
      </c>
      <c r="L95" t="s">
        <v>112</v>
      </c>
      <c r="M95" t="s">
        <v>113</v>
      </c>
      <c r="N95" t="str">
        <f t="shared" si="9"/>
        <v>Иванова Анна СергеевнаПетров Алексей Олегович</v>
      </c>
      <c r="O95" t="s">
        <v>28</v>
      </c>
      <c r="P95" t="s">
        <v>190</v>
      </c>
      <c r="Q95" t="s">
        <v>433</v>
      </c>
    </row>
    <row r="96" spans="2:17" x14ac:dyDescent="0.3">
      <c r="B96" t="s">
        <v>14</v>
      </c>
      <c r="C96" t="s">
        <v>209</v>
      </c>
      <c r="D96" s="22" t="str">
        <f t="shared" si="5"/>
        <v>2024-07-15</v>
      </c>
      <c r="E96" s="22" t="str">
        <f t="shared" si="6"/>
        <v>2024-07-15</v>
      </c>
      <c r="F96" s="22">
        <f t="shared" si="7"/>
        <v>0</v>
      </c>
      <c r="J96" t="str">
        <f t="shared" si="8"/>
        <v>Сидорова Елена ВасильевнаЕгоров Максим Олегович</v>
      </c>
      <c r="K96" t="s">
        <v>18</v>
      </c>
      <c r="L96" t="s">
        <v>114</v>
      </c>
      <c r="M96" t="s">
        <v>113</v>
      </c>
      <c r="N96" t="str">
        <f t="shared" si="9"/>
        <v>Ткаченко Андрей ОлеговичЛебедева Елена Олеговна</v>
      </c>
      <c r="O96" t="s">
        <v>5</v>
      </c>
      <c r="P96" t="s">
        <v>388</v>
      </c>
      <c r="Q96" t="s">
        <v>433</v>
      </c>
    </row>
    <row r="97" spans="2:17" x14ac:dyDescent="0.3">
      <c r="B97" t="s">
        <v>14</v>
      </c>
      <c r="C97" t="s">
        <v>54</v>
      </c>
      <c r="D97" s="22" t="str">
        <f t="shared" si="5"/>
        <v>2023-11-27</v>
      </c>
      <c r="E97" s="22" t="str">
        <f t="shared" si="6"/>
        <v>2024-05-06</v>
      </c>
      <c r="F97" s="22">
        <f t="shared" si="7"/>
        <v>161</v>
      </c>
      <c r="J97" t="str">
        <f t="shared" si="8"/>
        <v>Семенова Ирина ВалерьевнаСидоров Роман Кириллович</v>
      </c>
      <c r="K97" t="s">
        <v>12</v>
      </c>
      <c r="L97" t="s">
        <v>110</v>
      </c>
      <c r="M97" t="s">
        <v>113</v>
      </c>
      <c r="N97" t="str">
        <f t="shared" si="9"/>
        <v>Новикова Ольга ПетровнаВасильев Матвей Геннадьевич</v>
      </c>
      <c r="O97" t="s">
        <v>47</v>
      </c>
      <c r="P97" t="s">
        <v>160</v>
      </c>
      <c r="Q97" t="s">
        <v>433</v>
      </c>
    </row>
    <row r="98" spans="2:17" x14ac:dyDescent="0.3">
      <c r="B98" t="s">
        <v>14</v>
      </c>
      <c r="C98" t="s">
        <v>186</v>
      </c>
      <c r="D98" s="22" t="str">
        <f t="shared" si="5"/>
        <v>2023-11-08</v>
      </c>
      <c r="E98" s="22" t="str">
        <f t="shared" si="6"/>
        <v>2024-01-30</v>
      </c>
      <c r="F98" s="22">
        <f t="shared" si="7"/>
        <v>83</v>
      </c>
      <c r="J98" t="str">
        <f t="shared" si="8"/>
        <v>Белов Алексей КонстантиновичОрлов Георгий Кириллович</v>
      </c>
      <c r="K98" t="s">
        <v>21</v>
      </c>
      <c r="L98" t="s">
        <v>30</v>
      </c>
      <c r="M98" t="s">
        <v>113</v>
      </c>
      <c r="N98" t="str">
        <f t="shared" si="9"/>
        <v>Яковлев Артем ИгоревичСмирнов Павел Геннадьевич</v>
      </c>
      <c r="O98" t="s">
        <v>8</v>
      </c>
      <c r="P98" t="s">
        <v>56</v>
      </c>
      <c r="Q98" t="s">
        <v>432</v>
      </c>
    </row>
    <row r="99" spans="2:17" x14ac:dyDescent="0.3">
      <c r="B99" t="s">
        <v>14</v>
      </c>
      <c r="C99" t="s">
        <v>178</v>
      </c>
      <c r="D99" s="22" t="str">
        <f t="shared" si="5"/>
        <v>2024-07-09</v>
      </c>
      <c r="E99" s="22" t="str">
        <f t="shared" si="6"/>
        <v>2024-07-09</v>
      </c>
      <c r="F99" s="22">
        <f t="shared" si="7"/>
        <v>0</v>
      </c>
      <c r="J99" t="str">
        <f t="shared" si="8"/>
        <v>Кузнецов Дмитрий ЛьвовичЛебедев Дмитрий Викторович</v>
      </c>
      <c r="K99" t="s">
        <v>10</v>
      </c>
      <c r="L99" t="s">
        <v>85</v>
      </c>
      <c r="M99" t="s">
        <v>113</v>
      </c>
      <c r="N99" t="str">
        <f t="shared" si="9"/>
        <v>Ткаченко Андрей ОлеговичПавлова София Владимировна</v>
      </c>
      <c r="O99" t="s">
        <v>5</v>
      </c>
      <c r="P99" t="s">
        <v>394</v>
      </c>
      <c r="Q99" t="s">
        <v>432</v>
      </c>
    </row>
    <row r="100" spans="2:17" x14ac:dyDescent="0.3">
      <c r="B100" t="s">
        <v>14</v>
      </c>
      <c r="C100" t="s">
        <v>20</v>
      </c>
      <c r="D100" s="22" t="str">
        <f t="shared" si="5"/>
        <v>2024-03-14</v>
      </c>
      <c r="E100" s="22" t="str">
        <f t="shared" si="6"/>
        <v>2024-03-14</v>
      </c>
      <c r="F100" s="22">
        <f t="shared" si="7"/>
        <v>0</v>
      </c>
      <c r="J100" t="str">
        <f t="shared" si="8"/>
        <v>Ткаченко Андрей ОлеговичМорозова София Геннадьевна</v>
      </c>
      <c r="K100" t="s">
        <v>5</v>
      </c>
      <c r="L100" t="s">
        <v>115</v>
      </c>
      <c r="M100" t="s">
        <v>113</v>
      </c>
      <c r="N100" t="str">
        <f t="shared" si="9"/>
        <v>Сидорова Елена ВасильевнаНовиков Михаил Владимирович</v>
      </c>
      <c r="O100" t="s">
        <v>18</v>
      </c>
      <c r="P100" t="s">
        <v>36</v>
      </c>
      <c r="Q100" t="s">
        <v>432</v>
      </c>
    </row>
    <row r="101" spans="2:17" x14ac:dyDescent="0.3">
      <c r="B101" t="s">
        <v>14</v>
      </c>
      <c r="C101" t="s">
        <v>225</v>
      </c>
      <c r="D101" s="22" t="str">
        <f t="shared" si="5"/>
        <v>2024-05-13</v>
      </c>
      <c r="E101" s="22" t="str">
        <f t="shared" si="6"/>
        <v>2024-05-13</v>
      </c>
      <c r="F101" s="22">
        <f t="shared" si="7"/>
        <v>0</v>
      </c>
      <c r="J101" t="str">
        <f t="shared" si="8"/>
        <v>Белов Алексей КонстантиновичНовиков Иван Андреевич</v>
      </c>
      <c r="K101" t="s">
        <v>21</v>
      </c>
      <c r="L101" t="s">
        <v>81</v>
      </c>
      <c r="M101" t="s">
        <v>113</v>
      </c>
      <c r="N101" t="str">
        <f t="shared" si="9"/>
        <v>Ткаченко Андрей ОлеговичКозлова Татьяна Михайловна</v>
      </c>
      <c r="O101" t="s">
        <v>5</v>
      </c>
      <c r="P101" t="s">
        <v>61</v>
      </c>
      <c r="Q101" t="s">
        <v>432</v>
      </c>
    </row>
    <row r="102" spans="2:17" x14ac:dyDescent="0.3">
      <c r="B102" t="s">
        <v>14</v>
      </c>
      <c r="C102" t="s">
        <v>43</v>
      </c>
      <c r="D102" s="22" t="str">
        <f t="shared" si="5"/>
        <v>2023-12-01</v>
      </c>
      <c r="E102" s="22" t="str">
        <f t="shared" si="6"/>
        <v>2024-07-15</v>
      </c>
      <c r="F102" s="22">
        <f t="shared" si="7"/>
        <v>227</v>
      </c>
      <c r="J102" t="str">
        <f t="shared" si="8"/>
        <v>Орлов Павел ДенисовичОрлов Матвей Алексеевич</v>
      </c>
      <c r="K102" t="s">
        <v>45</v>
      </c>
      <c r="L102" t="s">
        <v>116</v>
      </c>
      <c r="M102" t="s">
        <v>113</v>
      </c>
      <c r="N102" t="str">
        <f t="shared" si="9"/>
        <v>Орлов Павел ДенисовичСидорова Александра Александровна</v>
      </c>
      <c r="O102" t="s">
        <v>45</v>
      </c>
      <c r="P102" t="s">
        <v>135</v>
      </c>
      <c r="Q102" t="s">
        <v>431</v>
      </c>
    </row>
    <row r="103" spans="2:17" x14ac:dyDescent="0.3">
      <c r="B103" t="s">
        <v>14</v>
      </c>
      <c r="C103" t="s">
        <v>49</v>
      </c>
      <c r="D103" s="22" t="str">
        <f t="shared" si="5"/>
        <v>2024-05-06</v>
      </c>
      <c r="E103" s="22" t="str">
        <f t="shared" si="6"/>
        <v>2024-05-06</v>
      </c>
      <c r="F103" s="22">
        <f t="shared" si="7"/>
        <v>0</v>
      </c>
      <c r="J103" t="str">
        <f t="shared" si="8"/>
        <v>Яковлев Артем ИгоревичСмирнова Алиса Сергеевна</v>
      </c>
      <c r="K103" t="s">
        <v>8</v>
      </c>
      <c r="L103" t="s">
        <v>117</v>
      </c>
      <c r="M103" t="s">
        <v>118</v>
      </c>
      <c r="N103" t="str">
        <f t="shared" si="9"/>
        <v>Ткаченко Андрей ОлеговичПавлов Георгий Александрович</v>
      </c>
      <c r="O103" t="s">
        <v>5</v>
      </c>
      <c r="P103" t="s">
        <v>273</v>
      </c>
      <c r="Q103" t="s">
        <v>430</v>
      </c>
    </row>
    <row r="104" spans="2:17" x14ac:dyDescent="0.3">
      <c r="B104" t="s">
        <v>14</v>
      </c>
      <c r="C104" t="s">
        <v>59</v>
      </c>
      <c r="D104" s="22" t="str">
        <f t="shared" si="5"/>
        <v>2023-09-12</v>
      </c>
      <c r="E104" s="22" t="str">
        <f t="shared" si="6"/>
        <v>2023-09-12</v>
      </c>
      <c r="F104" s="22">
        <f t="shared" si="7"/>
        <v>0</v>
      </c>
      <c r="J104" t="str">
        <f t="shared" si="8"/>
        <v>Яковлев Артем ИгоревичПавлов Георгий Андреевич</v>
      </c>
      <c r="K104" t="s">
        <v>8</v>
      </c>
      <c r="L104" t="s">
        <v>72</v>
      </c>
      <c r="M104" t="s">
        <v>118</v>
      </c>
      <c r="N104" t="str">
        <f t="shared" si="9"/>
        <v>Сидорова Елена ВасильевнаМорозов Андрей Никитич</v>
      </c>
      <c r="O104" t="s">
        <v>18</v>
      </c>
      <c r="P104" t="s">
        <v>147</v>
      </c>
      <c r="Q104" t="s">
        <v>430</v>
      </c>
    </row>
    <row r="105" spans="2:17" x14ac:dyDescent="0.3">
      <c r="B105" t="s">
        <v>14</v>
      </c>
      <c r="C105" t="s">
        <v>85</v>
      </c>
      <c r="D105" s="22" t="str">
        <f t="shared" si="5"/>
        <v>2024-01-22</v>
      </c>
      <c r="E105" s="22" t="str">
        <f t="shared" si="6"/>
        <v>2024-01-22</v>
      </c>
      <c r="F105" s="22">
        <f t="shared" si="7"/>
        <v>0</v>
      </c>
      <c r="J105" t="str">
        <f t="shared" si="8"/>
        <v>Сидорова Елена ВасильевнаЕгорова Мария Викторовна</v>
      </c>
      <c r="K105" t="s">
        <v>18</v>
      </c>
      <c r="L105" t="s">
        <v>96</v>
      </c>
      <c r="M105" t="s">
        <v>118</v>
      </c>
      <c r="N105" t="str">
        <f t="shared" si="9"/>
        <v>Белов Алексей КонстантиновичСтепанов Александр Станиславович</v>
      </c>
      <c r="O105" t="s">
        <v>21</v>
      </c>
      <c r="P105" t="s">
        <v>122</v>
      </c>
      <c r="Q105" t="s">
        <v>430</v>
      </c>
    </row>
    <row r="106" spans="2:17" x14ac:dyDescent="0.3">
      <c r="B106" t="s">
        <v>14</v>
      </c>
      <c r="C106" t="s">
        <v>262</v>
      </c>
      <c r="D106" s="22" t="str">
        <f t="shared" si="5"/>
        <v>2024-01-04</v>
      </c>
      <c r="E106" s="22" t="str">
        <f t="shared" si="6"/>
        <v>2024-01-04</v>
      </c>
      <c r="F106" s="22">
        <f t="shared" si="7"/>
        <v>0</v>
      </c>
      <c r="J106" t="str">
        <f t="shared" si="8"/>
        <v>Иванова Анна СергеевнаСеменова Полина Артемовна</v>
      </c>
      <c r="K106" t="s">
        <v>28</v>
      </c>
      <c r="L106" t="s">
        <v>119</v>
      </c>
      <c r="M106" t="s">
        <v>120</v>
      </c>
      <c r="N106" t="str">
        <f t="shared" si="9"/>
        <v>Петров Владимир КирилловичСидоров Александр Артемович</v>
      </c>
      <c r="O106" t="s">
        <v>50</v>
      </c>
      <c r="P106" t="s">
        <v>77</v>
      </c>
      <c r="Q106" t="s">
        <v>429</v>
      </c>
    </row>
    <row r="107" spans="2:17" x14ac:dyDescent="0.3">
      <c r="B107" t="s">
        <v>14</v>
      </c>
      <c r="C107" t="s">
        <v>51</v>
      </c>
      <c r="D107" s="22" t="str">
        <f t="shared" si="5"/>
        <v>2023-11-22</v>
      </c>
      <c r="E107" s="22" t="str">
        <f t="shared" si="6"/>
        <v>2023-11-22</v>
      </c>
      <c r="F107" s="22">
        <f t="shared" si="7"/>
        <v>0</v>
      </c>
      <c r="J107" t="str">
        <f t="shared" si="8"/>
        <v>Кузнецов Дмитрий ЛьвовичМорозова София Геннадьевна</v>
      </c>
      <c r="K107" t="s">
        <v>10</v>
      </c>
      <c r="L107" t="s">
        <v>115</v>
      </c>
      <c r="M107" t="s">
        <v>120</v>
      </c>
      <c r="N107" t="str">
        <f t="shared" si="9"/>
        <v>Орлов Павел ДенисовичЛебедев Владимир Егорович</v>
      </c>
      <c r="O107" t="s">
        <v>45</v>
      </c>
      <c r="P107" t="s">
        <v>59</v>
      </c>
      <c r="Q107" t="s">
        <v>429</v>
      </c>
    </row>
    <row r="108" spans="2:17" x14ac:dyDescent="0.3">
      <c r="B108" t="s">
        <v>14</v>
      </c>
      <c r="C108" t="s">
        <v>183</v>
      </c>
      <c r="D108" s="22" t="str">
        <f t="shared" si="5"/>
        <v>2023-11-08</v>
      </c>
      <c r="E108" s="22" t="str">
        <f t="shared" si="6"/>
        <v>2023-11-08</v>
      </c>
      <c r="F108" s="22">
        <f t="shared" si="7"/>
        <v>0</v>
      </c>
      <c r="J108" t="str">
        <f t="shared" si="8"/>
        <v>Петров Владимир КирилловичФедоров Дмитрий Михайлович</v>
      </c>
      <c r="K108" t="s">
        <v>50</v>
      </c>
      <c r="L108" t="s">
        <v>100</v>
      </c>
      <c r="M108" t="s">
        <v>121</v>
      </c>
      <c r="N108" t="str">
        <f t="shared" si="9"/>
        <v>Новикова Ольга ПетровнаЕгорова Алиса Егоровна</v>
      </c>
      <c r="O108" t="s">
        <v>47</v>
      </c>
      <c r="P108" t="s">
        <v>144</v>
      </c>
      <c r="Q108" t="s">
        <v>429</v>
      </c>
    </row>
    <row r="109" spans="2:17" x14ac:dyDescent="0.3">
      <c r="B109" t="s">
        <v>14</v>
      </c>
      <c r="C109" t="s">
        <v>123</v>
      </c>
      <c r="D109" s="22" t="str">
        <f t="shared" si="5"/>
        <v>2024-08-07</v>
      </c>
      <c r="E109" s="22" t="str">
        <f t="shared" si="6"/>
        <v>2024-08-07</v>
      </c>
      <c r="F109" s="22">
        <f t="shared" si="7"/>
        <v>0</v>
      </c>
      <c r="J109" t="str">
        <f t="shared" si="8"/>
        <v>Новикова Ольга ПетровнаСтепанов Александр Станиславович</v>
      </c>
      <c r="K109" t="s">
        <v>47</v>
      </c>
      <c r="L109" t="s">
        <v>122</v>
      </c>
      <c r="M109" t="s">
        <v>121</v>
      </c>
      <c r="N109" t="str">
        <f t="shared" si="9"/>
        <v>Сидорова Елена ВасильевнаНиколаева София Геннадьевна</v>
      </c>
      <c r="O109" t="s">
        <v>18</v>
      </c>
      <c r="P109" t="s">
        <v>315</v>
      </c>
      <c r="Q109" t="s">
        <v>429</v>
      </c>
    </row>
    <row r="110" spans="2:17" x14ac:dyDescent="0.3">
      <c r="B110" t="s">
        <v>14</v>
      </c>
      <c r="C110" t="s">
        <v>48</v>
      </c>
      <c r="D110" s="22" t="str">
        <f t="shared" si="5"/>
        <v>2024-07-29</v>
      </c>
      <c r="E110" s="22" t="str">
        <f t="shared" si="6"/>
        <v>2024-07-29</v>
      </c>
      <c r="F110" s="22">
        <f t="shared" si="7"/>
        <v>0</v>
      </c>
      <c r="J110" t="str">
        <f t="shared" si="8"/>
        <v>Новикова Ольга ПетровнаЛебедев Матвей Кириллович</v>
      </c>
      <c r="K110" t="s">
        <v>47</v>
      </c>
      <c r="L110" t="s">
        <v>123</v>
      </c>
      <c r="M110" t="s">
        <v>121</v>
      </c>
      <c r="N110" t="str">
        <f t="shared" si="9"/>
        <v>Петров Владимир КирилловичВолков Александр Юрьевич</v>
      </c>
      <c r="O110" t="s">
        <v>50</v>
      </c>
      <c r="P110" t="s">
        <v>103</v>
      </c>
      <c r="Q110" t="s">
        <v>429</v>
      </c>
    </row>
    <row r="111" spans="2:17" x14ac:dyDescent="0.3">
      <c r="B111" t="s">
        <v>14</v>
      </c>
      <c r="C111" t="s">
        <v>19</v>
      </c>
      <c r="D111" s="22" t="str">
        <f t="shared" si="5"/>
        <v>2024-04-22</v>
      </c>
      <c r="E111" s="22" t="str">
        <f t="shared" si="6"/>
        <v>2024-04-22</v>
      </c>
      <c r="F111" s="22">
        <f t="shared" si="7"/>
        <v>0</v>
      </c>
      <c r="J111" t="str">
        <f t="shared" si="8"/>
        <v>Сидорова Елена ВасильевнаИванов Дмитрий Павлович</v>
      </c>
      <c r="K111" t="s">
        <v>18</v>
      </c>
      <c r="L111" t="s">
        <v>124</v>
      </c>
      <c r="M111" t="s">
        <v>125</v>
      </c>
      <c r="N111" t="str">
        <f t="shared" si="9"/>
        <v>Фролов Сергей ВикторовичЕгоров Артем Никитич</v>
      </c>
      <c r="O111" t="s">
        <v>40</v>
      </c>
      <c r="P111" t="s">
        <v>25</v>
      </c>
      <c r="Q111" t="s">
        <v>429</v>
      </c>
    </row>
    <row r="112" spans="2:17" x14ac:dyDescent="0.3">
      <c r="B112" t="s">
        <v>14</v>
      </c>
      <c r="C112" t="s">
        <v>289</v>
      </c>
      <c r="D112" s="22" t="str">
        <f t="shared" si="5"/>
        <v>2024-01-29</v>
      </c>
      <c r="E112" s="22" t="str">
        <f t="shared" si="6"/>
        <v>2024-08-26</v>
      </c>
      <c r="F112" s="22">
        <f t="shared" si="7"/>
        <v>210</v>
      </c>
      <c r="J112" t="str">
        <f t="shared" si="8"/>
        <v>Орлов Павел ДенисовичНиколаева Юлия Егоровна</v>
      </c>
      <c r="K112" t="s">
        <v>45</v>
      </c>
      <c r="L112" t="s">
        <v>126</v>
      </c>
      <c r="M112" t="s">
        <v>125</v>
      </c>
      <c r="N112" t="str">
        <f t="shared" si="9"/>
        <v>Новикова Ольга ПетровнаСмирнов Андрей Алексеевич</v>
      </c>
      <c r="O112" t="s">
        <v>47</v>
      </c>
      <c r="P112" t="s">
        <v>318</v>
      </c>
      <c r="Q112" t="s">
        <v>428</v>
      </c>
    </row>
    <row r="113" spans="2:17" x14ac:dyDescent="0.3">
      <c r="B113" t="s">
        <v>14</v>
      </c>
      <c r="C113" t="s">
        <v>52</v>
      </c>
      <c r="D113" s="22" t="str">
        <f t="shared" si="5"/>
        <v>2024-01-22</v>
      </c>
      <c r="E113" s="22" t="str">
        <f t="shared" si="6"/>
        <v>2024-01-22</v>
      </c>
      <c r="F113" s="22">
        <f t="shared" si="7"/>
        <v>0</v>
      </c>
      <c r="J113" t="str">
        <f t="shared" si="8"/>
        <v>Белов Алексей КонстантиновичМорозов Сергей Олегович</v>
      </c>
      <c r="K113" t="s">
        <v>21</v>
      </c>
      <c r="L113" t="s">
        <v>46</v>
      </c>
      <c r="M113" t="s">
        <v>125</v>
      </c>
      <c r="N113" t="str">
        <f t="shared" si="9"/>
        <v>Орлов Павел ДенисовичПетров Илья Михайлович</v>
      </c>
      <c r="O113" t="s">
        <v>45</v>
      </c>
      <c r="P113" t="s">
        <v>15</v>
      </c>
      <c r="Q113" t="s">
        <v>427</v>
      </c>
    </row>
    <row r="114" spans="2:17" x14ac:dyDescent="0.3">
      <c r="B114" t="s">
        <v>14</v>
      </c>
      <c r="C114" t="s">
        <v>282</v>
      </c>
      <c r="D114" s="22" t="str">
        <f t="shared" si="5"/>
        <v>2024-08-14</v>
      </c>
      <c r="E114" s="22" t="str">
        <f t="shared" si="6"/>
        <v>2024-08-14</v>
      </c>
      <c r="F114" s="22">
        <f t="shared" si="7"/>
        <v>0</v>
      </c>
      <c r="J114" t="str">
        <f t="shared" si="8"/>
        <v>Новикова Ольга ПетровнаОрлова Ирина Ильинична</v>
      </c>
      <c r="K114" t="s">
        <v>47</v>
      </c>
      <c r="L114" t="s">
        <v>29</v>
      </c>
      <c r="M114" t="s">
        <v>125</v>
      </c>
      <c r="N114" t="str">
        <f t="shared" si="9"/>
        <v>Белов Алексей КонстантиновичЛебедев Никита Сергеевич</v>
      </c>
      <c r="O114" t="s">
        <v>21</v>
      </c>
      <c r="P114" t="s">
        <v>156</v>
      </c>
      <c r="Q114" t="s">
        <v>427</v>
      </c>
    </row>
    <row r="115" spans="2:17" x14ac:dyDescent="0.3">
      <c r="B115" t="s">
        <v>14</v>
      </c>
      <c r="C115" t="s">
        <v>146</v>
      </c>
      <c r="D115" s="22" t="str">
        <f t="shared" si="5"/>
        <v>2023-12-06</v>
      </c>
      <c r="E115" s="22" t="str">
        <f t="shared" si="6"/>
        <v>2024-03-18</v>
      </c>
      <c r="F115" s="22">
        <f t="shared" si="7"/>
        <v>103</v>
      </c>
      <c r="J115" t="str">
        <f t="shared" si="8"/>
        <v>Иванова Анна СергеевнаСмирнов Артем Егорович</v>
      </c>
      <c r="K115" t="s">
        <v>28</v>
      </c>
      <c r="L115" t="s">
        <v>127</v>
      </c>
      <c r="M115" t="s">
        <v>125</v>
      </c>
      <c r="N115" t="str">
        <f t="shared" si="9"/>
        <v>Белов Алексей КонстантиновичПетров Алексей Сергеевич</v>
      </c>
      <c r="O115" t="s">
        <v>21</v>
      </c>
      <c r="P115" t="s">
        <v>66</v>
      </c>
      <c r="Q115" t="s">
        <v>427</v>
      </c>
    </row>
    <row r="116" spans="2:17" x14ac:dyDescent="0.3">
      <c r="B116" t="s">
        <v>14</v>
      </c>
      <c r="C116" t="s">
        <v>46</v>
      </c>
      <c r="D116" s="22" t="str">
        <f t="shared" si="5"/>
        <v>2024-08-05</v>
      </c>
      <c r="E116" s="22" t="str">
        <f t="shared" si="6"/>
        <v>2024-08-05</v>
      </c>
      <c r="F116" s="22">
        <f t="shared" si="7"/>
        <v>0</v>
      </c>
      <c r="J116" t="str">
        <f t="shared" si="8"/>
        <v>Иванова Анна СергеевнаПетров Илья Андреевич</v>
      </c>
      <c r="K116" t="s">
        <v>28</v>
      </c>
      <c r="L116" t="s">
        <v>70</v>
      </c>
      <c r="M116" t="s">
        <v>125</v>
      </c>
      <c r="N116" t="str">
        <f t="shared" si="9"/>
        <v>Семенова Ирина ВалерьевнаОрлова Полина Олеговна</v>
      </c>
      <c r="O116" t="s">
        <v>12</v>
      </c>
      <c r="P116" t="s">
        <v>101</v>
      </c>
      <c r="Q116" t="s">
        <v>427</v>
      </c>
    </row>
    <row r="117" spans="2:17" x14ac:dyDescent="0.3">
      <c r="B117" t="s">
        <v>14</v>
      </c>
      <c r="C117" t="s">
        <v>174</v>
      </c>
      <c r="D117" s="22" t="str">
        <f t="shared" si="5"/>
        <v>2023-11-01</v>
      </c>
      <c r="E117" s="22" t="str">
        <f t="shared" si="6"/>
        <v>2023-11-01</v>
      </c>
      <c r="F117" s="22">
        <f t="shared" si="7"/>
        <v>0</v>
      </c>
      <c r="J117" t="str">
        <f t="shared" si="8"/>
        <v>Семенова Ирина ВалерьевнаПетрова Вероника Александровна</v>
      </c>
      <c r="K117" t="s">
        <v>12</v>
      </c>
      <c r="L117" t="s">
        <v>23</v>
      </c>
      <c r="M117" t="s">
        <v>125</v>
      </c>
      <c r="N117" t="str">
        <f t="shared" si="9"/>
        <v>Орлов Павел ДенисовичСмирнов Андрей Алексеевич</v>
      </c>
      <c r="O117" t="s">
        <v>45</v>
      </c>
      <c r="P117" t="s">
        <v>318</v>
      </c>
      <c r="Q117" t="s">
        <v>426</v>
      </c>
    </row>
    <row r="118" spans="2:17" x14ac:dyDescent="0.3">
      <c r="B118" t="s">
        <v>14</v>
      </c>
      <c r="C118" t="s">
        <v>84</v>
      </c>
      <c r="D118" s="22" t="str">
        <f t="shared" si="5"/>
        <v>2024-06-21</v>
      </c>
      <c r="E118" s="22" t="str">
        <f t="shared" si="6"/>
        <v>2024-06-21</v>
      </c>
      <c r="F118" s="22">
        <f t="shared" si="7"/>
        <v>0</v>
      </c>
      <c r="J118" t="str">
        <f t="shared" si="8"/>
        <v>Новикова Ольга ПетровнаИванов Дмитрий Павлович</v>
      </c>
      <c r="K118" t="s">
        <v>47</v>
      </c>
      <c r="L118" t="s">
        <v>124</v>
      </c>
      <c r="M118" t="s">
        <v>125</v>
      </c>
      <c r="N118" t="str">
        <f t="shared" si="9"/>
        <v>Громова Мария ИльиничнаСтепанов Александр Станиславович</v>
      </c>
      <c r="O118" t="s">
        <v>14</v>
      </c>
      <c r="P118" t="s">
        <v>122</v>
      </c>
      <c r="Q118" t="s">
        <v>426</v>
      </c>
    </row>
    <row r="119" spans="2:17" x14ac:dyDescent="0.3">
      <c r="B119" t="s">
        <v>14</v>
      </c>
      <c r="C119" t="s">
        <v>107</v>
      </c>
      <c r="D119" s="22" t="str">
        <f t="shared" si="5"/>
        <v>2023-12-07</v>
      </c>
      <c r="E119" s="22" t="str">
        <f t="shared" si="6"/>
        <v>2024-06-17</v>
      </c>
      <c r="F119" s="22">
        <f t="shared" si="7"/>
        <v>193</v>
      </c>
      <c r="J119" t="str">
        <f t="shared" si="8"/>
        <v>Ткаченко Андрей ОлеговичПетрова Вероника Александровна</v>
      </c>
      <c r="K119" t="s">
        <v>5</v>
      </c>
      <c r="L119" t="s">
        <v>23</v>
      </c>
      <c r="M119" t="s">
        <v>125</v>
      </c>
      <c r="N119" t="str">
        <f t="shared" si="9"/>
        <v>Кузнецов Дмитрий ЛьвовичЕгорова Татьяна Александровна</v>
      </c>
      <c r="O119" t="s">
        <v>10</v>
      </c>
      <c r="P119" t="s">
        <v>168</v>
      </c>
      <c r="Q119" t="s">
        <v>425</v>
      </c>
    </row>
    <row r="120" spans="2:17" x14ac:dyDescent="0.3">
      <c r="B120" t="s">
        <v>14</v>
      </c>
      <c r="C120" t="s">
        <v>115</v>
      </c>
      <c r="D120" s="22" t="str">
        <f t="shared" si="5"/>
        <v>2024-05-13</v>
      </c>
      <c r="E120" s="22" t="str">
        <f t="shared" si="6"/>
        <v>2024-05-13</v>
      </c>
      <c r="F120" s="22">
        <f t="shared" si="7"/>
        <v>0</v>
      </c>
      <c r="J120" t="str">
        <f t="shared" si="8"/>
        <v>Ткаченко Андрей ОлеговичСеменов Дмитрий Олегович</v>
      </c>
      <c r="K120" t="s">
        <v>5</v>
      </c>
      <c r="L120" t="s">
        <v>9</v>
      </c>
      <c r="M120" t="s">
        <v>128</v>
      </c>
      <c r="N120" t="str">
        <f t="shared" si="9"/>
        <v>Громова Мария ИльиничнаКузнецова Дарья Дмитриевна</v>
      </c>
      <c r="O120" t="s">
        <v>14</v>
      </c>
      <c r="P120" t="s">
        <v>43</v>
      </c>
      <c r="Q120" t="s">
        <v>424</v>
      </c>
    </row>
    <row r="121" spans="2:17" x14ac:dyDescent="0.3">
      <c r="B121" t="s">
        <v>14</v>
      </c>
      <c r="C121" t="s">
        <v>80</v>
      </c>
      <c r="D121" s="22" t="str">
        <f t="shared" si="5"/>
        <v>2024-07-26</v>
      </c>
      <c r="E121" s="22" t="str">
        <f t="shared" si="6"/>
        <v>2024-07-26</v>
      </c>
      <c r="F121" s="22">
        <f t="shared" si="7"/>
        <v>0</v>
      </c>
      <c r="J121" t="str">
        <f t="shared" si="8"/>
        <v>Иванова Анна СергеевнаПетров Алексей Сергеевич</v>
      </c>
      <c r="K121" t="s">
        <v>28</v>
      </c>
      <c r="L121" t="s">
        <v>66</v>
      </c>
      <c r="M121" t="s">
        <v>128</v>
      </c>
      <c r="N121" t="str">
        <f t="shared" si="9"/>
        <v>Ткаченко Андрей ОлеговичПетрова Вероника Александровна</v>
      </c>
      <c r="O121" t="s">
        <v>5</v>
      </c>
      <c r="P121" t="s">
        <v>23</v>
      </c>
      <c r="Q121" t="s">
        <v>424</v>
      </c>
    </row>
    <row r="122" spans="2:17" x14ac:dyDescent="0.3">
      <c r="B122" t="s">
        <v>14</v>
      </c>
      <c r="C122" t="s">
        <v>227</v>
      </c>
      <c r="D122" s="22" t="str">
        <f t="shared" si="5"/>
        <v>2023-12-06</v>
      </c>
      <c r="E122" s="22" t="str">
        <f t="shared" si="6"/>
        <v>2024-01-31</v>
      </c>
      <c r="F122" s="22">
        <f t="shared" si="7"/>
        <v>56</v>
      </c>
      <c r="J122" t="str">
        <f t="shared" si="8"/>
        <v>Громова Мария ИльиничнаФедоров Роман Дмитриевич</v>
      </c>
      <c r="K122" t="s">
        <v>14</v>
      </c>
      <c r="L122" t="s">
        <v>41</v>
      </c>
      <c r="M122" t="s">
        <v>129</v>
      </c>
      <c r="N122" t="str">
        <f t="shared" si="9"/>
        <v>Сидорова Елена ВасильевнаФедорова Виктория Михайловна</v>
      </c>
      <c r="O122" t="s">
        <v>18</v>
      </c>
      <c r="P122" t="s">
        <v>197</v>
      </c>
      <c r="Q122" t="s">
        <v>424</v>
      </c>
    </row>
    <row r="123" spans="2:17" x14ac:dyDescent="0.3">
      <c r="B123" t="s">
        <v>14</v>
      </c>
      <c r="C123" t="s">
        <v>202</v>
      </c>
      <c r="D123" s="22" t="str">
        <f t="shared" si="5"/>
        <v>2024-08-12</v>
      </c>
      <c r="E123" s="22" t="str">
        <f t="shared" si="6"/>
        <v>2024-08-12</v>
      </c>
      <c r="F123" s="22">
        <f t="shared" si="7"/>
        <v>0</v>
      </c>
      <c r="J123" t="str">
        <f t="shared" si="8"/>
        <v>Ткаченко Андрей ОлеговичВасильева Ирина Павловна</v>
      </c>
      <c r="K123" t="s">
        <v>5</v>
      </c>
      <c r="L123" t="s">
        <v>130</v>
      </c>
      <c r="M123" t="s">
        <v>129</v>
      </c>
      <c r="N123" t="str">
        <f t="shared" si="9"/>
        <v>Орлов Павел ДенисовичСмирнов Андрей Алексеевич</v>
      </c>
      <c r="O123" t="s">
        <v>45</v>
      </c>
      <c r="P123" t="s">
        <v>318</v>
      </c>
      <c r="Q123" t="s">
        <v>424</v>
      </c>
    </row>
    <row r="124" spans="2:17" x14ac:dyDescent="0.3">
      <c r="B124" t="s">
        <v>14</v>
      </c>
      <c r="C124" t="s">
        <v>36</v>
      </c>
      <c r="D124" s="22" t="str">
        <f t="shared" si="5"/>
        <v>2023-09-07</v>
      </c>
      <c r="E124" s="22" t="str">
        <f t="shared" si="6"/>
        <v>2023-09-07</v>
      </c>
      <c r="F124" s="22">
        <f t="shared" si="7"/>
        <v>0</v>
      </c>
      <c r="J124" t="str">
        <f t="shared" si="8"/>
        <v>Петров Владимир КирилловичЛебедева Виктория Михайловна</v>
      </c>
      <c r="K124" t="s">
        <v>50</v>
      </c>
      <c r="L124" t="s">
        <v>131</v>
      </c>
      <c r="M124" t="s">
        <v>132</v>
      </c>
      <c r="N124" t="str">
        <f t="shared" si="9"/>
        <v>Ткаченко Андрей ОлеговичФедоров Владимир Артемович</v>
      </c>
      <c r="O124" t="s">
        <v>5</v>
      </c>
      <c r="P124" t="s">
        <v>88</v>
      </c>
      <c r="Q124" t="s">
        <v>424</v>
      </c>
    </row>
    <row r="125" spans="2:17" x14ac:dyDescent="0.3">
      <c r="B125" t="s">
        <v>14</v>
      </c>
      <c r="C125" t="s">
        <v>11</v>
      </c>
      <c r="D125" s="22" t="str">
        <f t="shared" si="5"/>
        <v>2024-05-13</v>
      </c>
      <c r="E125" s="22" t="str">
        <f t="shared" si="6"/>
        <v>2024-05-13</v>
      </c>
      <c r="F125" s="22">
        <f t="shared" si="7"/>
        <v>0</v>
      </c>
      <c r="J125" t="str">
        <f t="shared" si="8"/>
        <v>Петров Владимир КирилловичИванов Александр Павлович</v>
      </c>
      <c r="K125" t="s">
        <v>50</v>
      </c>
      <c r="L125" t="s">
        <v>37</v>
      </c>
      <c r="M125" t="s">
        <v>133</v>
      </c>
      <c r="N125" t="str">
        <f t="shared" si="9"/>
        <v>Белов Алексей КонстантиновичСидоров Дмитрий Кириллович</v>
      </c>
      <c r="O125" t="s">
        <v>21</v>
      </c>
      <c r="P125" t="s">
        <v>166</v>
      </c>
      <c r="Q125" t="s">
        <v>424</v>
      </c>
    </row>
    <row r="126" spans="2:17" x14ac:dyDescent="0.3">
      <c r="B126" t="s">
        <v>14</v>
      </c>
      <c r="C126" t="s">
        <v>69</v>
      </c>
      <c r="D126" s="22" t="str">
        <f t="shared" si="5"/>
        <v>2024-08-06</v>
      </c>
      <c r="E126" s="22" t="str">
        <f t="shared" si="6"/>
        <v>2024-08-06</v>
      </c>
      <c r="F126" s="22">
        <f t="shared" si="7"/>
        <v>0</v>
      </c>
      <c r="J126" t="str">
        <f t="shared" si="8"/>
        <v>Фролов Сергей ВикторовичПавлов Кирилл Артемович</v>
      </c>
      <c r="K126" t="s">
        <v>40</v>
      </c>
      <c r="L126" t="s">
        <v>94</v>
      </c>
      <c r="M126" t="s">
        <v>133</v>
      </c>
      <c r="N126" t="str">
        <f t="shared" si="9"/>
        <v>Фролов Сергей ВикторовичСеменова Наталья Павловна</v>
      </c>
      <c r="O126" t="s">
        <v>40</v>
      </c>
      <c r="P126" t="s">
        <v>194</v>
      </c>
      <c r="Q126" t="s">
        <v>424</v>
      </c>
    </row>
    <row r="127" spans="2:17" x14ac:dyDescent="0.3">
      <c r="B127" t="s">
        <v>14</v>
      </c>
      <c r="C127" t="s">
        <v>364</v>
      </c>
      <c r="D127" s="22" t="str">
        <f t="shared" si="5"/>
        <v>2024-04-29</v>
      </c>
      <c r="E127" s="22" t="str">
        <f t="shared" si="6"/>
        <v>2024-06-28</v>
      </c>
      <c r="F127" s="22">
        <f t="shared" si="7"/>
        <v>60</v>
      </c>
      <c r="J127" t="str">
        <f t="shared" si="8"/>
        <v>Орлов Павел ДенисовичВасильев Матвей Андреевич</v>
      </c>
      <c r="K127" t="s">
        <v>45</v>
      </c>
      <c r="L127" t="s">
        <v>95</v>
      </c>
      <c r="M127" t="s">
        <v>134</v>
      </c>
      <c r="N127" t="str">
        <f t="shared" si="9"/>
        <v>Громова Мария ИльиничнаКозлов Роман Сергеевич</v>
      </c>
      <c r="O127" t="s">
        <v>14</v>
      </c>
      <c r="P127" t="s">
        <v>209</v>
      </c>
      <c r="Q127" t="s">
        <v>424</v>
      </c>
    </row>
    <row r="128" spans="2:17" x14ac:dyDescent="0.3">
      <c r="B128" t="s">
        <v>14</v>
      </c>
      <c r="C128" t="s">
        <v>171</v>
      </c>
      <c r="D128" s="22" t="str">
        <f t="shared" si="5"/>
        <v>2024-01-31</v>
      </c>
      <c r="E128" s="22" t="str">
        <f t="shared" si="6"/>
        <v>2024-01-31</v>
      </c>
      <c r="F128" s="22">
        <f t="shared" si="7"/>
        <v>0</v>
      </c>
      <c r="J128" t="str">
        <f t="shared" si="8"/>
        <v>Громова Мария ИльиничнаСидоров Александр Артемович</v>
      </c>
      <c r="K128" t="s">
        <v>14</v>
      </c>
      <c r="L128" t="s">
        <v>77</v>
      </c>
      <c r="M128" t="s">
        <v>134</v>
      </c>
      <c r="N128" t="str">
        <f t="shared" si="9"/>
        <v>Яковлев Артем ИгоревичКузнецов Никита Андреевич</v>
      </c>
      <c r="O128" t="s">
        <v>8</v>
      </c>
      <c r="P128" t="s">
        <v>20</v>
      </c>
      <c r="Q128" t="s">
        <v>424</v>
      </c>
    </row>
    <row r="129" spans="2:17" x14ac:dyDescent="0.3">
      <c r="B129" t="s">
        <v>14</v>
      </c>
      <c r="C129" t="s">
        <v>191</v>
      </c>
      <c r="D129" s="22" t="str">
        <f t="shared" si="5"/>
        <v>2023-11-28</v>
      </c>
      <c r="E129" s="22" t="str">
        <f t="shared" si="6"/>
        <v>2023-11-28</v>
      </c>
      <c r="F129" s="22">
        <f t="shared" si="7"/>
        <v>0</v>
      </c>
      <c r="J129" t="str">
        <f t="shared" si="8"/>
        <v>Яковлев Артем ИгоревичСидорова Александра Александровна</v>
      </c>
      <c r="K129" t="s">
        <v>8</v>
      </c>
      <c r="L129" t="s">
        <v>135</v>
      </c>
      <c r="M129" t="s">
        <v>134</v>
      </c>
      <c r="N129" t="str">
        <f t="shared" si="9"/>
        <v>Фролов Сергей ВикторовичОрлов Сергей Иванович</v>
      </c>
      <c r="O129" t="s">
        <v>40</v>
      </c>
      <c r="P129" t="s">
        <v>364</v>
      </c>
      <c r="Q129" t="s">
        <v>423</v>
      </c>
    </row>
    <row r="130" spans="2:17" x14ac:dyDescent="0.3">
      <c r="B130" t="s">
        <v>14</v>
      </c>
      <c r="C130" t="s">
        <v>72</v>
      </c>
      <c r="D130" s="22" t="str">
        <f t="shared" si="5"/>
        <v>2024-04-24</v>
      </c>
      <c r="E130" s="22" t="str">
        <f t="shared" si="6"/>
        <v>2024-04-24</v>
      </c>
      <c r="F130" s="22">
        <f t="shared" si="7"/>
        <v>0</v>
      </c>
      <c r="J130" t="str">
        <f t="shared" si="8"/>
        <v>Орлов Павел ДенисовичПопов Иван Михайлович</v>
      </c>
      <c r="K130" t="s">
        <v>45</v>
      </c>
      <c r="L130" t="s">
        <v>109</v>
      </c>
      <c r="M130" t="s">
        <v>134</v>
      </c>
      <c r="N130" t="str">
        <f t="shared" si="9"/>
        <v>Белов Алексей КонстантиновичЕгоров Никита Ильич</v>
      </c>
      <c r="O130" t="s">
        <v>21</v>
      </c>
      <c r="P130" t="s">
        <v>112</v>
      </c>
      <c r="Q130" t="s">
        <v>422</v>
      </c>
    </row>
    <row r="131" spans="2:17" x14ac:dyDescent="0.3">
      <c r="B131" t="s">
        <v>14</v>
      </c>
      <c r="C131" t="s">
        <v>324</v>
      </c>
      <c r="D131" s="22" t="str">
        <f t="shared" ref="D131:D194" si="10">VLOOKUP(B131&amp;C131,J:M,4,0)</f>
        <v>2024-03-04</v>
      </c>
      <c r="E131" s="22" t="str">
        <f t="shared" ref="E131:E194" si="11">VLOOKUP(B131&amp;C131,N:Q,4,0)</f>
        <v>2024-08-12</v>
      </c>
      <c r="F131" s="22">
        <f t="shared" ref="F131:F194" si="12">E131-D131</f>
        <v>161</v>
      </c>
      <c r="J131" t="str">
        <f t="shared" ref="J131:J194" si="13">K131&amp;L131</f>
        <v>Кузнецов Дмитрий ЛьвовичЛебедев Артем Кириллович</v>
      </c>
      <c r="K131" t="s">
        <v>10</v>
      </c>
      <c r="L131" t="s">
        <v>49</v>
      </c>
      <c r="M131" t="s">
        <v>134</v>
      </c>
      <c r="N131" t="str">
        <f t="shared" ref="N131:N194" si="14">O131&amp;P131</f>
        <v>Орлов Павел ДенисовичСидорова Елена Кирилловна</v>
      </c>
      <c r="O131" t="s">
        <v>45</v>
      </c>
      <c r="P131" t="s">
        <v>180</v>
      </c>
      <c r="Q131" t="s">
        <v>421</v>
      </c>
    </row>
    <row r="132" spans="2:17" x14ac:dyDescent="0.3">
      <c r="B132" t="s">
        <v>14</v>
      </c>
      <c r="C132" t="s">
        <v>141</v>
      </c>
      <c r="D132" s="22" t="str">
        <f t="shared" si="10"/>
        <v>2024-08-26</v>
      </c>
      <c r="E132" s="22" t="str">
        <f t="shared" si="11"/>
        <v>2024-08-26</v>
      </c>
      <c r="F132" s="22">
        <f t="shared" si="12"/>
        <v>0</v>
      </c>
      <c r="J132" t="str">
        <f t="shared" si="13"/>
        <v>Семенова Ирина ВалерьевнаЕгоров Константин Ильич</v>
      </c>
      <c r="K132" t="s">
        <v>12</v>
      </c>
      <c r="L132" t="s">
        <v>136</v>
      </c>
      <c r="M132" t="s">
        <v>134</v>
      </c>
      <c r="N132" t="str">
        <f t="shared" si="14"/>
        <v>Иванова Анна СергеевнаПавлов Михаил Геннадьевич</v>
      </c>
      <c r="O132" t="s">
        <v>28</v>
      </c>
      <c r="P132" t="s">
        <v>154</v>
      </c>
      <c r="Q132" t="s">
        <v>421</v>
      </c>
    </row>
    <row r="133" spans="2:17" x14ac:dyDescent="0.3">
      <c r="B133" t="s">
        <v>14</v>
      </c>
      <c r="C133" t="s">
        <v>66</v>
      </c>
      <c r="D133" s="22" t="str">
        <f t="shared" si="10"/>
        <v>2024-04-08</v>
      </c>
      <c r="E133" s="22" t="str">
        <f t="shared" si="11"/>
        <v>2024-04-08</v>
      </c>
      <c r="F133" s="22">
        <f t="shared" si="12"/>
        <v>0</v>
      </c>
      <c r="J133" t="str">
        <f t="shared" si="13"/>
        <v>Кузнецов Дмитрий ЛьвовичСидоров Кирилл Кириллович</v>
      </c>
      <c r="K133" t="s">
        <v>10</v>
      </c>
      <c r="L133" t="s">
        <v>137</v>
      </c>
      <c r="M133" t="s">
        <v>134</v>
      </c>
      <c r="N133" t="str">
        <f t="shared" si="14"/>
        <v>Громова Мария ИльиничнаКузнецов Иван Ильич</v>
      </c>
      <c r="O133" t="s">
        <v>14</v>
      </c>
      <c r="P133" t="s">
        <v>178</v>
      </c>
      <c r="Q133" t="s">
        <v>420</v>
      </c>
    </row>
    <row r="134" spans="2:17" x14ac:dyDescent="0.3">
      <c r="B134" t="s">
        <v>14</v>
      </c>
      <c r="C134" t="s">
        <v>39</v>
      </c>
      <c r="D134" s="22" t="str">
        <f t="shared" si="10"/>
        <v>2024-04-05</v>
      </c>
      <c r="E134" s="22" t="str">
        <f t="shared" si="11"/>
        <v>2024-04-05</v>
      </c>
      <c r="F134" s="22">
        <f t="shared" si="12"/>
        <v>0</v>
      </c>
      <c r="J134" t="str">
        <f t="shared" si="13"/>
        <v>Белов Алексей КонстантиновичОрлова Людмила Михайловна</v>
      </c>
      <c r="K134" t="s">
        <v>21</v>
      </c>
      <c r="L134" t="s">
        <v>138</v>
      </c>
      <c r="M134" t="s">
        <v>134</v>
      </c>
      <c r="N134" t="str">
        <f t="shared" si="14"/>
        <v>Иванова Анна СергеевнаЕгорова Мария Викторовна</v>
      </c>
      <c r="O134" t="s">
        <v>28</v>
      </c>
      <c r="P134" t="s">
        <v>96</v>
      </c>
      <c r="Q134" t="s">
        <v>420</v>
      </c>
    </row>
    <row r="135" spans="2:17" x14ac:dyDescent="0.3">
      <c r="B135" t="s">
        <v>14</v>
      </c>
      <c r="C135" t="s">
        <v>15</v>
      </c>
      <c r="D135" s="22" t="str">
        <f t="shared" si="10"/>
        <v>2023-09-04</v>
      </c>
      <c r="E135" s="22" t="str">
        <f t="shared" si="11"/>
        <v>2023-09-04</v>
      </c>
      <c r="F135" s="22">
        <f t="shared" si="12"/>
        <v>0</v>
      </c>
      <c r="J135" t="str">
        <f t="shared" si="13"/>
        <v>Громова Мария ИльиничнаАлексеева Светлана Станиславовна</v>
      </c>
      <c r="K135" t="s">
        <v>14</v>
      </c>
      <c r="L135" t="s">
        <v>71</v>
      </c>
      <c r="M135" t="s">
        <v>139</v>
      </c>
      <c r="N135" t="str">
        <f t="shared" si="14"/>
        <v>Кузнецов Дмитрий ЛьвовичКузнецова Ирина Владимировна</v>
      </c>
      <c r="O135" t="s">
        <v>10</v>
      </c>
      <c r="P135" t="s">
        <v>276</v>
      </c>
      <c r="Q135" t="s">
        <v>420</v>
      </c>
    </row>
    <row r="136" spans="2:17" x14ac:dyDescent="0.3">
      <c r="B136" t="s">
        <v>14</v>
      </c>
      <c r="C136" t="s">
        <v>32</v>
      </c>
      <c r="D136" s="22" t="str">
        <f t="shared" si="10"/>
        <v>2023-11-14</v>
      </c>
      <c r="E136" s="22" t="str">
        <f t="shared" si="11"/>
        <v>2023-11-14</v>
      </c>
      <c r="F136" s="22">
        <f t="shared" si="12"/>
        <v>0</v>
      </c>
      <c r="J136" t="str">
        <f t="shared" si="13"/>
        <v>Фролов Сергей ВикторовичВасильева Людмила Ивановна</v>
      </c>
      <c r="K136" t="s">
        <v>40</v>
      </c>
      <c r="L136" t="s">
        <v>140</v>
      </c>
      <c r="M136" t="s">
        <v>139</v>
      </c>
      <c r="N136" t="str">
        <f t="shared" si="14"/>
        <v>Белов Алексей КонстантиновичВасильев Никита Павлович</v>
      </c>
      <c r="O136" t="s">
        <v>21</v>
      </c>
      <c r="P136" t="s">
        <v>89</v>
      </c>
      <c r="Q136" t="s">
        <v>420</v>
      </c>
    </row>
    <row r="137" spans="2:17" x14ac:dyDescent="0.3">
      <c r="B137" t="s">
        <v>14</v>
      </c>
      <c r="C137" t="s">
        <v>23</v>
      </c>
      <c r="D137" s="22" t="str">
        <f t="shared" si="10"/>
        <v>2023-09-04</v>
      </c>
      <c r="E137" s="22" t="str">
        <f t="shared" si="11"/>
        <v>2024-04-17</v>
      </c>
      <c r="F137" s="22">
        <f t="shared" si="12"/>
        <v>226</v>
      </c>
      <c r="J137" t="str">
        <f t="shared" si="13"/>
        <v>Фролов Сергей ВикторовичПавлова Екатерина Егоровна</v>
      </c>
      <c r="K137" t="s">
        <v>40</v>
      </c>
      <c r="L137" t="s">
        <v>141</v>
      </c>
      <c r="M137" t="s">
        <v>139</v>
      </c>
      <c r="N137" t="str">
        <f t="shared" si="14"/>
        <v>Фролов Сергей ВикторовичСмирнова Юлия Олеговна</v>
      </c>
      <c r="O137" t="s">
        <v>40</v>
      </c>
      <c r="P137" t="s">
        <v>163</v>
      </c>
      <c r="Q137" t="s">
        <v>419</v>
      </c>
    </row>
    <row r="138" spans="2:17" x14ac:dyDescent="0.3">
      <c r="B138" t="s">
        <v>14</v>
      </c>
      <c r="C138" t="s">
        <v>210</v>
      </c>
      <c r="D138" s="22" t="str">
        <f t="shared" si="10"/>
        <v>2024-08-09</v>
      </c>
      <c r="E138" s="22" t="str">
        <f t="shared" si="11"/>
        <v>2024-08-09</v>
      </c>
      <c r="F138" s="22">
        <f t="shared" si="12"/>
        <v>0</v>
      </c>
      <c r="J138" t="str">
        <f t="shared" si="13"/>
        <v>Ткаченко Андрей ОлеговичКозлова София Станиславовна</v>
      </c>
      <c r="K138" t="s">
        <v>5</v>
      </c>
      <c r="L138" t="s">
        <v>54</v>
      </c>
      <c r="M138" t="s">
        <v>142</v>
      </c>
      <c r="N138" t="str">
        <f t="shared" si="14"/>
        <v>Фролов Сергей ВикторовичИванов Кирилл Владимирович</v>
      </c>
      <c r="O138" t="s">
        <v>40</v>
      </c>
      <c r="P138" t="s">
        <v>152</v>
      </c>
      <c r="Q138" t="s">
        <v>419</v>
      </c>
    </row>
    <row r="139" spans="2:17" x14ac:dyDescent="0.3">
      <c r="B139" t="s">
        <v>14</v>
      </c>
      <c r="C139" t="s">
        <v>245</v>
      </c>
      <c r="D139" s="22" t="str">
        <f t="shared" si="10"/>
        <v>2023-12-29</v>
      </c>
      <c r="E139" s="22" t="str">
        <f t="shared" si="11"/>
        <v>2023-12-29</v>
      </c>
      <c r="F139" s="22">
        <f t="shared" si="12"/>
        <v>0</v>
      </c>
      <c r="J139" t="str">
        <f t="shared" si="13"/>
        <v>Яковлев Артем ИгоревичНиколаева Юлия Егоровна</v>
      </c>
      <c r="K139" t="s">
        <v>8</v>
      </c>
      <c r="L139" t="s">
        <v>126</v>
      </c>
      <c r="M139" t="s">
        <v>143</v>
      </c>
      <c r="N139" t="str">
        <f t="shared" si="14"/>
        <v>Семенова Ирина ВалерьевнаАлексеева Елена Кирилловна</v>
      </c>
      <c r="O139" t="s">
        <v>12</v>
      </c>
      <c r="P139" t="s">
        <v>176</v>
      </c>
      <c r="Q139" t="s">
        <v>419</v>
      </c>
    </row>
    <row r="140" spans="2:17" x14ac:dyDescent="0.3">
      <c r="B140" t="s">
        <v>14</v>
      </c>
      <c r="C140" t="s">
        <v>111</v>
      </c>
      <c r="D140" s="22" t="str">
        <f t="shared" si="10"/>
        <v>2023-11-06</v>
      </c>
      <c r="E140" s="22" t="str">
        <f t="shared" si="11"/>
        <v>2024-01-16</v>
      </c>
      <c r="F140" s="22">
        <f t="shared" si="12"/>
        <v>71</v>
      </c>
      <c r="J140" t="str">
        <f t="shared" si="13"/>
        <v>Фролов Сергей ВикторовичСидорова Ксения Дмитриевна</v>
      </c>
      <c r="K140" t="s">
        <v>40</v>
      </c>
      <c r="L140" t="s">
        <v>99</v>
      </c>
      <c r="M140" t="s">
        <v>143</v>
      </c>
      <c r="N140" t="str">
        <f t="shared" si="14"/>
        <v>Новикова Ольга ПетровнаСтепанова Юлия Андреевна</v>
      </c>
      <c r="O140" t="s">
        <v>47</v>
      </c>
      <c r="P140" t="s">
        <v>217</v>
      </c>
      <c r="Q140" t="s">
        <v>419</v>
      </c>
    </row>
    <row r="141" spans="2:17" x14ac:dyDescent="0.3">
      <c r="B141" t="s">
        <v>14</v>
      </c>
      <c r="C141" t="s">
        <v>194</v>
      </c>
      <c r="D141" s="22" t="str">
        <f t="shared" si="10"/>
        <v>2024-01-16</v>
      </c>
      <c r="E141" s="22" t="str">
        <f t="shared" si="11"/>
        <v>2024-01-16</v>
      </c>
      <c r="F141" s="22">
        <f t="shared" si="12"/>
        <v>0</v>
      </c>
      <c r="J141" t="str">
        <f t="shared" si="13"/>
        <v>Новикова Ольга ПетровнаСеменов Максим Геннадьевич</v>
      </c>
      <c r="K141" t="s">
        <v>47</v>
      </c>
      <c r="L141" t="s">
        <v>111</v>
      </c>
      <c r="M141" t="s">
        <v>143</v>
      </c>
      <c r="N141" t="str">
        <f t="shared" si="14"/>
        <v>Кузнецов Дмитрий ЛьвовичЕгорова Наталья Дмитриевна</v>
      </c>
      <c r="O141" t="s">
        <v>10</v>
      </c>
      <c r="P141" t="s">
        <v>251</v>
      </c>
      <c r="Q141" t="s">
        <v>419</v>
      </c>
    </row>
    <row r="142" spans="2:17" x14ac:dyDescent="0.3">
      <c r="B142" t="s">
        <v>14</v>
      </c>
      <c r="C142" t="s">
        <v>119</v>
      </c>
      <c r="D142" s="22" t="str">
        <f t="shared" si="10"/>
        <v>2024-02-12</v>
      </c>
      <c r="E142" s="22" t="str">
        <f t="shared" si="11"/>
        <v>2024-02-12</v>
      </c>
      <c r="F142" s="22">
        <f t="shared" si="12"/>
        <v>0</v>
      </c>
      <c r="J142" t="str">
        <f t="shared" si="13"/>
        <v>Новикова Ольга ПетровнаМорозова Светлана Артемовна</v>
      </c>
      <c r="K142" t="s">
        <v>47</v>
      </c>
      <c r="L142" t="s">
        <v>107</v>
      </c>
      <c r="M142" t="s">
        <v>143</v>
      </c>
      <c r="N142" t="str">
        <f t="shared" si="14"/>
        <v>Петров Владимир КирилловичФедорова Людмила Кирилловна</v>
      </c>
      <c r="O142" t="s">
        <v>50</v>
      </c>
      <c r="P142" t="s">
        <v>199</v>
      </c>
      <c r="Q142" t="s">
        <v>419</v>
      </c>
    </row>
    <row r="143" spans="2:17" x14ac:dyDescent="0.3">
      <c r="B143" t="s">
        <v>14</v>
      </c>
      <c r="C143" t="s">
        <v>77</v>
      </c>
      <c r="D143" s="22" t="str">
        <f t="shared" si="10"/>
        <v>2023-10-16</v>
      </c>
      <c r="E143" s="22" t="str">
        <f t="shared" si="11"/>
        <v>2023-10-16</v>
      </c>
      <c r="F143" s="22">
        <f t="shared" si="12"/>
        <v>0</v>
      </c>
      <c r="J143" t="str">
        <f t="shared" si="13"/>
        <v>Новикова Ольга ПетровнаЕгорова Ирина Павловна</v>
      </c>
      <c r="K143" t="s">
        <v>47</v>
      </c>
      <c r="L143" t="s">
        <v>63</v>
      </c>
      <c r="M143" t="s">
        <v>143</v>
      </c>
      <c r="N143" t="str">
        <f t="shared" si="14"/>
        <v>Кузнецов Дмитрий ЛьвовичОрлов Александр Иванович</v>
      </c>
      <c r="O143" t="s">
        <v>10</v>
      </c>
      <c r="P143" t="s">
        <v>69</v>
      </c>
      <c r="Q143" t="s">
        <v>418</v>
      </c>
    </row>
    <row r="144" spans="2:17" x14ac:dyDescent="0.3">
      <c r="B144" t="s">
        <v>14</v>
      </c>
      <c r="C144" t="s">
        <v>166</v>
      </c>
      <c r="D144" s="22" t="str">
        <f t="shared" si="10"/>
        <v>2024-05-23</v>
      </c>
      <c r="E144" s="22" t="str">
        <f t="shared" si="11"/>
        <v>2024-05-23</v>
      </c>
      <c r="F144" s="22">
        <f t="shared" si="12"/>
        <v>0</v>
      </c>
      <c r="J144" t="str">
        <f t="shared" si="13"/>
        <v>Орлов Павел ДенисовичЕгорова Алиса Егоровна</v>
      </c>
      <c r="K144" t="s">
        <v>45</v>
      </c>
      <c r="L144" t="s">
        <v>144</v>
      </c>
      <c r="M144" t="s">
        <v>145</v>
      </c>
      <c r="N144" t="str">
        <f t="shared" si="14"/>
        <v>Яковлев Артем ИгоревичНиколаева Полина Егоровна</v>
      </c>
      <c r="O144" t="s">
        <v>8</v>
      </c>
      <c r="P144" t="s">
        <v>193</v>
      </c>
      <c r="Q144" t="s">
        <v>418</v>
      </c>
    </row>
    <row r="145" spans="2:17" x14ac:dyDescent="0.3">
      <c r="B145" t="s">
        <v>14</v>
      </c>
      <c r="C145" t="s">
        <v>110</v>
      </c>
      <c r="D145" s="22" t="str">
        <f t="shared" si="10"/>
        <v>2024-01-22</v>
      </c>
      <c r="E145" s="22" t="str">
        <f t="shared" si="11"/>
        <v>2024-01-22</v>
      </c>
      <c r="F145" s="22">
        <f t="shared" si="12"/>
        <v>0</v>
      </c>
      <c r="J145" t="str">
        <f t="shared" si="13"/>
        <v>Ткаченко Андрей ОлеговичКузнецова Дарья Дмитриевна</v>
      </c>
      <c r="K145" t="s">
        <v>5</v>
      </c>
      <c r="L145" t="s">
        <v>43</v>
      </c>
      <c r="M145" t="s">
        <v>145</v>
      </c>
      <c r="N145" t="str">
        <f t="shared" si="14"/>
        <v>Ткаченко Андрей ОлеговичПавлов Роман Владимирович</v>
      </c>
      <c r="O145" t="s">
        <v>5</v>
      </c>
      <c r="P145" t="s">
        <v>169</v>
      </c>
      <c r="Q145" t="s">
        <v>417</v>
      </c>
    </row>
    <row r="146" spans="2:17" x14ac:dyDescent="0.3">
      <c r="B146" t="s">
        <v>14</v>
      </c>
      <c r="C146" t="s">
        <v>162</v>
      </c>
      <c r="D146" s="22" t="str">
        <f t="shared" si="10"/>
        <v>2023-10-27</v>
      </c>
      <c r="E146" s="22" t="str">
        <f t="shared" si="11"/>
        <v>2023-10-27</v>
      </c>
      <c r="F146" s="22">
        <f t="shared" si="12"/>
        <v>0</v>
      </c>
      <c r="J146" t="str">
        <f t="shared" si="13"/>
        <v>Новикова Ольга ПетровнаНовикова Ирина Геннадьевна</v>
      </c>
      <c r="K146" t="s">
        <v>47</v>
      </c>
      <c r="L146" t="s">
        <v>105</v>
      </c>
      <c r="M146" t="s">
        <v>145</v>
      </c>
      <c r="N146" t="str">
        <f t="shared" si="14"/>
        <v>Семенова Ирина ВалерьевнаНовиков Георгий Романович</v>
      </c>
      <c r="O146" t="s">
        <v>12</v>
      </c>
      <c r="P146" t="s">
        <v>270</v>
      </c>
      <c r="Q146" t="s">
        <v>417</v>
      </c>
    </row>
    <row r="147" spans="2:17" x14ac:dyDescent="0.3">
      <c r="B147" t="s">
        <v>14</v>
      </c>
      <c r="C147" t="s">
        <v>165</v>
      </c>
      <c r="D147" s="22" t="str">
        <f t="shared" si="10"/>
        <v>2024-01-02</v>
      </c>
      <c r="E147" s="22" t="str">
        <f t="shared" si="11"/>
        <v>2024-01-02</v>
      </c>
      <c r="F147" s="22">
        <f t="shared" si="12"/>
        <v>0</v>
      </c>
      <c r="J147" t="str">
        <f t="shared" si="13"/>
        <v>Фролов Сергей ВикторовичМорозов Павел Ильич</v>
      </c>
      <c r="K147" t="s">
        <v>40</v>
      </c>
      <c r="L147" t="s">
        <v>146</v>
      </c>
      <c r="M147" t="s">
        <v>145</v>
      </c>
      <c r="N147" t="str">
        <f t="shared" si="14"/>
        <v>Петров Владимир КирилловичИванов Дмитрий Павлович</v>
      </c>
      <c r="O147" t="s">
        <v>50</v>
      </c>
      <c r="P147" t="s">
        <v>124</v>
      </c>
      <c r="Q147" t="s">
        <v>416</v>
      </c>
    </row>
    <row r="148" spans="2:17" x14ac:dyDescent="0.3">
      <c r="B148" t="s">
        <v>14</v>
      </c>
      <c r="C148" t="s">
        <v>231</v>
      </c>
      <c r="D148" s="22" t="str">
        <f t="shared" si="10"/>
        <v>2023-12-11</v>
      </c>
      <c r="E148" s="22" t="str">
        <f t="shared" si="11"/>
        <v>2023-12-11</v>
      </c>
      <c r="F148" s="22">
        <f t="shared" si="12"/>
        <v>0</v>
      </c>
      <c r="J148" t="str">
        <f t="shared" si="13"/>
        <v>Сидорова Елена ВасильевнаНиколаева Юлия Егоровна</v>
      </c>
      <c r="K148" t="s">
        <v>18</v>
      </c>
      <c r="L148" t="s">
        <v>126</v>
      </c>
      <c r="M148" t="s">
        <v>145</v>
      </c>
      <c r="N148" t="str">
        <f t="shared" si="14"/>
        <v>Иванова Анна СергеевнаПетрова Валерия Павловна</v>
      </c>
      <c r="O148" t="s">
        <v>28</v>
      </c>
      <c r="P148" t="s">
        <v>32</v>
      </c>
      <c r="Q148" t="s">
        <v>416</v>
      </c>
    </row>
    <row r="149" spans="2:17" x14ac:dyDescent="0.3">
      <c r="B149" t="s">
        <v>14</v>
      </c>
      <c r="C149" t="s">
        <v>122</v>
      </c>
      <c r="D149" s="22" t="str">
        <f t="shared" si="10"/>
        <v>2024-02-26</v>
      </c>
      <c r="E149" s="22" t="str">
        <f t="shared" si="11"/>
        <v>2024-07-17</v>
      </c>
      <c r="F149" s="22">
        <f t="shared" si="12"/>
        <v>142</v>
      </c>
      <c r="J149" t="str">
        <f t="shared" si="13"/>
        <v>Сидорова Елена ВасильевнаМорозов Андрей Никитич</v>
      </c>
      <c r="K149" t="s">
        <v>18</v>
      </c>
      <c r="L149" t="s">
        <v>147</v>
      </c>
      <c r="M149" t="s">
        <v>145</v>
      </c>
      <c r="N149" t="str">
        <f t="shared" si="14"/>
        <v>Ткаченко Андрей ОлеговичФедоров Илья Владимирович</v>
      </c>
      <c r="O149" t="s">
        <v>5</v>
      </c>
      <c r="P149" t="s">
        <v>34</v>
      </c>
      <c r="Q149" t="s">
        <v>416</v>
      </c>
    </row>
    <row r="150" spans="2:17" x14ac:dyDescent="0.3">
      <c r="B150" t="s">
        <v>14</v>
      </c>
      <c r="C150" t="s">
        <v>217</v>
      </c>
      <c r="D150" s="22" t="str">
        <f t="shared" si="10"/>
        <v>2024-02-19</v>
      </c>
      <c r="E150" s="22" t="str">
        <f t="shared" si="11"/>
        <v>2024-02-19</v>
      </c>
      <c r="F150" s="22">
        <f t="shared" si="12"/>
        <v>0</v>
      </c>
      <c r="J150" t="str">
        <f t="shared" si="13"/>
        <v>Ткаченко Андрей ОлеговичОрлов Матвей Алексеевич</v>
      </c>
      <c r="K150" t="s">
        <v>5</v>
      </c>
      <c r="L150" t="s">
        <v>116</v>
      </c>
      <c r="M150" t="s">
        <v>148</v>
      </c>
      <c r="N150" t="str">
        <f t="shared" si="14"/>
        <v>Громова Мария ИльиничнаИванов Константин Никитич</v>
      </c>
      <c r="O150" t="s">
        <v>14</v>
      </c>
      <c r="P150" t="s">
        <v>284</v>
      </c>
      <c r="Q150" t="s">
        <v>415</v>
      </c>
    </row>
    <row r="151" spans="2:17" x14ac:dyDescent="0.3">
      <c r="B151" t="s">
        <v>14</v>
      </c>
      <c r="C151" t="s">
        <v>34</v>
      </c>
      <c r="D151" s="22" t="str">
        <f t="shared" si="10"/>
        <v>2023-09-07</v>
      </c>
      <c r="E151" s="22" t="str">
        <f t="shared" si="11"/>
        <v>2023-09-07</v>
      </c>
      <c r="F151" s="22">
        <f t="shared" si="12"/>
        <v>0</v>
      </c>
      <c r="J151" t="str">
        <f t="shared" si="13"/>
        <v>Ткаченко Андрей ОлеговичПетров Иван Егорович</v>
      </c>
      <c r="K151" t="s">
        <v>5</v>
      </c>
      <c r="L151" t="s">
        <v>149</v>
      </c>
      <c r="M151" t="s">
        <v>148</v>
      </c>
      <c r="N151" t="str">
        <f t="shared" si="14"/>
        <v>Сидорова Елена ВасильевнаФедорова Виктория Михайловна</v>
      </c>
      <c r="O151" t="s">
        <v>18</v>
      </c>
      <c r="P151" t="s">
        <v>197</v>
      </c>
      <c r="Q151" t="s">
        <v>415</v>
      </c>
    </row>
    <row r="152" spans="2:17" x14ac:dyDescent="0.3">
      <c r="B152" t="s">
        <v>14</v>
      </c>
      <c r="C152" t="s">
        <v>41</v>
      </c>
      <c r="D152" s="22" t="str">
        <f t="shared" si="10"/>
        <v>2023-10-11</v>
      </c>
      <c r="E152" s="22" t="str">
        <f t="shared" si="11"/>
        <v>2023-10-11</v>
      </c>
      <c r="F152" s="22">
        <f t="shared" si="12"/>
        <v>0</v>
      </c>
      <c r="J152" t="str">
        <f t="shared" si="13"/>
        <v>Орлов Павел ДенисовичЕгоров Артур Владимирович</v>
      </c>
      <c r="K152" t="s">
        <v>45</v>
      </c>
      <c r="L152" t="s">
        <v>150</v>
      </c>
      <c r="M152" t="s">
        <v>148</v>
      </c>
      <c r="N152" t="str">
        <f t="shared" si="14"/>
        <v>Орлов Павел ДенисовичПавлов Михаил Геннадьевич</v>
      </c>
      <c r="O152" t="s">
        <v>45</v>
      </c>
      <c r="P152" t="s">
        <v>154</v>
      </c>
      <c r="Q152" t="s">
        <v>415</v>
      </c>
    </row>
    <row r="153" spans="2:17" x14ac:dyDescent="0.3">
      <c r="B153" t="s">
        <v>14</v>
      </c>
      <c r="C153" t="s">
        <v>199</v>
      </c>
      <c r="D153" s="22" t="str">
        <f t="shared" si="10"/>
        <v>2024-02-29</v>
      </c>
      <c r="E153" s="22" t="str">
        <f t="shared" si="11"/>
        <v>2024-02-29</v>
      </c>
      <c r="F153" s="22">
        <f t="shared" si="12"/>
        <v>0</v>
      </c>
      <c r="J153" t="str">
        <f t="shared" si="13"/>
        <v>Орлов Павел ДенисовичОрлов Георгий Кириллович</v>
      </c>
      <c r="K153" t="s">
        <v>45</v>
      </c>
      <c r="L153" t="s">
        <v>30</v>
      </c>
      <c r="M153" t="s">
        <v>148</v>
      </c>
      <c r="N153" t="str">
        <f t="shared" si="14"/>
        <v>Орлов Павел ДенисовичСеменова Наталья Павловна</v>
      </c>
      <c r="O153" t="s">
        <v>45</v>
      </c>
      <c r="P153" t="s">
        <v>194</v>
      </c>
      <c r="Q153" t="s">
        <v>415</v>
      </c>
    </row>
    <row r="154" spans="2:17" x14ac:dyDescent="0.3">
      <c r="B154" t="s">
        <v>28</v>
      </c>
      <c r="C154" t="s">
        <v>95</v>
      </c>
      <c r="D154" s="22" t="str">
        <f t="shared" si="10"/>
        <v>2024-01-22</v>
      </c>
      <c r="E154" s="22" t="str">
        <f t="shared" si="11"/>
        <v>2024-01-22</v>
      </c>
      <c r="F154" s="22">
        <f t="shared" si="12"/>
        <v>0</v>
      </c>
      <c r="J154" t="str">
        <f t="shared" si="13"/>
        <v>Новикова Ольга ПетровнаВасильев Матвей Романович</v>
      </c>
      <c r="K154" t="s">
        <v>47</v>
      </c>
      <c r="L154" t="s">
        <v>24</v>
      </c>
      <c r="M154" t="s">
        <v>148</v>
      </c>
      <c r="N154" t="str">
        <f t="shared" si="14"/>
        <v>Петров Владимир КирилловичПопова Юлия Дмитриевна</v>
      </c>
      <c r="O154" t="s">
        <v>50</v>
      </c>
      <c r="P154" t="s">
        <v>268</v>
      </c>
      <c r="Q154" t="s">
        <v>415</v>
      </c>
    </row>
    <row r="155" spans="2:17" x14ac:dyDescent="0.3">
      <c r="B155" t="s">
        <v>28</v>
      </c>
      <c r="C155" t="s">
        <v>160</v>
      </c>
      <c r="D155" s="22" t="str">
        <f t="shared" si="10"/>
        <v>2024-05-06</v>
      </c>
      <c r="E155" s="22" t="str">
        <f t="shared" si="11"/>
        <v>2024-05-06</v>
      </c>
      <c r="F155" s="22">
        <f t="shared" si="12"/>
        <v>0</v>
      </c>
      <c r="J155" t="str">
        <f t="shared" si="13"/>
        <v>Новикова Ольга ПетровнаФедоров Илья Егорович</v>
      </c>
      <c r="K155" t="s">
        <v>47</v>
      </c>
      <c r="L155" t="s">
        <v>151</v>
      </c>
      <c r="M155" t="s">
        <v>148</v>
      </c>
      <c r="N155" t="str">
        <f t="shared" si="14"/>
        <v>Фролов Сергей ВикторовичСидоров Дмитрий Кириллович</v>
      </c>
      <c r="O155" t="s">
        <v>40</v>
      </c>
      <c r="P155" t="s">
        <v>166</v>
      </c>
      <c r="Q155" t="s">
        <v>415</v>
      </c>
    </row>
    <row r="156" spans="2:17" x14ac:dyDescent="0.3">
      <c r="B156" t="s">
        <v>28</v>
      </c>
      <c r="C156" t="s">
        <v>53</v>
      </c>
      <c r="D156" s="22" t="str">
        <f t="shared" si="10"/>
        <v>2023-09-18</v>
      </c>
      <c r="E156" s="22" t="str">
        <f t="shared" si="11"/>
        <v>2023-09-18</v>
      </c>
      <c r="F156" s="22">
        <f t="shared" si="12"/>
        <v>0</v>
      </c>
      <c r="J156" t="str">
        <f t="shared" si="13"/>
        <v>Кузнецов Дмитрий ЛьвовичИванов Кирилл Владимирович</v>
      </c>
      <c r="K156" t="s">
        <v>10</v>
      </c>
      <c r="L156" t="s">
        <v>152</v>
      </c>
      <c r="M156" t="s">
        <v>148</v>
      </c>
      <c r="N156" t="str">
        <f t="shared" si="14"/>
        <v>Яковлев Артем ИгоревичНовикова Мария Викторовна</v>
      </c>
      <c r="O156" t="s">
        <v>8</v>
      </c>
      <c r="P156" t="s">
        <v>247</v>
      </c>
      <c r="Q156" t="s">
        <v>415</v>
      </c>
    </row>
    <row r="157" spans="2:17" x14ac:dyDescent="0.3">
      <c r="B157" t="s">
        <v>28</v>
      </c>
      <c r="C157" t="s">
        <v>150</v>
      </c>
      <c r="D157" s="22" t="str">
        <f t="shared" si="10"/>
        <v>2024-08-05</v>
      </c>
      <c r="E157" s="22" t="str">
        <f t="shared" si="11"/>
        <v>2024-08-05</v>
      </c>
      <c r="F157" s="22">
        <f t="shared" si="12"/>
        <v>0</v>
      </c>
      <c r="J157" t="str">
        <f t="shared" si="13"/>
        <v>Семенова Ирина ВалерьевнаСтепанов Илья Викторович</v>
      </c>
      <c r="K157" t="s">
        <v>12</v>
      </c>
      <c r="L157" t="s">
        <v>153</v>
      </c>
      <c r="M157" t="s">
        <v>148</v>
      </c>
      <c r="N157" t="str">
        <f t="shared" si="14"/>
        <v>Громова Мария ИльиничнаОрлов Сергей Иванович</v>
      </c>
      <c r="O157" t="s">
        <v>14</v>
      </c>
      <c r="P157" t="s">
        <v>364</v>
      </c>
      <c r="Q157" t="s">
        <v>414</v>
      </c>
    </row>
    <row r="158" spans="2:17" x14ac:dyDescent="0.3">
      <c r="B158" t="s">
        <v>28</v>
      </c>
      <c r="C158" t="s">
        <v>238</v>
      </c>
      <c r="D158" s="22" t="str">
        <f t="shared" si="10"/>
        <v>2024-08-12</v>
      </c>
      <c r="E158" s="22" t="str">
        <f t="shared" si="11"/>
        <v>2024-08-12</v>
      </c>
      <c r="F158" s="22">
        <f t="shared" si="12"/>
        <v>0</v>
      </c>
      <c r="J158" t="str">
        <f t="shared" si="13"/>
        <v>Фролов Сергей ВикторовичПавлов Михаил Геннадьевич</v>
      </c>
      <c r="K158" t="s">
        <v>40</v>
      </c>
      <c r="L158" t="s">
        <v>154</v>
      </c>
      <c r="M158" t="s">
        <v>155</v>
      </c>
      <c r="N158" t="str">
        <f t="shared" si="14"/>
        <v>Орлов Павел ДенисовичПетров Иван Егорович</v>
      </c>
      <c r="O158" t="s">
        <v>45</v>
      </c>
      <c r="P158" t="s">
        <v>149</v>
      </c>
      <c r="Q158" t="s">
        <v>414</v>
      </c>
    </row>
    <row r="159" spans="2:17" x14ac:dyDescent="0.3">
      <c r="B159" t="s">
        <v>28</v>
      </c>
      <c r="C159" t="s">
        <v>63</v>
      </c>
      <c r="D159" s="22" t="str">
        <f t="shared" si="10"/>
        <v>2024-08-26</v>
      </c>
      <c r="E159" s="22" t="str">
        <f t="shared" si="11"/>
        <v>2024-08-26</v>
      </c>
      <c r="F159" s="22">
        <f t="shared" si="12"/>
        <v>0</v>
      </c>
      <c r="J159" t="str">
        <f t="shared" si="13"/>
        <v>Белов Алексей КонстантиновичСмирнов Артем Егорович</v>
      </c>
      <c r="K159" t="s">
        <v>21</v>
      </c>
      <c r="L159" t="s">
        <v>127</v>
      </c>
      <c r="M159" t="s">
        <v>155</v>
      </c>
      <c r="N159" t="str">
        <f t="shared" si="14"/>
        <v>Ткаченко Андрей ОлеговичКозлов Илья Егорович</v>
      </c>
      <c r="O159" t="s">
        <v>5</v>
      </c>
      <c r="P159" t="s">
        <v>222</v>
      </c>
      <c r="Q159" t="s">
        <v>414</v>
      </c>
    </row>
    <row r="160" spans="2:17" x14ac:dyDescent="0.3">
      <c r="B160" t="s">
        <v>28</v>
      </c>
      <c r="C160" t="s">
        <v>96</v>
      </c>
      <c r="D160" s="22" t="str">
        <f t="shared" si="10"/>
        <v>2024-07-09</v>
      </c>
      <c r="E160" s="22" t="str">
        <f t="shared" si="11"/>
        <v>2024-07-09</v>
      </c>
      <c r="F160" s="22">
        <f t="shared" si="12"/>
        <v>0</v>
      </c>
      <c r="J160" t="str">
        <f t="shared" si="13"/>
        <v>Семенова Ирина ВалерьевнаЛебедев Никита Сергеевич</v>
      </c>
      <c r="K160" t="s">
        <v>12</v>
      </c>
      <c r="L160" t="s">
        <v>156</v>
      </c>
      <c r="M160" t="s">
        <v>155</v>
      </c>
      <c r="N160" t="str">
        <f t="shared" si="14"/>
        <v>Иванова Анна СергеевнаСмирнов Георгий Ильич</v>
      </c>
      <c r="O160" t="s">
        <v>28</v>
      </c>
      <c r="P160" t="s">
        <v>162</v>
      </c>
      <c r="Q160" t="s">
        <v>413</v>
      </c>
    </row>
    <row r="161" spans="2:17" x14ac:dyDescent="0.3">
      <c r="B161" t="s">
        <v>28</v>
      </c>
      <c r="C161" t="s">
        <v>74</v>
      </c>
      <c r="D161" s="22" t="str">
        <f t="shared" si="10"/>
        <v>2023-09-18</v>
      </c>
      <c r="E161" s="22" t="str">
        <f t="shared" si="11"/>
        <v>2023-09-18</v>
      </c>
      <c r="F161" s="22">
        <f t="shared" si="12"/>
        <v>0</v>
      </c>
      <c r="J161" t="str">
        <f t="shared" si="13"/>
        <v>Сидорова Елена ВасильевнаОрлов Александр Иванович</v>
      </c>
      <c r="K161" t="s">
        <v>18</v>
      </c>
      <c r="L161" t="s">
        <v>69</v>
      </c>
      <c r="M161" t="s">
        <v>155</v>
      </c>
      <c r="N161" t="str">
        <f t="shared" si="14"/>
        <v>Петров Владимир КирилловичКозлова София Станиславовна</v>
      </c>
      <c r="O161" t="s">
        <v>50</v>
      </c>
      <c r="P161" t="s">
        <v>54</v>
      </c>
      <c r="Q161" t="s">
        <v>413</v>
      </c>
    </row>
    <row r="162" spans="2:17" x14ac:dyDescent="0.3">
      <c r="B162" t="s">
        <v>28</v>
      </c>
      <c r="C162" t="s">
        <v>54</v>
      </c>
      <c r="D162" s="22" t="str">
        <f t="shared" si="10"/>
        <v>2024-05-06</v>
      </c>
      <c r="E162" s="22" t="str">
        <f t="shared" si="11"/>
        <v>2024-05-06</v>
      </c>
      <c r="F162" s="22">
        <f t="shared" si="12"/>
        <v>0</v>
      </c>
      <c r="J162" t="str">
        <f t="shared" si="13"/>
        <v>Сидорова Елена ВасильевнаНиколаев Артем Олегович</v>
      </c>
      <c r="K162" t="s">
        <v>18</v>
      </c>
      <c r="L162" t="s">
        <v>80</v>
      </c>
      <c r="M162" t="s">
        <v>155</v>
      </c>
      <c r="N162" t="str">
        <f t="shared" si="14"/>
        <v>Петров Владимир КирилловичПетров Илья Андреевич</v>
      </c>
      <c r="O162" t="s">
        <v>50</v>
      </c>
      <c r="P162" t="s">
        <v>70</v>
      </c>
      <c r="Q162" t="s">
        <v>411</v>
      </c>
    </row>
    <row r="163" spans="2:17" x14ac:dyDescent="0.3">
      <c r="B163" t="s">
        <v>28</v>
      </c>
      <c r="C163" t="s">
        <v>185</v>
      </c>
      <c r="D163" s="22" t="str">
        <f t="shared" si="10"/>
        <v>2023-11-08</v>
      </c>
      <c r="E163" s="22" t="str">
        <f t="shared" si="11"/>
        <v>2023-11-21</v>
      </c>
      <c r="F163" s="22">
        <f t="shared" si="12"/>
        <v>13</v>
      </c>
      <c r="J163" t="str">
        <f t="shared" si="13"/>
        <v>Орлов Павел ДенисовичЛебедева Анна Викторовна</v>
      </c>
      <c r="K163" t="s">
        <v>45</v>
      </c>
      <c r="L163" t="s">
        <v>48</v>
      </c>
      <c r="M163" t="s">
        <v>157</v>
      </c>
      <c r="N163" t="str">
        <f t="shared" si="14"/>
        <v>Кузнецов Дмитрий ЛьвовичВасильева София Александровна</v>
      </c>
      <c r="O163" t="s">
        <v>10</v>
      </c>
      <c r="P163" t="s">
        <v>235</v>
      </c>
      <c r="Q163" t="s">
        <v>411</v>
      </c>
    </row>
    <row r="164" spans="2:17" x14ac:dyDescent="0.3">
      <c r="B164" t="s">
        <v>28</v>
      </c>
      <c r="C164" t="s">
        <v>67</v>
      </c>
      <c r="D164" s="22" t="str">
        <f t="shared" si="10"/>
        <v>2024-05-13</v>
      </c>
      <c r="E164" s="22" t="str">
        <f t="shared" si="11"/>
        <v>2024-05-13</v>
      </c>
      <c r="F164" s="22">
        <f t="shared" si="12"/>
        <v>0</v>
      </c>
      <c r="J164" t="str">
        <f t="shared" si="13"/>
        <v>Новикова Ольга ПетровнаЛебедев Матвей Кириллович</v>
      </c>
      <c r="K164" t="s">
        <v>47</v>
      </c>
      <c r="L164" t="s">
        <v>123</v>
      </c>
      <c r="M164" t="s">
        <v>157</v>
      </c>
      <c r="N164" t="str">
        <f t="shared" si="14"/>
        <v>Петров Владимир КирилловичВасильева Александра Александровна</v>
      </c>
      <c r="O164" t="s">
        <v>50</v>
      </c>
      <c r="P164" t="s">
        <v>412</v>
      </c>
      <c r="Q164" t="s">
        <v>411</v>
      </c>
    </row>
    <row r="165" spans="2:17" x14ac:dyDescent="0.3">
      <c r="B165" t="s">
        <v>28</v>
      </c>
      <c r="C165" t="s">
        <v>22</v>
      </c>
      <c r="D165" s="22" t="str">
        <f t="shared" si="10"/>
        <v>2024-05-31</v>
      </c>
      <c r="E165" s="22" t="str">
        <f t="shared" si="11"/>
        <v>2024-05-31</v>
      </c>
      <c r="F165" s="22">
        <f t="shared" si="12"/>
        <v>0</v>
      </c>
      <c r="J165" t="str">
        <f t="shared" si="13"/>
        <v>Яковлев Артем ИгоревичСидорова Наталья Викторовна</v>
      </c>
      <c r="K165" t="s">
        <v>8</v>
      </c>
      <c r="L165" t="s">
        <v>158</v>
      </c>
      <c r="M165" t="s">
        <v>157</v>
      </c>
      <c r="N165" t="str">
        <f t="shared" si="14"/>
        <v>Фролов Сергей ВикторовичЕгорова Наталья Дмитриевна</v>
      </c>
      <c r="O165" t="s">
        <v>40</v>
      </c>
      <c r="P165" t="s">
        <v>251</v>
      </c>
      <c r="Q165" t="s">
        <v>410</v>
      </c>
    </row>
    <row r="166" spans="2:17" x14ac:dyDescent="0.3">
      <c r="B166" t="s">
        <v>28</v>
      </c>
      <c r="C166" t="s">
        <v>302</v>
      </c>
      <c r="D166" s="22" t="str">
        <f t="shared" si="10"/>
        <v>2024-04-29</v>
      </c>
      <c r="E166" s="22" t="str">
        <f t="shared" si="11"/>
        <v>2024-04-29</v>
      </c>
      <c r="F166" s="22">
        <f t="shared" si="12"/>
        <v>0</v>
      </c>
      <c r="J166" t="str">
        <f t="shared" si="13"/>
        <v>Ткаченко Андрей ОлеговичНиколаева Юлия Егоровна</v>
      </c>
      <c r="K166" t="s">
        <v>5</v>
      </c>
      <c r="L166" t="s">
        <v>126</v>
      </c>
      <c r="M166" t="s">
        <v>157</v>
      </c>
      <c r="N166" t="str">
        <f t="shared" si="14"/>
        <v>Новикова Ольга ПетровнаПетров Илья Андреевич</v>
      </c>
      <c r="O166" t="s">
        <v>47</v>
      </c>
      <c r="P166" t="s">
        <v>70</v>
      </c>
      <c r="Q166" t="s">
        <v>409</v>
      </c>
    </row>
    <row r="167" spans="2:17" x14ac:dyDescent="0.3">
      <c r="B167" t="s">
        <v>28</v>
      </c>
      <c r="C167" t="s">
        <v>440</v>
      </c>
      <c r="D167" s="22" t="str">
        <f t="shared" si="10"/>
        <v>2024-08-05</v>
      </c>
      <c r="E167" s="22" t="str">
        <f t="shared" si="11"/>
        <v>2024-08-05</v>
      </c>
      <c r="F167" s="22">
        <f t="shared" si="12"/>
        <v>0</v>
      </c>
      <c r="J167" t="str">
        <f t="shared" si="13"/>
        <v>Кузнецов Дмитрий ЛьвовичМорозова Полина Александровна</v>
      </c>
      <c r="K167" t="s">
        <v>10</v>
      </c>
      <c r="L167" t="s">
        <v>62</v>
      </c>
      <c r="M167" t="s">
        <v>159</v>
      </c>
      <c r="N167" t="str">
        <f t="shared" si="14"/>
        <v>Яковлев Артем ИгоревичЛебедева Анна Викторовна</v>
      </c>
      <c r="O167" t="s">
        <v>8</v>
      </c>
      <c r="P167" t="s">
        <v>48</v>
      </c>
      <c r="Q167" t="s">
        <v>409</v>
      </c>
    </row>
    <row r="168" spans="2:17" x14ac:dyDescent="0.3">
      <c r="B168" t="s">
        <v>28</v>
      </c>
      <c r="C168" t="s">
        <v>49</v>
      </c>
      <c r="D168" s="22" t="str">
        <f t="shared" si="10"/>
        <v>2024-03-18</v>
      </c>
      <c r="E168" s="22" t="str">
        <f t="shared" si="11"/>
        <v>2024-04-15</v>
      </c>
      <c r="F168" s="22">
        <f t="shared" si="12"/>
        <v>28</v>
      </c>
      <c r="J168" t="str">
        <f t="shared" si="13"/>
        <v>Петров Владимир КирилловичМорозова Мария Дмитриевна</v>
      </c>
      <c r="K168" t="s">
        <v>50</v>
      </c>
      <c r="L168" t="s">
        <v>84</v>
      </c>
      <c r="M168" t="s">
        <v>159</v>
      </c>
      <c r="N168" t="str">
        <f t="shared" si="14"/>
        <v>Иванова Анна СергеевнаМорозова Светлана Артемовна</v>
      </c>
      <c r="O168" t="s">
        <v>28</v>
      </c>
      <c r="P168" t="s">
        <v>107</v>
      </c>
      <c r="Q168" t="s">
        <v>409</v>
      </c>
    </row>
    <row r="169" spans="2:17" x14ac:dyDescent="0.3">
      <c r="B169" t="s">
        <v>28</v>
      </c>
      <c r="C169" t="s">
        <v>262</v>
      </c>
      <c r="D169" s="22" t="str">
        <f t="shared" si="10"/>
        <v>2024-04-24</v>
      </c>
      <c r="E169" s="22" t="str">
        <f t="shared" si="11"/>
        <v>2024-04-24</v>
      </c>
      <c r="F169" s="22">
        <f t="shared" si="12"/>
        <v>0</v>
      </c>
      <c r="J169" t="str">
        <f t="shared" si="13"/>
        <v>Орлов Павел ДенисовичЕгоров Артем Никитич</v>
      </c>
      <c r="K169" t="s">
        <v>45</v>
      </c>
      <c r="L169" t="s">
        <v>25</v>
      </c>
      <c r="M169" t="s">
        <v>159</v>
      </c>
      <c r="N169" t="str">
        <f t="shared" si="14"/>
        <v>Орлов Павел ДенисовичПавлова Екатерина Егоровна</v>
      </c>
      <c r="O169" t="s">
        <v>45</v>
      </c>
      <c r="P169" t="s">
        <v>141</v>
      </c>
      <c r="Q169" t="s">
        <v>409</v>
      </c>
    </row>
    <row r="170" spans="2:17" x14ac:dyDescent="0.3">
      <c r="B170" t="s">
        <v>28</v>
      </c>
      <c r="C170" t="s">
        <v>183</v>
      </c>
      <c r="D170" s="22" t="str">
        <f t="shared" si="10"/>
        <v>2024-03-08</v>
      </c>
      <c r="E170" s="22" t="str">
        <f t="shared" si="11"/>
        <v>2024-03-08</v>
      </c>
      <c r="F170" s="22">
        <f t="shared" si="12"/>
        <v>0</v>
      </c>
      <c r="J170" t="str">
        <f t="shared" si="13"/>
        <v>Фролов Сергей ВикторовичВасильев Матвей Геннадьевич</v>
      </c>
      <c r="K170" t="s">
        <v>40</v>
      </c>
      <c r="L170" t="s">
        <v>160</v>
      </c>
      <c r="M170" t="s">
        <v>161</v>
      </c>
      <c r="N170" t="str">
        <f t="shared" si="14"/>
        <v>Фролов Сергей ВикторовичСидоров Кирилл Кириллович</v>
      </c>
      <c r="O170" t="s">
        <v>40</v>
      </c>
      <c r="P170" t="s">
        <v>137</v>
      </c>
      <c r="Q170" t="s">
        <v>409</v>
      </c>
    </row>
    <row r="171" spans="2:17" x14ac:dyDescent="0.3">
      <c r="B171" t="s">
        <v>28</v>
      </c>
      <c r="C171" t="s">
        <v>131</v>
      </c>
      <c r="D171" s="22" t="str">
        <f t="shared" si="10"/>
        <v>2024-05-02</v>
      </c>
      <c r="E171" s="22" t="str">
        <f t="shared" si="11"/>
        <v>2024-05-02</v>
      </c>
      <c r="F171" s="22">
        <f t="shared" si="12"/>
        <v>0</v>
      </c>
      <c r="J171" t="str">
        <f t="shared" si="13"/>
        <v>Кузнецов Дмитрий ЛьвовичКозлов Роман Александрович</v>
      </c>
      <c r="K171" t="s">
        <v>10</v>
      </c>
      <c r="L171" t="s">
        <v>74</v>
      </c>
      <c r="M171" t="s">
        <v>161</v>
      </c>
      <c r="N171" t="str">
        <f t="shared" si="14"/>
        <v>Орлов Павел ДенисовичВасильев Илья Александрович</v>
      </c>
      <c r="O171" t="s">
        <v>45</v>
      </c>
      <c r="P171" t="s">
        <v>297</v>
      </c>
      <c r="Q171" t="s">
        <v>409</v>
      </c>
    </row>
    <row r="172" spans="2:17" x14ac:dyDescent="0.3">
      <c r="B172" t="s">
        <v>28</v>
      </c>
      <c r="C172" t="s">
        <v>388</v>
      </c>
      <c r="D172" s="22" t="str">
        <f t="shared" si="10"/>
        <v>2024-05-29</v>
      </c>
      <c r="E172" s="22" t="str">
        <f t="shared" si="11"/>
        <v>2024-06-17</v>
      </c>
      <c r="F172" s="22">
        <f t="shared" si="12"/>
        <v>19</v>
      </c>
      <c r="J172" t="str">
        <f t="shared" si="13"/>
        <v>Громова Мария ИльиничнаСмирнов Георгий Ильич</v>
      </c>
      <c r="K172" t="s">
        <v>14</v>
      </c>
      <c r="L172" t="s">
        <v>162</v>
      </c>
      <c r="M172" t="s">
        <v>161</v>
      </c>
      <c r="N172" t="str">
        <f t="shared" si="14"/>
        <v>Кузнецов Дмитрий ЛьвовичЛебедева Татьяна Павловна</v>
      </c>
      <c r="O172" t="s">
        <v>10</v>
      </c>
      <c r="P172" t="s">
        <v>387</v>
      </c>
      <c r="Q172" t="s">
        <v>409</v>
      </c>
    </row>
    <row r="173" spans="2:17" x14ac:dyDescent="0.3">
      <c r="B173" t="s">
        <v>28</v>
      </c>
      <c r="C173" t="s">
        <v>312</v>
      </c>
      <c r="D173" s="22" t="str">
        <f t="shared" si="10"/>
        <v>2024-03-26</v>
      </c>
      <c r="E173" s="22" t="str">
        <f t="shared" si="11"/>
        <v>2024-03-26</v>
      </c>
      <c r="F173" s="22">
        <f t="shared" si="12"/>
        <v>0</v>
      </c>
      <c r="J173" t="str">
        <f t="shared" si="13"/>
        <v>Яковлев Артем ИгоревичСеменов Дмитрий Олегович</v>
      </c>
      <c r="K173" t="s">
        <v>8</v>
      </c>
      <c r="L173" t="s">
        <v>9</v>
      </c>
      <c r="M173" t="s">
        <v>161</v>
      </c>
      <c r="N173" t="str">
        <f t="shared" si="14"/>
        <v>Кузнецов Дмитрий ЛьвовичОрлова Людмила Михайловна</v>
      </c>
      <c r="O173" t="s">
        <v>10</v>
      </c>
      <c r="P173" t="s">
        <v>138</v>
      </c>
      <c r="Q173" t="s">
        <v>409</v>
      </c>
    </row>
    <row r="174" spans="2:17" x14ac:dyDescent="0.3">
      <c r="B174" t="s">
        <v>28</v>
      </c>
      <c r="C174" t="s">
        <v>146</v>
      </c>
      <c r="D174" s="22" t="str">
        <f t="shared" si="10"/>
        <v>2024-05-24</v>
      </c>
      <c r="E174" s="22" t="str">
        <f t="shared" si="11"/>
        <v>2024-05-24</v>
      </c>
      <c r="F174" s="22">
        <f t="shared" si="12"/>
        <v>0</v>
      </c>
      <c r="J174" t="str">
        <f t="shared" si="13"/>
        <v>Иванова Анна СергеевнаСмирнова Юлия Олеговна</v>
      </c>
      <c r="K174" t="s">
        <v>28</v>
      </c>
      <c r="L174" t="s">
        <v>163</v>
      </c>
      <c r="M174" t="s">
        <v>164</v>
      </c>
      <c r="N174" t="str">
        <f t="shared" si="14"/>
        <v>Яковлев Артем ИгоревичНовиков Михаил Владимирович</v>
      </c>
      <c r="O174" t="s">
        <v>8</v>
      </c>
      <c r="P174" t="s">
        <v>36</v>
      </c>
      <c r="Q174" t="s">
        <v>409</v>
      </c>
    </row>
    <row r="175" spans="2:17" x14ac:dyDescent="0.3">
      <c r="B175" t="s">
        <v>28</v>
      </c>
      <c r="C175" t="s">
        <v>174</v>
      </c>
      <c r="D175" s="22" t="str">
        <f t="shared" si="10"/>
        <v>2023-11-22</v>
      </c>
      <c r="E175" s="22" t="str">
        <f t="shared" si="11"/>
        <v>2023-11-22</v>
      </c>
      <c r="F175" s="22">
        <f t="shared" si="12"/>
        <v>0</v>
      </c>
      <c r="J175" t="str">
        <f t="shared" si="13"/>
        <v>Фролов Сергей ВикторовичВасильев Никита Павлович</v>
      </c>
      <c r="K175" t="s">
        <v>40</v>
      </c>
      <c r="L175" t="s">
        <v>89</v>
      </c>
      <c r="M175" t="s">
        <v>164</v>
      </c>
      <c r="N175" t="str">
        <f t="shared" si="14"/>
        <v>Кузнецов Дмитрий ЛьвовичФедоров Илья Владимирович</v>
      </c>
      <c r="O175" t="s">
        <v>10</v>
      </c>
      <c r="P175" t="s">
        <v>34</v>
      </c>
      <c r="Q175" t="s">
        <v>409</v>
      </c>
    </row>
    <row r="176" spans="2:17" x14ac:dyDescent="0.3">
      <c r="B176" t="s">
        <v>28</v>
      </c>
      <c r="C176" t="s">
        <v>84</v>
      </c>
      <c r="D176" s="22" t="str">
        <f t="shared" si="10"/>
        <v>2024-01-18</v>
      </c>
      <c r="E176" s="22" t="str">
        <f t="shared" si="11"/>
        <v>2024-01-18</v>
      </c>
      <c r="F176" s="22">
        <f t="shared" si="12"/>
        <v>0</v>
      </c>
      <c r="J176" t="str">
        <f t="shared" si="13"/>
        <v>Петров Владимир КирилловичСмирнов Дмитрий Никитич</v>
      </c>
      <c r="K176" t="s">
        <v>50</v>
      </c>
      <c r="L176" t="s">
        <v>165</v>
      </c>
      <c r="M176" t="s">
        <v>164</v>
      </c>
      <c r="N176" t="str">
        <f t="shared" si="14"/>
        <v>Фролов Сергей ВикторовичМорозова София Геннадьевна</v>
      </c>
      <c r="O176" t="s">
        <v>40</v>
      </c>
      <c r="P176" t="s">
        <v>115</v>
      </c>
      <c r="Q176" t="s">
        <v>409</v>
      </c>
    </row>
    <row r="177" spans="2:17" x14ac:dyDescent="0.3">
      <c r="B177" t="s">
        <v>28</v>
      </c>
      <c r="C177" t="s">
        <v>107</v>
      </c>
      <c r="D177" s="22" t="str">
        <f t="shared" si="10"/>
        <v>2024-06-24</v>
      </c>
      <c r="E177" s="22" t="str">
        <f t="shared" si="11"/>
        <v>2024-06-24</v>
      </c>
      <c r="F177" s="22">
        <f t="shared" si="12"/>
        <v>0</v>
      </c>
      <c r="J177" t="str">
        <f t="shared" si="13"/>
        <v>Новикова Ольга ПетровнаСидоров Дмитрий Кириллович</v>
      </c>
      <c r="K177" t="s">
        <v>47</v>
      </c>
      <c r="L177" t="s">
        <v>166</v>
      </c>
      <c r="M177" t="s">
        <v>164</v>
      </c>
      <c r="N177" t="str">
        <f t="shared" si="14"/>
        <v>Яковлев Артем ИгоревичЛебедев Артем Кириллович</v>
      </c>
      <c r="O177" t="s">
        <v>8</v>
      </c>
      <c r="P177" t="s">
        <v>49</v>
      </c>
      <c r="Q177" t="s">
        <v>409</v>
      </c>
    </row>
    <row r="178" spans="2:17" x14ac:dyDescent="0.3">
      <c r="B178" t="s">
        <v>28</v>
      </c>
      <c r="C178" t="s">
        <v>80</v>
      </c>
      <c r="D178" s="22" t="str">
        <f t="shared" si="10"/>
        <v>2024-04-22</v>
      </c>
      <c r="E178" s="22" t="str">
        <f t="shared" si="11"/>
        <v>2024-04-22</v>
      </c>
      <c r="F178" s="22">
        <f t="shared" si="12"/>
        <v>0</v>
      </c>
      <c r="J178" t="str">
        <f t="shared" si="13"/>
        <v>Фролов Сергей ВикторовичОрлов Матвей Алексеевич</v>
      </c>
      <c r="K178" t="s">
        <v>40</v>
      </c>
      <c r="L178" t="s">
        <v>116</v>
      </c>
      <c r="M178" t="s">
        <v>164</v>
      </c>
      <c r="N178" t="str">
        <f t="shared" si="14"/>
        <v>Громова Мария ИльиничнаМорозова Мария Дмитриевна</v>
      </c>
      <c r="O178" t="s">
        <v>14</v>
      </c>
      <c r="P178" t="s">
        <v>84</v>
      </c>
      <c r="Q178" t="s">
        <v>408</v>
      </c>
    </row>
    <row r="179" spans="2:17" x14ac:dyDescent="0.3">
      <c r="B179" t="s">
        <v>28</v>
      </c>
      <c r="C179" t="s">
        <v>277</v>
      </c>
      <c r="D179" s="22" t="str">
        <f t="shared" si="10"/>
        <v>2024-08-27</v>
      </c>
      <c r="E179" s="22" t="str">
        <f t="shared" si="11"/>
        <v>2024-08-27</v>
      </c>
      <c r="F179" s="22">
        <f t="shared" si="12"/>
        <v>0</v>
      </c>
      <c r="J179" t="str">
        <f t="shared" si="13"/>
        <v>Орлов Павел ДенисовичОрлов Александр Иванович</v>
      </c>
      <c r="K179" t="s">
        <v>45</v>
      </c>
      <c r="L179" t="s">
        <v>69</v>
      </c>
      <c r="M179" t="s">
        <v>164</v>
      </c>
      <c r="N179" t="str">
        <f t="shared" si="14"/>
        <v>Новикова Ольга ПетровнаСтепанова Полина Артемовна</v>
      </c>
      <c r="O179" t="s">
        <v>47</v>
      </c>
      <c r="P179" t="s">
        <v>35</v>
      </c>
      <c r="Q179" t="s">
        <v>408</v>
      </c>
    </row>
    <row r="180" spans="2:17" x14ac:dyDescent="0.3">
      <c r="B180" t="s">
        <v>28</v>
      </c>
      <c r="C180" t="s">
        <v>193</v>
      </c>
      <c r="D180" s="22" t="str">
        <f t="shared" si="10"/>
        <v>2024-03-20</v>
      </c>
      <c r="E180" s="22" t="str">
        <f t="shared" si="11"/>
        <v>2024-03-20</v>
      </c>
      <c r="F180" s="22">
        <f t="shared" si="12"/>
        <v>0</v>
      </c>
      <c r="J180" t="str">
        <f t="shared" si="13"/>
        <v>Ткаченко Андрей ОлеговичПопова Виктория Геннадьевна</v>
      </c>
      <c r="K180" t="s">
        <v>5</v>
      </c>
      <c r="L180" t="s">
        <v>167</v>
      </c>
      <c r="M180" t="s">
        <v>164</v>
      </c>
      <c r="N180" t="str">
        <f t="shared" si="14"/>
        <v>Белов Алексей КонстантиновичПетров Павел Кириллович</v>
      </c>
      <c r="O180" t="s">
        <v>21</v>
      </c>
      <c r="P180" t="s">
        <v>78</v>
      </c>
      <c r="Q180" t="s">
        <v>407</v>
      </c>
    </row>
    <row r="181" spans="2:17" x14ac:dyDescent="0.3">
      <c r="B181" t="s">
        <v>28</v>
      </c>
      <c r="C181" t="s">
        <v>315</v>
      </c>
      <c r="D181" s="22" t="str">
        <f t="shared" si="10"/>
        <v>2024-03-29</v>
      </c>
      <c r="E181" s="22" t="str">
        <f t="shared" si="11"/>
        <v>2024-03-29</v>
      </c>
      <c r="F181" s="22">
        <f t="shared" si="12"/>
        <v>0</v>
      </c>
      <c r="J181" t="str">
        <f t="shared" si="13"/>
        <v>Яковлев Артем ИгоревичЕгорова Татьяна Александровна</v>
      </c>
      <c r="K181" t="s">
        <v>8</v>
      </c>
      <c r="L181" t="s">
        <v>168</v>
      </c>
      <c r="M181" t="s">
        <v>164</v>
      </c>
      <c r="N181" t="str">
        <f t="shared" si="14"/>
        <v>Яковлев Артем ИгоревичКозлов Илья Егорович</v>
      </c>
      <c r="O181" t="s">
        <v>8</v>
      </c>
      <c r="P181" t="s">
        <v>222</v>
      </c>
      <c r="Q181" t="s">
        <v>407</v>
      </c>
    </row>
    <row r="182" spans="2:17" x14ac:dyDescent="0.3">
      <c r="B182" t="s">
        <v>28</v>
      </c>
      <c r="C182" t="s">
        <v>205</v>
      </c>
      <c r="D182" s="22" t="str">
        <f t="shared" si="10"/>
        <v>2024-02-15</v>
      </c>
      <c r="E182" s="22" t="str">
        <f t="shared" si="11"/>
        <v>2024-05-24</v>
      </c>
      <c r="F182" s="22">
        <f t="shared" si="12"/>
        <v>99</v>
      </c>
      <c r="J182" t="str">
        <f t="shared" si="13"/>
        <v>Ткаченко Андрей ОлеговичПавлов Роман Владимирович</v>
      </c>
      <c r="K182" t="s">
        <v>5</v>
      </c>
      <c r="L182" t="s">
        <v>169</v>
      </c>
      <c r="M182" t="s">
        <v>170</v>
      </c>
      <c r="N182" t="str">
        <f t="shared" si="14"/>
        <v>Ткаченко Андрей ОлеговичВасильев Матвей Андреевич</v>
      </c>
      <c r="O182" t="s">
        <v>5</v>
      </c>
      <c r="P182" t="s">
        <v>95</v>
      </c>
      <c r="Q182" t="s">
        <v>406</v>
      </c>
    </row>
    <row r="183" spans="2:17" x14ac:dyDescent="0.3">
      <c r="B183" t="s">
        <v>28</v>
      </c>
      <c r="C183" t="s">
        <v>81</v>
      </c>
      <c r="D183" s="22" t="str">
        <f t="shared" si="10"/>
        <v>2024-02-26</v>
      </c>
      <c r="E183" s="22" t="str">
        <f t="shared" si="11"/>
        <v>2024-02-26</v>
      </c>
      <c r="F183" s="22">
        <f t="shared" si="12"/>
        <v>0</v>
      </c>
      <c r="J183" t="str">
        <f t="shared" si="13"/>
        <v>Орлов Павел ДенисовичОрлова Юлия Алексеевна</v>
      </c>
      <c r="K183" t="s">
        <v>45</v>
      </c>
      <c r="L183" t="s">
        <v>171</v>
      </c>
      <c r="M183" t="s">
        <v>172</v>
      </c>
      <c r="N183" t="str">
        <f t="shared" si="14"/>
        <v>Сидорова Елена ВасильевнаНиколаева Полина Егоровна</v>
      </c>
      <c r="O183" t="s">
        <v>18</v>
      </c>
      <c r="P183" t="s">
        <v>193</v>
      </c>
      <c r="Q183" t="s">
        <v>406</v>
      </c>
    </row>
    <row r="184" spans="2:17" x14ac:dyDescent="0.3">
      <c r="B184" t="s">
        <v>28</v>
      </c>
      <c r="C184" t="s">
        <v>181</v>
      </c>
      <c r="D184" s="22" t="str">
        <f t="shared" si="10"/>
        <v>2024-09-02</v>
      </c>
      <c r="E184" s="22" t="str">
        <f t="shared" si="11"/>
        <v>2024-09-02</v>
      </c>
      <c r="F184" s="22">
        <f t="shared" si="12"/>
        <v>0</v>
      </c>
      <c r="J184" t="str">
        <f t="shared" si="13"/>
        <v>Белов Алексей КонстантиновичВасильев Павел Егорович</v>
      </c>
      <c r="K184" t="s">
        <v>21</v>
      </c>
      <c r="L184" t="s">
        <v>173</v>
      </c>
      <c r="M184" t="s">
        <v>172</v>
      </c>
      <c r="N184" t="str">
        <f t="shared" si="14"/>
        <v>Сидорова Елена ВасильевнаКозлов Роман Александрович</v>
      </c>
      <c r="O184" t="s">
        <v>18</v>
      </c>
      <c r="P184" t="s">
        <v>74</v>
      </c>
      <c r="Q184" t="s">
        <v>406</v>
      </c>
    </row>
    <row r="185" spans="2:17" x14ac:dyDescent="0.3">
      <c r="B185" t="s">
        <v>28</v>
      </c>
      <c r="C185" t="s">
        <v>69</v>
      </c>
      <c r="D185" s="22" t="str">
        <f t="shared" si="10"/>
        <v>2023-09-14</v>
      </c>
      <c r="E185" s="22" t="str">
        <f t="shared" si="11"/>
        <v>2023-09-14</v>
      </c>
      <c r="F185" s="22">
        <f t="shared" si="12"/>
        <v>0</v>
      </c>
      <c r="J185" t="str">
        <f t="shared" si="13"/>
        <v>Громова Мария ИльиничнаМорозова Валерия Ильинична</v>
      </c>
      <c r="K185" t="s">
        <v>14</v>
      </c>
      <c r="L185" t="s">
        <v>174</v>
      </c>
      <c r="M185" t="s">
        <v>172</v>
      </c>
      <c r="N185" t="str">
        <f t="shared" si="14"/>
        <v>Семенова Ирина ВалерьевнаМорозов Максим Андреевич</v>
      </c>
      <c r="O185" t="s">
        <v>12</v>
      </c>
      <c r="P185" t="s">
        <v>52</v>
      </c>
      <c r="Q185" t="s">
        <v>406</v>
      </c>
    </row>
    <row r="186" spans="2:17" x14ac:dyDescent="0.3">
      <c r="B186" t="s">
        <v>28</v>
      </c>
      <c r="C186" t="s">
        <v>60</v>
      </c>
      <c r="D186" s="22" t="str">
        <f t="shared" si="10"/>
        <v>2024-03-13</v>
      </c>
      <c r="E186" s="22" t="str">
        <f t="shared" si="11"/>
        <v>2024-03-13</v>
      </c>
      <c r="F186" s="22">
        <f t="shared" si="12"/>
        <v>0</v>
      </c>
      <c r="J186" t="str">
        <f t="shared" si="13"/>
        <v>Новикова Ольга ПетровнаПетров Илья Михайлович</v>
      </c>
      <c r="K186" t="s">
        <v>47</v>
      </c>
      <c r="L186" t="s">
        <v>15</v>
      </c>
      <c r="M186" t="s">
        <v>175</v>
      </c>
      <c r="N186" t="str">
        <f t="shared" si="14"/>
        <v>Фролов Сергей ВикторовичНиколаева София Геннадьевна</v>
      </c>
      <c r="O186" t="s">
        <v>40</v>
      </c>
      <c r="P186" t="s">
        <v>315</v>
      </c>
      <c r="Q186" t="s">
        <v>405</v>
      </c>
    </row>
    <row r="187" spans="2:17" x14ac:dyDescent="0.3">
      <c r="B187" t="s">
        <v>28</v>
      </c>
      <c r="C187" t="s">
        <v>258</v>
      </c>
      <c r="D187" s="22" t="str">
        <f t="shared" si="10"/>
        <v>2024-01-01</v>
      </c>
      <c r="E187" s="22" t="str">
        <f t="shared" si="11"/>
        <v>2024-08-09</v>
      </c>
      <c r="F187" s="22">
        <f t="shared" si="12"/>
        <v>221</v>
      </c>
      <c r="J187" t="str">
        <f t="shared" si="13"/>
        <v>Ткаченко Андрей ОлеговичМорозов Андрей Никитич</v>
      </c>
      <c r="K187" t="s">
        <v>5</v>
      </c>
      <c r="L187" t="s">
        <v>147</v>
      </c>
      <c r="M187" t="s">
        <v>175</v>
      </c>
      <c r="N187" t="str">
        <f t="shared" si="14"/>
        <v>Ткаченко Андрей ОлеговичЕгоров Никита Ильич</v>
      </c>
      <c r="O187" t="s">
        <v>5</v>
      </c>
      <c r="P187" t="s">
        <v>112</v>
      </c>
      <c r="Q187" t="s">
        <v>405</v>
      </c>
    </row>
    <row r="188" spans="2:17" x14ac:dyDescent="0.3">
      <c r="B188" t="s">
        <v>28</v>
      </c>
      <c r="C188" t="s">
        <v>290</v>
      </c>
      <c r="D188" s="22" t="str">
        <f t="shared" si="10"/>
        <v>2024-02-12</v>
      </c>
      <c r="E188" s="22" t="str">
        <f t="shared" si="11"/>
        <v>2024-02-12</v>
      </c>
      <c r="F188" s="22">
        <f t="shared" si="12"/>
        <v>0</v>
      </c>
      <c r="J188" t="str">
        <f t="shared" si="13"/>
        <v>Белов Алексей КонстантиновичАлексеева Елена Кирилловна</v>
      </c>
      <c r="K188" t="s">
        <v>21</v>
      </c>
      <c r="L188" t="s">
        <v>176</v>
      </c>
      <c r="M188" t="s">
        <v>177</v>
      </c>
      <c r="N188" t="str">
        <f t="shared" si="14"/>
        <v>Громова Мария ИльиничнаВасильева София Александровна</v>
      </c>
      <c r="O188" t="s">
        <v>14</v>
      </c>
      <c r="P188" t="s">
        <v>235</v>
      </c>
      <c r="Q188" t="s">
        <v>405</v>
      </c>
    </row>
    <row r="189" spans="2:17" x14ac:dyDescent="0.3">
      <c r="B189" t="s">
        <v>28</v>
      </c>
      <c r="C189" t="s">
        <v>29</v>
      </c>
      <c r="D189" s="22" t="str">
        <f t="shared" si="10"/>
        <v>2023-09-05</v>
      </c>
      <c r="E189" s="22" t="str">
        <f t="shared" si="11"/>
        <v>2023-09-05</v>
      </c>
      <c r="F189" s="22">
        <f t="shared" si="12"/>
        <v>0</v>
      </c>
      <c r="J189" t="str">
        <f t="shared" si="13"/>
        <v>Ткаченко Андрей ОлеговичСидоров Александр Артемович</v>
      </c>
      <c r="K189" t="s">
        <v>5</v>
      </c>
      <c r="L189" t="s">
        <v>77</v>
      </c>
      <c r="M189" t="s">
        <v>177</v>
      </c>
      <c r="N189" t="str">
        <f t="shared" si="14"/>
        <v>Петров Владимир КирилловичНовиков Михаил Владимирович</v>
      </c>
      <c r="O189" t="s">
        <v>50</v>
      </c>
      <c r="P189" t="s">
        <v>36</v>
      </c>
      <c r="Q189" t="s">
        <v>405</v>
      </c>
    </row>
    <row r="190" spans="2:17" x14ac:dyDescent="0.3">
      <c r="B190" t="s">
        <v>28</v>
      </c>
      <c r="C190" t="s">
        <v>171</v>
      </c>
      <c r="D190" s="22" t="str">
        <f t="shared" si="10"/>
        <v>2024-07-29</v>
      </c>
      <c r="E190" s="22" t="str">
        <f t="shared" si="11"/>
        <v>2024-07-29</v>
      </c>
      <c r="F190" s="22">
        <f t="shared" si="12"/>
        <v>0</v>
      </c>
      <c r="J190" t="str">
        <f t="shared" si="13"/>
        <v>Новикова Ольга ПетровнаОрлова Полина Олеговна</v>
      </c>
      <c r="K190" t="s">
        <v>47</v>
      </c>
      <c r="L190" t="s">
        <v>101</v>
      </c>
      <c r="M190" t="s">
        <v>177</v>
      </c>
      <c r="N190" t="str">
        <f t="shared" si="14"/>
        <v>Яковлев Артем ИгоревичПавлов Георгий Андреевич</v>
      </c>
      <c r="O190" t="s">
        <v>8</v>
      </c>
      <c r="P190" t="s">
        <v>72</v>
      </c>
      <c r="Q190" t="s">
        <v>404</v>
      </c>
    </row>
    <row r="191" spans="2:17" x14ac:dyDescent="0.3">
      <c r="B191" t="s">
        <v>28</v>
      </c>
      <c r="C191" t="s">
        <v>191</v>
      </c>
      <c r="D191" s="22" t="str">
        <f t="shared" si="10"/>
        <v>2023-11-13</v>
      </c>
      <c r="E191" s="22" t="str">
        <f t="shared" si="11"/>
        <v>2024-02-12</v>
      </c>
      <c r="F191" s="22">
        <f t="shared" si="12"/>
        <v>91</v>
      </c>
      <c r="J191" t="str">
        <f t="shared" si="13"/>
        <v>Петров Владимир КирилловичПетров Илья Андреевич</v>
      </c>
      <c r="K191" t="s">
        <v>50</v>
      </c>
      <c r="L191" t="s">
        <v>70</v>
      </c>
      <c r="M191" t="s">
        <v>177</v>
      </c>
      <c r="N191" t="str">
        <f t="shared" si="14"/>
        <v>Петров Владимир КирилловичЛебедев Никита Сергеевич</v>
      </c>
      <c r="O191" t="s">
        <v>50</v>
      </c>
      <c r="P191" t="s">
        <v>156</v>
      </c>
      <c r="Q191" t="s">
        <v>404</v>
      </c>
    </row>
    <row r="192" spans="2:17" x14ac:dyDescent="0.3">
      <c r="B192" t="s">
        <v>28</v>
      </c>
      <c r="C192" t="s">
        <v>72</v>
      </c>
      <c r="D192" s="22" t="str">
        <f t="shared" si="10"/>
        <v>2023-09-18</v>
      </c>
      <c r="E192" s="22" t="str">
        <f t="shared" si="11"/>
        <v>2023-12-11</v>
      </c>
      <c r="F192" s="22">
        <f t="shared" si="12"/>
        <v>84</v>
      </c>
      <c r="J192" t="str">
        <f t="shared" si="13"/>
        <v>Фролов Сергей ВикторовичКузнецов Иван Ильич</v>
      </c>
      <c r="K192" t="s">
        <v>40</v>
      </c>
      <c r="L192" t="s">
        <v>178</v>
      </c>
      <c r="M192" t="s">
        <v>179</v>
      </c>
      <c r="N192" t="str">
        <f t="shared" si="14"/>
        <v>Громова Мария ИльиничнаЕгорова Алиса Егоровна</v>
      </c>
      <c r="O192" t="s">
        <v>14</v>
      </c>
      <c r="P192" t="s">
        <v>144</v>
      </c>
      <c r="Q192" t="s">
        <v>404</v>
      </c>
    </row>
    <row r="193" spans="2:17" x14ac:dyDescent="0.3">
      <c r="B193" t="s">
        <v>28</v>
      </c>
      <c r="C193" t="s">
        <v>94</v>
      </c>
      <c r="D193" s="22" t="str">
        <f t="shared" si="10"/>
        <v>2024-04-26</v>
      </c>
      <c r="E193" s="22" t="str">
        <f t="shared" si="11"/>
        <v>2024-04-26</v>
      </c>
      <c r="F193" s="22">
        <f t="shared" si="12"/>
        <v>0</v>
      </c>
      <c r="J193" t="str">
        <f t="shared" si="13"/>
        <v>Орлов Павел ДенисовичМорозова Валерия Ильинична</v>
      </c>
      <c r="K193" t="s">
        <v>45</v>
      </c>
      <c r="L193" t="s">
        <v>174</v>
      </c>
      <c r="M193" t="s">
        <v>179</v>
      </c>
      <c r="N193" t="str">
        <f t="shared" si="14"/>
        <v>Петров Владимир КирилловичАлексеев Матвей Александрович</v>
      </c>
      <c r="O193" t="s">
        <v>50</v>
      </c>
      <c r="P193" t="s">
        <v>305</v>
      </c>
      <c r="Q193" t="s">
        <v>404</v>
      </c>
    </row>
    <row r="194" spans="2:17" x14ac:dyDescent="0.3">
      <c r="B194" t="s">
        <v>28</v>
      </c>
      <c r="C194" t="s">
        <v>154</v>
      </c>
      <c r="D194" s="22" t="str">
        <f t="shared" si="10"/>
        <v>2024-07-10</v>
      </c>
      <c r="E194" s="22" t="str">
        <f t="shared" si="11"/>
        <v>2024-07-10</v>
      </c>
      <c r="F194" s="22">
        <f t="shared" si="12"/>
        <v>0</v>
      </c>
      <c r="J194" t="str">
        <f t="shared" si="13"/>
        <v>Яковлев Артем ИгоревичПопов Иван Михайлович</v>
      </c>
      <c r="K194" t="s">
        <v>8</v>
      </c>
      <c r="L194" t="s">
        <v>109</v>
      </c>
      <c r="M194" t="s">
        <v>179</v>
      </c>
      <c r="N194" t="str">
        <f t="shared" si="14"/>
        <v>Громова Мария ИльиничнаМорозова Светлана Артемовна</v>
      </c>
      <c r="O194" t="s">
        <v>14</v>
      </c>
      <c r="P194" t="s">
        <v>107</v>
      </c>
      <c r="Q194" t="s">
        <v>404</v>
      </c>
    </row>
    <row r="195" spans="2:17" x14ac:dyDescent="0.3">
      <c r="B195" t="s">
        <v>28</v>
      </c>
      <c r="C195" t="s">
        <v>190</v>
      </c>
      <c r="D195" s="22" t="str">
        <f t="shared" ref="D195:D258" si="15">VLOOKUP(B195&amp;C195,J:M,4,0)</f>
        <v>2024-07-26</v>
      </c>
      <c r="E195" s="22" t="str">
        <f t="shared" ref="E195:E258" si="16">VLOOKUP(B195&amp;C195,N:Q,4,0)</f>
        <v>2024-07-26</v>
      </c>
      <c r="F195" s="22">
        <f t="shared" ref="F195:F258" si="17">E195-D195</f>
        <v>0</v>
      </c>
      <c r="J195" t="str">
        <f t="shared" ref="J195:J258" si="18">K195&amp;L195</f>
        <v>Фролов Сергей ВикторовичМорозов Павел Ильич</v>
      </c>
      <c r="K195" t="s">
        <v>40</v>
      </c>
      <c r="L195" t="s">
        <v>146</v>
      </c>
      <c r="M195" t="s">
        <v>179</v>
      </c>
      <c r="N195" t="str">
        <f t="shared" ref="N195:N258" si="19">O195&amp;P195</f>
        <v>Петров Владимир КирилловичНовикова Ирина Геннадьевна</v>
      </c>
      <c r="O195" t="s">
        <v>50</v>
      </c>
      <c r="P195" t="s">
        <v>105</v>
      </c>
      <c r="Q195" t="s">
        <v>404</v>
      </c>
    </row>
    <row r="196" spans="2:17" x14ac:dyDescent="0.3">
      <c r="B196" t="s">
        <v>28</v>
      </c>
      <c r="C196" t="s">
        <v>66</v>
      </c>
      <c r="D196" s="22" t="str">
        <f t="shared" si="15"/>
        <v>2023-10-10</v>
      </c>
      <c r="E196" s="22" t="str">
        <f t="shared" si="16"/>
        <v>2023-10-10</v>
      </c>
      <c r="F196" s="22">
        <f t="shared" si="17"/>
        <v>0</v>
      </c>
      <c r="J196" t="str">
        <f t="shared" si="18"/>
        <v>Фролов Сергей ВикторовичПавлов Георгий Андреевич</v>
      </c>
      <c r="K196" t="s">
        <v>40</v>
      </c>
      <c r="L196" t="s">
        <v>72</v>
      </c>
      <c r="M196" t="s">
        <v>179</v>
      </c>
      <c r="N196" t="str">
        <f t="shared" si="19"/>
        <v>Иванова Анна СергеевнаЛебедева Елена Олеговна</v>
      </c>
      <c r="O196" t="s">
        <v>28</v>
      </c>
      <c r="P196" t="s">
        <v>388</v>
      </c>
      <c r="Q196" t="s">
        <v>404</v>
      </c>
    </row>
    <row r="197" spans="2:17" x14ac:dyDescent="0.3">
      <c r="B197" t="s">
        <v>28</v>
      </c>
      <c r="C197" t="s">
        <v>149</v>
      </c>
      <c r="D197" s="22" t="str">
        <f t="shared" si="15"/>
        <v>2024-06-06</v>
      </c>
      <c r="E197" s="22" t="str">
        <f t="shared" si="16"/>
        <v>2024-06-06</v>
      </c>
      <c r="F197" s="22">
        <f t="shared" si="17"/>
        <v>0</v>
      </c>
      <c r="J197" t="str">
        <f t="shared" si="18"/>
        <v>Громова Мария ИльиничнаСеменов Максим Геннадьевич</v>
      </c>
      <c r="K197" t="s">
        <v>14</v>
      </c>
      <c r="L197" t="s">
        <v>111</v>
      </c>
      <c r="M197" t="s">
        <v>179</v>
      </c>
      <c r="N197" t="str">
        <f t="shared" si="19"/>
        <v>Фролов Сергей ВикторовичОрлов Александр Иванович</v>
      </c>
      <c r="O197" t="s">
        <v>40</v>
      </c>
      <c r="P197" t="s">
        <v>69</v>
      </c>
      <c r="Q197" t="s">
        <v>403</v>
      </c>
    </row>
    <row r="198" spans="2:17" x14ac:dyDescent="0.3">
      <c r="B198" t="s">
        <v>28</v>
      </c>
      <c r="C198" t="s">
        <v>70</v>
      </c>
      <c r="D198" s="22" t="str">
        <f t="shared" si="15"/>
        <v>2023-10-09</v>
      </c>
      <c r="E198" s="22" t="str">
        <f t="shared" si="16"/>
        <v>2023-10-09</v>
      </c>
      <c r="F198" s="22">
        <f t="shared" si="17"/>
        <v>0</v>
      </c>
      <c r="J198" t="str">
        <f t="shared" si="18"/>
        <v>Яковлев Артем ИгоревичСидорова Елена Кирилловна</v>
      </c>
      <c r="K198" t="s">
        <v>8</v>
      </c>
      <c r="L198" t="s">
        <v>180</v>
      </c>
      <c r="M198" t="s">
        <v>179</v>
      </c>
      <c r="N198" t="str">
        <f t="shared" si="19"/>
        <v>Сидорова Елена ВасильевнаИванов Александр Павлович</v>
      </c>
      <c r="O198" t="s">
        <v>18</v>
      </c>
      <c r="P198" t="s">
        <v>37</v>
      </c>
      <c r="Q198" t="s">
        <v>403</v>
      </c>
    </row>
    <row r="199" spans="2:17" x14ac:dyDescent="0.3">
      <c r="B199" t="s">
        <v>28</v>
      </c>
      <c r="C199" t="s">
        <v>78</v>
      </c>
      <c r="D199" s="22" t="str">
        <f t="shared" si="15"/>
        <v>2024-01-17</v>
      </c>
      <c r="E199" s="22" t="str">
        <f t="shared" si="16"/>
        <v>2024-01-17</v>
      </c>
      <c r="F199" s="22">
        <f t="shared" si="17"/>
        <v>0</v>
      </c>
      <c r="J199" t="str">
        <f t="shared" si="18"/>
        <v>Громова Мария ИльиничнаВолков Александр Юрьевич</v>
      </c>
      <c r="K199" t="s">
        <v>14</v>
      </c>
      <c r="L199" t="s">
        <v>103</v>
      </c>
      <c r="M199" t="s">
        <v>179</v>
      </c>
      <c r="N199" t="str">
        <f t="shared" si="19"/>
        <v>Орлов Павел ДенисовичКозлова София Станиславовна</v>
      </c>
      <c r="O199" t="s">
        <v>45</v>
      </c>
      <c r="P199" t="s">
        <v>54</v>
      </c>
      <c r="Q199" t="s">
        <v>401</v>
      </c>
    </row>
    <row r="200" spans="2:17" x14ac:dyDescent="0.3">
      <c r="B200" t="s">
        <v>28</v>
      </c>
      <c r="C200" t="s">
        <v>32</v>
      </c>
      <c r="D200" s="22" t="str">
        <f t="shared" si="15"/>
        <v>2024-07-03</v>
      </c>
      <c r="E200" s="22" t="str">
        <f t="shared" si="16"/>
        <v>2024-07-03</v>
      </c>
      <c r="F200" s="22">
        <f t="shared" si="17"/>
        <v>0</v>
      </c>
      <c r="J200" t="str">
        <f t="shared" si="18"/>
        <v>Новикова Ольга ПетровнаЕгоров Артем Никитич</v>
      </c>
      <c r="K200" t="s">
        <v>47</v>
      </c>
      <c r="L200" t="s">
        <v>25</v>
      </c>
      <c r="M200" t="s">
        <v>179</v>
      </c>
      <c r="N200" t="str">
        <f t="shared" si="19"/>
        <v>Яковлев Артем ИгоревичЕгоров Максим Олегович</v>
      </c>
      <c r="O200" t="s">
        <v>8</v>
      </c>
      <c r="P200" t="s">
        <v>114</v>
      </c>
      <c r="Q200" t="s">
        <v>401</v>
      </c>
    </row>
    <row r="201" spans="2:17" x14ac:dyDescent="0.3">
      <c r="B201" t="s">
        <v>28</v>
      </c>
      <c r="C201" t="s">
        <v>106</v>
      </c>
      <c r="D201" s="22" t="str">
        <f t="shared" si="15"/>
        <v>2023-09-28</v>
      </c>
      <c r="E201" s="22" t="str">
        <f t="shared" si="16"/>
        <v>2023-09-28</v>
      </c>
      <c r="F201" s="22">
        <f t="shared" si="17"/>
        <v>0</v>
      </c>
      <c r="J201" t="str">
        <f t="shared" si="18"/>
        <v>Новикова Ольга ПетровнаНовикова Екатерина Михайловна</v>
      </c>
      <c r="K201" t="s">
        <v>47</v>
      </c>
      <c r="L201" t="s">
        <v>181</v>
      </c>
      <c r="M201" t="s">
        <v>179</v>
      </c>
      <c r="N201" t="str">
        <f t="shared" si="19"/>
        <v>Фролов Сергей ВикторовичНовикова Анна Геннадьевна</v>
      </c>
      <c r="O201" t="s">
        <v>40</v>
      </c>
      <c r="P201" t="s">
        <v>402</v>
      </c>
      <c r="Q201" t="s">
        <v>401</v>
      </c>
    </row>
    <row r="202" spans="2:17" x14ac:dyDescent="0.3">
      <c r="B202" t="s">
        <v>28</v>
      </c>
      <c r="C202" t="s">
        <v>245</v>
      </c>
      <c r="D202" s="22" t="str">
        <f t="shared" si="15"/>
        <v>2024-05-30</v>
      </c>
      <c r="E202" s="22" t="str">
        <f t="shared" si="16"/>
        <v>2024-05-30</v>
      </c>
      <c r="F202" s="22">
        <f t="shared" si="17"/>
        <v>0</v>
      </c>
      <c r="J202" t="str">
        <f t="shared" si="18"/>
        <v>Петров Владимир КирилловичСмирнова София Андреевна</v>
      </c>
      <c r="K202" t="s">
        <v>50</v>
      </c>
      <c r="L202" t="s">
        <v>182</v>
      </c>
      <c r="M202" t="s">
        <v>179</v>
      </c>
      <c r="N202" t="str">
        <f t="shared" si="19"/>
        <v>Белов Алексей КонстантиновичВасильева Людмила Ивановна</v>
      </c>
      <c r="O202" t="s">
        <v>21</v>
      </c>
      <c r="P202" t="s">
        <v>140</v>
      </c>
      <c r="Q202" t="s">
        <v>400</v>
      </c>
    </row>
    <row r="203" spans="2:17" x14ac:dyDescent="0.3">
      <c r="B203" t="s">
        <v>28</v>
      </c>
      <c r="C203" t="s">
        <v>119</v>
      </c>
      <c r="D203" s="22" t="str">
        <f t="shared" si="15"/>
        <v>2023-10-05</v>
      </c>
      <c r="E203" s="22" t="str">
        <f t="shared" si="16"/>
        <v>2024-02-05</v>
      </c>
      <c r="F203" s="22">
        <f t="shared" si="17"/>
        <v>123</v>
      </c>
      <c r="J203" t="str">
        <f t="shared" si="18"/>
        <v>Иванова Анна СергеевнаСтепанова Полина Артемовна</v>
      </c>
      <c r="K203" t="s">
        <v>28</v>
      </c>
      <c r="L203" t="s">
        <v>35</v>
      </c>
      <c r="M203" t="s">
        <v>179</v>
      </c>
      <c r="N203" t="str">
        <f t="shared" si="19"/>
        <v>Сидорова Елена ВасильевнаНиколаев Артем Олегович</v>
      </c>
      <c r="O203" t="s">
        <v>18</v>
      </c>
      <c r="P203" t="s">
        <v>80</v>
      </c>
      <c r="Q203" t="s">
        <v>399</v>
      </c>
    </row>
    <row r="204" spans="2:17" x14ac:dyDescent="0.3">
      <c r="B204" t="s">
        <v>28</v>
      </c>
      <c r="C204" t="s">
        <v>137</v>
      </c>
      <c r="D204" s="22" t="str">
        <f t="shared" si="15"/>
        <v>2024-04-25</v>
      </c>
      <c r="E204" s="22" t="str">
        <f t="shared" si="16"/>
        <v>2024-04-25</v>
      </c>
      <c r="F204" s="22">
        <f t="shared" si="17"/>
        <v>0</v>
      </c>
      <c r="J204" t="str">
        <f t="shared" si="18"/>
        <v>Громова Мария ИльиничнаЛебедев Максим Михайлович</v>
      </c>
      <c r="K204" t="s">
        <v>14</v>
      </c>
      <c r="L204" t="s">
        <v>183</v>
      </c>
      <c r="M204" t="s">
        <v>184</v>
      </c>
      <c r="N204" t="str">
        <f t="shared" si="19"/>
        <v>Громова Мария ИльиничнаВасильев Никита Павлович</v>
      </c>
      <c r="O204" t="s">
        <v>14</v>
      </c>
      <c r="P204" t="s">
        <v>89</v>
      </c>
      <c r="Q204" t="s">
        <v>399</v>
      </c>
    </row>
    <row r="205" spans="2:17" x14ac:dyDescent="0.3">
      <c r="B205" t="s">
        <v>28</v>
      </c>
      <c r="C205" t="s">
        <v>180</v>
      </c>
      <c r="D205" s="22" t="str">
        <f t="shared" si="15"/>
        <v>2023-12-25</v>
      </c>
      <c r="E205" s="22" t="str">
        <f t="shared" si="16"/>
        <v>2024-02-05</v>
      </c>
      <c r="F205" s="22">
        <f t="shared" si="17"/>
        <v>42</v>
      </c>
      <c r="J205" t="str">
        <f t="shared" si="18"/>
        <v>Иванова Анна СергеевнаКузнецов Илья Артемович</v>
      </c>
      <c r="K205" t="s">
        <v>28</v>
      </c>
      <c r="L205" t="s">
        <v>185</v>
      </c>
      <c r="M205" t="s">
        <v>184</v>
      </c>
      <c r="N205" t="str">
        <f t="shared" si="19"/>
        <v>Ткаченко Андрей ОлеговичЛебедева Татьяна Павловна</v>
      </c>
      <c r="O205" t="s">
        <v>5</v>
      </c>
      <c r="P205" t="s">
        <v>387</v>
      </c>
      <c r="Q205" t="s">
        <v>399</v>
      </c>
    </row>
    <row r="206" spans="2:17" x14ac:dyDescent="0.3">
      <c r="B206" t="s">
        <v>28</v>
      </c>
      <c r="C206" t="s">
        <v>127</v>
      </c>
      <c r="D206" s="22" t="str">
        <f t="shared" si="15"/>
        <v>2023-10-09</v>
      </c>
      <c r="E206" s="22" t="str">
        <f t="shared" si="16"/>
        <v>2023-10-09</v>
      </c>
      <c r="F206" s="22">
        <f t="shared" si="17"/>
        <v>0</v>
      </c>
      <c r="J206" t="str">
        <f t="shared" si="18"/>
        <v>Ткаченко Андрей ОлеговичЛебедева Полина Ивановна</v>
      </c>
      <c r="K206" t="s">
        <v>5</v>
      </c>
      <c r="L206" t="s">
        <v>19</v>
      </c>
      <c r="M206" t="s">
        <v>184</v>
      </c>
      <c r="N206" t="str">
        <f t="shared" si="19"/>
        <v>Сидорова Елена ВасильевнаКузнецова Дарья Дмитриевна</v>
      </c>
      <c r="O206" t="s">
        <v>18</v>
      </c>
      <c r="P206" t="s">
        <v>43</v>
      </c>
      <c r="Q206" t="s">
        <v>399</v>
      </c>
    </row>
    <row r="207" spans="2:17" x14ac:dyDescent="0.3">
      <c r="B207" t="s">
        <v>28</v>
      </c>
      <c r="C207" t="s">
        <v>162</v>
      </c>
      <c r="D207" s="22" t="str">
        <f t="shared" si="15"/>
        <v>2024-06-27</v>
      </c>
      <c r="E207" s="22" t="str">
        <f t="shared" si="16"/>
        <v>2024-06-27</v>
      </c>
      <c r="F207" s="22">
        <f t="shared" si="17"/>
        <v>0</v>
      </c>
      <c r="J207" t="str">
        <f t="shared" si="18"/>
        <v>Громова Мария ИльиничнаКузнецов Дмитрий Павлович</v>
      </c>
      <c r="K207" t="s">
        <v>14</v>
      </c>
      <c r="L207" t="s">
        <v>186</v>
      </c>
      <c r="M207" t="s">
        <v>184</v>
      </c>
      <c r="N207" t="str">
        <f t="shared" si="19"/>
        <v>Орлов Павел ДенисовичСеменов Максим Геннадьевич</v>
      </c>
      <c r="O207" t="s">
        <v>45</v>
      </c>
      <c r="P207" t="s">
        <v>111</v>
      </c>
      <c r="Q207" t="s">
        <v>397</v>
      </c>
    </row>
    <row r="208" spans="2:17" x14ac:dyDescent="0.3">
      <c r="B208" t="s">
        <v>28</v>
      </c>
      <c r="C208" t="s">
        <v>56</v>
      </c>
      <c r="D208" s="22" t="str">
        <f t="shared" si="15"/>
        <v>2023-09-12</v>
      </c>
      <c r="E208" s="22" t="str">
        <f t="shared" si="16"/>
        <v>2023-09-20</v>
      </c>
      <c r="F208" s="22">
        <f t="shared" si="17"/>
        <v>8</v>
      </c>
      <c r="J208" t="str">
        <f t="shared" si="18"/>
        <v>Белов Алексей КонстантиновичФедоров Владимир Артемович</v>
      </c>
      <c r="K208" t="s">
        <v>21</v>
      </c>
      <c r="L208" t="s">
        <v>88</v>
      </c>
      <c r="M208" t="s">
        <v>187</v>
      </c>
      <c r="N208" t="str">
        <f t="shared" si="19"/>
        <v>Яковлев Артем ИгоревичНовикова Ирина Геннадьевна</v>
      </c>
      <c r="O208" t="s">
        <v>8</v>
      </c>
      <c r="P208" t="s">
        <v>105</v>
      </c>
      <c r="Q208" t="s">
        <v>397</v>
      </c>
    </row>
    <row r="209" spans="2:17" x14ac:dyDescent="0.3">
      <c r="B209" t="s">
        <v>28</v>
      </c>
      <c r="C209" t="s">
        <v>163</v>
      </c>
      <c r="D209" s="22" t="str">
        <f t="shared" si="15"/>
        <v>2023-10-30</v>
      </c>
      <c r="E209" s="22" t="str">
        <f t="shared" si="16"/>
        <v>2023-10-30</v>
      </c>
      <c r="F209" s="22">
        <f t="shared" si="17"/>
        <v>0</v>
      </c>
      <c r="J209" t="str">
        <f t="shared" si="18"/>
        <v>Орлов Павел ДенисовичСмирнова Алиса Сергеевна</v>
      </c>
      <c r="K209" t="s">
        <v>45</v>
      </c>
      <c r="L209" t="s">
        <v>117</v>
      </c>
      <c r="M209" t="s">
        <v>188</v>
      </c>
      <c r="N209" t="str">
        <f t="shared" si="19"/>
        <v>Белов Алексей КонстантиновичКозлова Екатерина Олеговна</v>
      </c>
      <c r="O209" t="s">
        <v>21</v>
      </c>
      <c r="P209" t="s">
        <v>398</v>
      </c>
      <c r="Q209" t="s">
        <v>397</v>
      </c>
    </row>
    <row r="210" spans="2:17" x14ac:dyDescent="0.3">
      <c r="B210" t="s">
        <v>28</v>
      </c>
      <c r="C210" t="s">
        <v>35</v>
      </c>
      <c r="D210" s="22" t="str">
        <f t="shared" si="15"/>
        <v>2023-11-06</v>
      </c>
      <c r="E210" s="22" t="str">
        <f t="shared" si="16"/>
        <v>2023-11-06</v>
      </c>
      <c r="F210" s="22">
        <f t="shared" si="17"/>
        <v>0</v>
      </c>
      <c r="J210" t="str">
        <f t="shared" si="18"/>
        <v>Сидорова Елена ВасильевнаАлексеева Елена Кирилловна</v>
      </c>
      <c r="K210" t="s">
        <v>18</v>
      </c>
      <c r="L210" t="s">
        <v>176</v>
      </c>
      <c r="M210" t="s">
        <v>189</v>
      </c>
      <c r="N210" t="str">
        <f t="shared" si="19"/>
        <v>Кузнецов Дмитрий ЛьвовичСмирнова Светлана Владимировна</v>
      </c>
      <c r="O210" t="s">
        <v>10</v>
      </c>
      <c r="P210" t="s">
        <v>207</v>
      </c>
      <c r="Q210" t="s">
        <v>397</v>
      </c>
    </row>
    <row r="211" spans="2:17" x14ac:dyDescent="0.3">
      <c r="B211" t="s">
        <v>28</v>
      </c>
      <c r="C211" t="s">
        <v>88</v>
      </c>
      <c r="D211" s="22" t="str">
        <f t="shared" si="15"/>
        <v>2023-12-04</v>
      </c>
      <c r="E211" s="22" t="str">
        <f t="shared" si="16"/>
        <v>2023-12-04</v>
      </c>
      <c r="F211" s="22">
        <f t="shared" si="17"/>
        <v>0</v>
      </c>
      <c r="J211" t="str">
        <f t="shared" si="18"/>
        <v>Сидорова Елена ВасильевнаПетров Алексей Олегович</v>
      </c>
      <c r="K211" t="s">
        <v>18</v>
      </c>
      <c r="L211" t="s">
        <v>190</v>
      </c>
      <c r="M211" t="s">
        <v>189</v>
      </c>
      <c r="N211" t="str">
        <f t="shared" si="19"/>
        <v>Петров Владимир КирилловичПетров Иван Егорович</v>
      </c>
      <c r="O211" t="s">
        <v>50</v>
      </c>
      <c r="P211" t="s">
        <v>149</v>
      </c>
      <c r="Q211" t="s">
        <v>397</v>
      </c>
    </row>
    <row r="212" spans="2:17" x14ac:dyDescent="0.3">
      <c r="B212" t="s">
        <v>28</v>
      </c>
      <c r="C212" t="s">
        <v>100</v>
      </c>
      <c r="D212" s="22" t="str">
        <f t="shared" si="15"/>
        <v>2024-04-15</v>
      </c>
      <c r="E212" s="22" t="str">
        <f t="shared" si="16"/>
        <v>2024-04-15</v>
      </c>
      <c r="F212" s="22">
        <f t="shared" si="17"/>
        <v>0</v>
      </c>
      <c r="J212" t="str">
        <f t="shared" si="18"/>
        <v>Орлов Павел ДенисовичНовикова Ирина Геннадьевна</v>
      </c>
      <c r="K212" t="s">
        <v>45</v>
      </c>
      <c r="L212" t="s">
        <v>105</v>
      </c>
      <c r="M212" t="s">
        <v>189</v>
      </c>
      <c r="N212" t="str">
        <f t="shared" si="19"/>
        <v>Сидорова Елена ВасильевнаНовикова Мария Викторовна</v>
      </c>
      <c r="O212" t="s">
        <v>18</v>
      </c>
      <c r="P212" t="s">
        <v>247</v>
      </c>
      <c r="Q212" t="s">
        <v>397</v>
      </c>
    </row>
    <row r="213" spans="2:17" x14ac:dyDescent="0.3">
      <c r="B213" t="s">
        <v>28</v>
      </c>
      <c r="C213" t="s">
        <v>34</v>
      </c>
      <c r="D213" s="22" t="str">
        <f t="shared" si="15"/>
        <v>2023-09-07</v>
      </c>
      <c r="E213" s="22" t="str">
        <f t="shared" si="16"/>
        <v>2023-09-07</v>
      </c>
      <c r="F213" s="22">
        <f t="shared" si="17"/>
        <v>0</v>
      </c>
      <c r="J213" t="str">
        <f t="shared" si="18"/>
        <v>Петров Владимир КирилловичНовиков Михаил Владимирович</v>
      </c>
      <c r="K213" t="s">
        <v>50</v>
      </c>
      <c r="L213" t="s">
        <v>36</v>
      </c>
      <c r="M213" t="s">
        <v>189</v>
      </c>
      <c r="N213" t="str">
        <f t="shared" si="19"/>
        <v>Орлов Павел ДенисовичСтепанов Александр Станиславович</v>
      </c>
      <c r="O213" t="s">
        <v>45</v>
      </c>
      <c r="P213" t="s">
        <v>122</v>
      </c>
      <c r="Q213" t="s">
        <v>397</v>
      </c>
    </row>
    <row r="214" spans="2:17" x14ac:dyDescent="0.3">
      <c r="B214" t="s">
        <v>28</v>
      </c>
      <c r="C214" t="s">
        <v>76</v>
      </c>
      <c r="D214" s="22" t="str">
        <f t="shared" si="15"/>
        <v>2023-09-18</v>
      </c>
      <c r="E214" s="22" t="str">
        <f t="shared" si="16"/>
        <v>2023-09-18</v>
      </c>
      <c r="F214" s="22">
        <f t="shared" si="17"/>
        <v>0</v>
      </c>
      <c r="J214" t="str">
        <f t="shared" si="18"/>
        <v>Иванова Анна СергеевнаПавлов Алексей Геннадьевич</v>
      </c>
      <c r="K214" t="s">
        <v>28</v>
      </c>
      <c r="L214" t="s">
        <v>191</v>
      </c>
      <c r="M214" t="s">
        <v>189</v>
      </c>
      <c r="N214" t="str">
        <f t="shared" si="19"/>
        <v>Сидорова Елена ВасильевнаЕгорова Алиса Егоровна</v>
      </c>
      <c r="O214" t="s">
        <v>18</v>
      </c>
      <c r="P214" t="s">
        <v>144</v>
      </c>
      <c r="Q214" t="s">
        <v>397</v>
      </c>
    </row>
    <row r="215" spans="2:17" x14ac:dyDescent="0.3">
      <c r="B215" t="s">
        <v>28</v>
      </c>
      <c r="C215" t="s">
        <v>192</v>
      </c>
      <c r="D215" s="22" t="str">
        <f t="shared" si="15"/>
        <v>2024-06-03</v>
      </c>
      <c r="E215" s="22" t="str">
        <f t="shared" si="16"/>
        <v>2024-06-03</v>
      </c>
      <c r="F215" s="22">
        <f t="shared" si="17"/>
        <v>0</v>
      </c>
      <c r="J215" t="str">
        <f t="shared" si="18"/>
        <v>Белов Алексей КонстантиновичФедорова Ксения Романовна</v>
      </c>
      <c r="K215" t="s">
        <v>21</v>
      </c>
      <c r="L215" t="s">
        <v>192</v>
      </c>
      <c r="M215" t="s">
        <v>189</v>
      </c>
      <c r="N215" t="str">
        <f t="shared" si="19"/>
        <v>Белов Алексей КонстантиновичСеменова Полина Артемовна</v>
      </c>
      <c r="O215" t="s">
        <v>21</v>
      </c>
      <c r="P215" t="s">
        <v>119</v>
      </c>
      <c r="Q215" t="s">
        <v>397</v>
      </c>
    </row>
    <row r="216" spans="2:17" x14ac:dyDescent="0.3">
      <c r="B216" t="s">
        <v>28</v>
      </c>
      <c r="C216" t="s">
        <v>199</v>
      </c>
      <c r="D216" s="22" t="str">
        <f t="shared" si="15"/>
        <v>2023-11-28</v>
      </c>
      <c r="E216" s="22" t="str">
        <f t="shared" si="16"/>
        <v>2023-11-28</v>
      </c>
      <c r="F216" s="22">
        <f t="shared" si="17"/>
        <v>0</v>
      </c>
      <c r="J216" t="str">
        <f t="shared" si="18"/>
        <v>Сидорова Елена ВасильевнаНиколаева Полина Егоровна</v>
      </c>
      <c r="K216" t="s">
        <v>18</v>
      </c>
      <c r="L216" t="s">
        <v>193</v>
      </c>
      <c r="M216" t="s">
        <v>189</v>
      </c>
      <c r="N216" t="str">
        <f t="shared" si="19"/>
        <v>Яковлев Артем ИгоревичВасильева Ирина Павловна</v>
      </c>
      <c r="O216" t="s">
        <v>8</v>
      </c>
      <c r="P216" t="s">
        <v>130</v>
      </c>
      <c r="Q216" t="s">
        <v>397</v>
      </c>
    </row>
    <row r="217" spans="2:17" x14ac:dyDescent="0.3">
      <c r="B217" t="s">
        <v>10</v>
      </c>
      <c r="C217" t="s">
        <v>71</v>
      </c>
      <c r="D217" s="22" t="str">
        <f t="shared" si="15"/>
        <v>2023-12-11</v>
      </c>
      <c r="E217" s="22" t="str">
        <f t="shared" si="16"/>
        <v>2024-05-09</v>
      </c>
      <c r="F217" s="22">
        <f t="shared" si="17"/>
        <v>150</v>
      </c>
      <c r="J217" t="str">
        <f t="shared" si="18"/>
        <v>Сидорова Елена ВасильевнаВасильева Людмила Ивановна</v>
      </c>
      <c r="K217" t="s">
        <v>18</v>
      </c>
      <c r="L217" t="s">
        <v>140</v>
      </c>
      <c r="M217" t="s">
        <v>189</v>
      </c>
      <c r="N217" t="str">
        <f t="shared" si="19"/>
        <v>Новикова Ольга ПетровнаСмирнов Михаил Никитич</v>
      </c>
      <c r="O217" t="s">
        <v>47</v>
      </c>
      <c r="P217" t="s">
        <v>231</v>
      </c>
      <c r="Q217" t="s">
        <v>396</v>
      </c>
    </row>
    <row r="218" spans="2:17" x14ac:dyDescent="0.3">
      <c r="B218" t="s">
        <v>10</v>
      </c>
      <c r="C218" t="s">
        <v>221</v>
      </c>
      <c r="D218" s="22" t="str">
        <f t="shared" si="15"/>
        <v>2023-11-30</v>
      </c>
      <c r="E218" s="22" t="str">
        <f t="shared" si="16"/>
        <v>2024-02-06</v>
      </c>
      <c r="F218" s="22">
        <f t="shared" si="17"/>
        <v>68</v>
      </c>
      <c r="J218" t="str">
        <f t="shared" si="18"/>
        <v>Белов Алексей КонстантиновичСеменова Наталья Павловна</v>
      </c>
      <c r="K218" t="s">
        <v>21</v>
      </c>
      <c r="L218" t="s">
        <v>194</v>
      </c>
      <c r="M218" t="s">
        <v>189</v>
      </c>
      <c r="N218" t="str">
        <f t="shared" si="19"/>
        <v>Кузнецов Дмитрий ЛьвовичКузнецов Илья Артемович</v>
      </c>
      <c r="O218" t="s">
        <v>10</v>
      </c>
      <c r="P218" t="s">
        <v>185</v>
      </c>
      <c r="Q218" t="s">
        <v>396</v>
      </c>
    </row>
    <row r="219" spans="2:17" x14ac:dyDescent="0.3">
      <c r="B219" t="s">
        <v>10</v>
      </c>
      <c r="C219" t="s">
        <v>95</v>
      </c>
      <c r="D219" s="22" t="str">
        <f t="shared" si="15"/>
        <v>2023-09-25</v>
      </c>
      <c r="E219" s="22" t="str">
        <f t="shared" si="16"/>
        <v>2023-09-25</v>
      </c>
      <c r="F219" s="22">
        <f t="shared" si="17"/>
        <v>0</v>
      </c>
      <c r="J219" t="str">
        <f t="shared" si="18"/>
        <v>Ткаченко Андрей ОлеговичНовикова Ирина Юрьевна</v>
      </c>
      <c r="K219" t="s">
        <v>5</v>
      </c>
      <c r="L219" t="s">
        <v>195</v>
      </c>
      <c r="M219" t="s">
        <v>189</v>
      </c>
      <c r="N219" t="str">
        <f t="shared" si="19"/>
        <v>Новикова Ольга ПетровнаЛебедева Виктория Дмитриевна</v>
      </c>
      <c r="O219" t="s">
        <v>47</v>
      </c>
      <c r="P219" t="s">
        <v>6</v>
      </c>
      <c r="Q219" t="s">
        <v>395</v>
      </c>
    </row>
    <row r="220" spans="2:17" x14ac:dyDescent="0.3">
      <c r="B220" t="s">
        <v>10</v>
      </c>
      <c r="C220" t="s">
        <v>160</v>
      </c>
      <c r="D220" s="22" t="str">
        <f t="shared" si="15"/>
        <v>2023-12-14</v>
      </c>
      <c r="E220" s="22" t="str">
        <f t="shared" si="16"/>
        <v>2023-12-14</v>
      </c>
      <c r="F220" s="22">
        <f t="shared" si="17"/>
        <v>0</v>
      </c>
      <c r="J220" t="str">
        <f t="shared" si="18"/>
        <v>Сидорова Елена ВасильевнаВасильев Матвей Романович</v>
      </c>
      <c r="K220" t="s">
        <v>18</v>
      </c>
      <c r="L220" t="s">
        <v>24</v>
      </c>
      <c r="M220" t="s">
        <v>196</v>
      </c>
      <c r="N220" t="str">
        <f t="shared" si="19"/>
        <v>Новикова Ольга ПетровнаЛебедева Полина Ивановна</v>
      </c>
      <c r="O220" t="s">
        <v>47</v>
      </c>
      <c r="P220" t="s">
        <v>19</v>
      </c>
      <c r="Q220" t="s">
        <v>395</v>
      </c>
    </row>
    <row r="221" spans="2:17" x14ac:dyDescent="0.3">
      <c r="B221" t="s">
        <v>10</v>
      </c>
      <c r="C221" t="s">
        <v>130</v>
      </c>
      <c r="D221" s="22" t="str">
        <f t="shared" si="15"/>
        <v>2024-04-10</v>
      </c>
      <c r="E221" s="22" t="str">
        <f t="shared" si="16"/>
        <v>2024-04-10</v>
      </c>
      <c r="F221" s="22">
        <f t="shared" si="17"/>
        <v>0</v>
      </c>
      <c r="J221" t="str">
        <f t="shared" si="18"/>
        <v>Громова Мария ИльиничнаПетрова Валерия Павловна</v>
      </c>
      <c r="K221" t="s">
        <v>14</v>
      </c>
      <c r="L221" t="s">
        <v>32</v>
      </c>
      <c r="M221" t="s">
        <v>196</v>
      </c>
      <c r="N221" t="str">
        <f t="shared" si="19"/>
        <v>Иванова Анна СергеевнаПетров Иван Егорович</v>
      </c>
      <c r="O221" t="s">
        <v>28</v>
      </c>
      <c r="P221" t="s">
        <v>149</v>
      </c>
      <c r="Q221" t="s">
        <v>395</v>
      </c>
    </row>
    <row r="222" spans="2:17" x14ac:dyDescent="0.3">
      <c r="B222" t="s">
        <v>10</v>
      </c>
      <c r="C222" t="s">
        <v>235</v>
      </c>
      <c r="D222" s="22" t="str">
        <f t="shared" si="15"/>
        <v>2024-06-26</v>
      </c>
      <c r="E222" s="22" t="str">
        <f t="shared" si="16"/>
        <v>2024-06-26</v>
      </c>
      <c r="F222" s="22">
        <f t="shared" si="17"/>
        <v>0</v>
      </c>
      <c r="J222" t="str">
        <f t="shared" si="18"/>
        <v>Фролов Сергей ВикторовичФедорова Виктория Михайловна</v>
      </c>
      <c r="K222" t="s">
        <v>40</v>
      </c>
      <c r="L222" t="s">
        <v>197</v>
      </c>
      <c r="M222" t="s">
        <v>198</v>
      </c>
      <c r="N222" t="str">
        <f t="shared" si="19"/>
        <v>Новикова Ольга ПетровнаНовикова Ирина Геннадьевна</v>
      </c>
      <c r="O222" t="s">
        <v>47</v>
      </c>
      <c r="P222" t="s">
        <v>105</v>
      </c>
      <c r="Q222" t="s">
        <v>393</v>
      </c>
    </row>
    <row r="223" spans="2:17" x14ac:dyDescent="0.3">
      <c r="B223" t="s">
        <v>10</v>
      </c>
      <c r="C223" t="s">
        <v>25</v>
      </c>
      <c r="D223" s="22" t="str">
        <f t="shared" si="15"/>
        <v>2023-12-28</v>
      </c>
      <c r="E223" s="22" t="str">
        <f t="shared" si="16"/>
        <v>2023-12-28</v>
      </c>
      <c r="F223" s="22">
        <f t="shared" si="17"/>
        <v>0</v>
      </c>
      <c r="J223" t="str">
        <f t="shared" si="18"/>
        <v>Белов Алексей КонстантиновичФедорова Людмила Кирилловна</v>
      </c>
      <c r="K223" t="s">
        <v>21</v>
      </c>
      <c r="L223" t="s">
        <v>199</v>
      </c>
      <c r="M223" t="s">
        <v>198</v>
      </c>
      <c r="N223" t="str">
        <f t="shared" si="19"/>
        <v>Кузнецов Дмитрий ЛьвовичНиколаева Юлия Егоровна</v>
      </c>
      <c r="O223" t="s">
        <v>10</v>
      </c>
      <c r="P223" t="s">
        <v>126</v>
      </c>
      <c r="Q223" t="s">
        <v>393</v>
      </c>
    </row>
    <row r="224" spans="2:17" x14ac:dyDescent="0.3">
      <c r="B224" t="s">
        <v>10</v>
      </c>
      <c r="C224" t="s">
        <v>112</v>
      </c>
      <c r="D224" s="22" t="str">
        <f t="shared" si="15"/>
        <v>2024-05-14</v>
      </c>
      <c r="E224" s="22" t="str">
        <f t="shared" si="16"/>
        <v>2024-05-14</v>
      </c>
      <c r="F224" s="22">
        <f t="shared" si="17"/>
        <v>0</v>
      </c>
      <c r="J224" t="str">
        <f t="shared" si="18"/>
        <v>Белов Алексей КонстантиновичВасильев Михаил Павлович</v>
      </c>
      <c r="K224" t="s">
        <v>21</v>
      </c>
      <c r="L224" t="s">
        <v>200</v>
      </c>
      <c r="M224" t="s">
        <v>198</v>
      </c>
      <c r="N224" t="str">
        <f t="shared" si="19"/>
        <v>Белов Алексей КонстантиновичАлексеева Елена Кирилловна</v>
      </c>
      <c r="O224" t="s">
        <v>21</v>
      </c>
      <c r="P224" t="s">
        <v>176</v>
      </c>
      <c r="Q224" t="s">
        <v>393</v>
      </c>
    </row>
    <row r="225" spans="2:17" x14ac:dyDescent="0.3">
      <c r="B225" t="s">
        <v>10</v>
      </c>
      <c r="C225" t="s">
        <v>144</v>
      </c>
      <c r="D225" s="22" t="str">
        <f t="shared" si="15"/>
        <v>2023-11-28</v>
      </c>
      <c r="E225" s="22" t="str">
        <f t="shared" si="16"/>
        <v>2023-11-28</v>
      </c>
      <c r="F225" s="22">
        <f t="shared" si="17"/>
        <v>0</v>
      </c>
      <c r="J225" t="str">
        <f t="shared" si="18"/>
        <v>Петров Владимир КирилловичПетров Алексей Олегович</v>
      </c>
      <c r="K225" t="s">
        <v>50</v>
      </c>
      <c r="L225" t="s">
        <v>190</v>
      </c>
      <c r="M225" t="s">
        <v>198</v>
      </c>
      <c r="N225" t="str">
        <f t="shared" si="19"/>
        <v>Новикова Ольга ПетровнаВасильев Матвей Геннадьевич</v>
      </c>
      <c r="O225" t="s">
        <v>47</v>
      </c>
      <c r="P225" t="s">
        <v>160</v>
      </c>
      <c r="Q225" t="s">
        <v>393</v>
      </c>
    </row>
    <row r="226" spans="2:17" x14ac:dyDescent="0.3">
      <c r="B226" t="s">
        <v>10</v>
      </c>
      <c r="C226" t="s">
        <v>251</v>
      </c>
      <c r="D226" s="22" t="str">
        <f t="shared" si="15"/>
        <v>2024-04-09</v>
      </c>
      <c r="E226" s="22" t="str">
        <f t="shared" si="16"/>
        <v>2024-07-08</v>
      </c>
      <c r="F226" s="22">
        <f t="shared" si="17"/>
        <v>90</v>
      </c>
      <c r="J226" t="str">
        <f t="shared" si="18"/>
        <v>Кузнецов Дмитрий ЛьвовичЛебедева Виктория Дмитриевна</v>
      </c>
      <c r="K226" t="s">
        <v>10</v>
      </c>
      <c r="L226" t="s">
        <v>6</v>
      </c>
      <c r="M226" t="s">
        <v>201</v>
      </c>
      <c r="N226" t="str">
        <f t="shared" si="19"/>
        <v>Орлов Павел ДенисовичФедорова Людмила Кирилловна</v>
      </c>
      <c r="O226" t="s">
        <v>45</v>
      </c>
      <c r="P226" t="s">
        <v>199</v>
      </c>
      <c r="Q226" t="s">
        <v>393</v>
      </c>
    </row>
    <row r="227" spans="2:17" x14ac:dyDescent="0.3">
      <c r="B227" t="s">
        <v>10</v>
      </c>
      <c r="C227" t="s">
        <v>168</v>
      </c>
      <c r="D227" s="22" t="str">
        <f t="shared" si="15"/>
        <v>2024-07-16</v>
      </c>
      <c r="E227" s="22" t="str">
        <f t="shared" si="16"/>
        <v>2024-07-16</v>
      </c>
      <c r="F227" s="22">
        <f t="shared" si="17"/>
        <v>0</v>
      </c>
      <c r="J227" t="str">
        <f t="shared" si="18"/>
        <v>Ткаченко Андрей ОлеговичПетров Алексей Олегович</v>
      </c>
      <c r="K227" t="s">
        <v>5</v>
      </c>
      <c r="L227" t="s">
        <v>190</v>
      </c>
      <c r="M227" t="s">
        <v>201</v>
      </c>
      <c r="N227" t="str">
        <f t="shared" si="19"/>
        <v>Яковлев Артем ИгоревичПавлова София Владимировна</v>
      </c>
      <c r="O227" t="s">
        <v>8</v>
      </c>
      <c r="P227" t="s">
        <v>394</v>
      </c>
      <c r="Q227" t="s">
        <v>393</v>
      </c>
    </row>
    <row r="228" spans="2:17" x14ac:dyDescent="0.3">
      <c r="B228" t="s">
        <v>10</v>
      </c>
      <c r="C228" t="s">
        <v>152</v>
      </c>
      <c r="D228" s="22" t="str">
        <f t="shared" si="15"/>
        <v>2023-10-23</v>
      </c>
      <c r="E228" s="22" t="str">
        <f t="shared" si="16"/>
        <v>2023-10-23</v>
      </c>
      <c r="F228" s="22">
        <f t="shared" si="17"/>
        <v>0</v>
      </c>
      <c r="J228" t="str">
        <f t="shared" si="18"/>
        <v>Семенова Ирина ВалерьевнаНиколаев Роман Ильич</v>
      </c>
      <c r="K228" t="s">
        <v>12</v>
      </c>
      <c r="L228" t="s">
        <v>202</v>
      </c>
      <c r="M228" t="s">
        <v>201</v>
      </c>
      <c r="N228" t="str">
        <f t="shared" si="19"/>
        <v>Новикова Ольга ПетровнаНиколаева София Геннадьевна</v>
      </c>
      <c r="O228" t="s">
        <v>47</v>
      </c>
      <c r="P228" t="s">
        <v>315</v>
      </c>
      <c r="Q228" t="s">
        <v>392</v>
      </c>
    </row>
    <row r="229" spans="2:17" x14ac:dyDescent="0.3">
      <c r="B229" t="s">
        <v>10</v>
      </c>
      <c r="C229" t="s">
        <v>284</v>
      </c>
      <c r="D229" s="22" t="str">
        <f t="shared" si="15"/>
        <v>2024-05-13</v>
      </c>
      <c r="E229" s="22" t="str">
        <f t="shared" si="16"/>
        <v>2024-05-13</v>
      </c>
      <c r="F229" s="22">
        <f t="shared" si="17"/>
        <v>0</v>
      </c>
      <c r="J229" t="str">
        <f t="shared" si="18"/>
        <v>Ткаченко Андрей ОлеговичСеменов Дмитрий Олегович</v>
      </c>
      <c r="K229" t="s">
        <v>5</v>
      </c>
      <c r="L229" t="s">
        <v>9</v>
      </c>
      <c r="M229" t="s">
        <v>201</v>
      </c>
      <c r="N229" t="str">
        <f t="shared" si="19"/>
        <v>Новикова Ольга ПетровнаКузнецов Михаил Артемович</v>
      </c>
      <c r="O229" t="s">
        <v>47</v>
      </c>
      <c r="P229" t="s">
        <v>67</v>
      </c>
      <c r="Q229" t="s">
        <v>392</v>
      </c>
    </row>
    <row r="230" spans="2:17" x14ac:dyDescent="0.3">
      <c r="B230" t="s">
        <v>10</v>
      </c>
      <c r="C230" t="s">
        <v>74</v>
      </c>
      <c r="D230" s="22" t="str">
        <f t="shared" si="15"/>
        <v>2023-10-27</v>
      </c>
      <c r="E230" s="22" t="str">
        <f t="shared" si="16"/>
        <v>2023-10-27</v>
      </c>
      <c r="F230" s="22">
        <f t="shared" si="17"/>
        <v>0</v>
      </c>
      <c r="J230" t="str">
        <f t="shared" si="18"/>
        <v>Фролов Сергей ВикторовичПетров Илья Андреевич</v>
      </c>
      <c r="K230" t="s">
        <v>40</v>
      </c>
      <c r="L230" t="s">
        <v>70</v>
      </c>
      <c r="M230" t="s">
        <v>201</v>
      </c>
      <c r="N230" t="str">
        <f t="shared" si="19"/>
        <v>Новикова Ольга ПетровнаСеменова Полина Артемовна</v>
      </c>
      <c r="O230" t="s">
        <v>47</v>
      </c>
      <c r="P230" t="s">
        <v>119</v>
      </c>
      <c r="Q230" t="s">
        <v>392</v>
      </c>
    </row>
    <row r="231" spans="2:17" x14ac:dyDescent="0.3">
      <c r="B231" t="s">
        <v>10</v>
      </c>
      <c r="C231" t="s">
        <v>61</v>
      </c>
      <c r="D231" s="22" t="str">
        <f t="shared" si="15"/>
        <v>2024-02-14</v>
      </c>
      <c r="E231" s="22" t="str">
        <f t="shared" si="16"/>
        <v>2024-02-14</v>
      </c>
      <c r="F231" s="22">
        <f t="shared" si="17"/>
        <v>0</v>
      </c>
      <c r="J231" t="str">
        <f t="shared" si="18"/>
        <v>Ткаченко Андрей ОлеговичСмирнова Дарья Александровна</v>
      </c>
      <c r="K231" t="s">
        <v>5</v>
      </c>
      <c r="L231" t="s">
        <v>203</v>
      </c>
      <c r="M231" t="s">
        <v>204</v>
      </c>
      <c r="N231" t="str">
        <f t="shared" si="19"/>
        <v>Новикова Ольга ПетровнаВасильев Константин Геннадьевич</v>
      </c>
      <c r="O231" t="s">
        <v>47</v>
      </c>
      <c r="P231" t="s">
        <v>221</v>
      </c>
      <c r="Q231" t="s">
        <v>392</v>
      </c>
    </row>
    <row r="232" spans="2:17" x14ac:dyDescent="0.3">
      <c r="B232" t="s">
        <v>10</v>
      </c>
      <c r="C232" t="s">
        <v>178</v>
      </c>
      <c r="D232" s="22" t="str">
        <f t="shared" si="15"/>
        <v>2024-07-31</v>
      </c>
      <c r="E232" s="22" t="str">
        <f t="shared" si="16"/>
        <v>2024-07-31</v>
      </c>
      <c r="F232" s="22">
        <f t="shared" si="17"/>
        <v>0</v>
      </c>
      <c r="J232" t="str">
        <f t="shared" si="18"/>
        <v>Кузнецов Дмитрий ЛьвовичНовиков Дмитрий Станиславович</v>
      </c>
      <c r="K232" t="s">
        <v>10</v>
      </c>
      <c r="L232" t="s">
        <v>205</v>
      </c>
      <c r="M232" t="s">
        <v>206</v>
      </c>
      <c r="N232" t="str">
        <f t="shared" si="19"/>
        <v>Орлов Павел ДенисовичФедорова Ксения Романовна</v>
      </c>
      <c r="O232" t="s">
        <v>45</v>
      </c>
      <c r="P232" t="s">
        <v>192</v>
      </c>
      <c r="Q232" t="s">
        <v>392</v>
      </c>
    </row>
    <row r="233" spans="2:17" x14ac:dyDescent="0.3">
      <c r="B233" t="s">
        <v>10</v>
      </c>
      <c r="C233" t="s">
        <v>185</v>
      </c>
      <c r="D233" s="22" t="str">
        <f t="shared" si="15"/>
        <v>2024-06-07</v>
      </c>
      <c r="E233" s="22" t="str">
        <f t="shared" si="16"/>
        <v>2024-06-07</v>
      </c>
      <c r="F233" s="22">
        <f t="shared" si="17"/>
        <v>0</v>
      </c>
      <c r="J233" t="str">
        <f t="shared" si="18"/>
        <v>Орлов Павел ДенисовичИванов Кирилл Владимирович</v>
      </c>
      <c r="K233" t="s">
        <v>45</v>
      </c>
      <c r="L233" t="s">
        <v>152</v>
      </c>
      <c r="M233" t="s">
        <v>206</v>
      </c>
      <c r="N233" t="str">
        <f t="shared" si="19"/>
        <v>Сидорова Елена ВасильевнаМорозова Валерия Ильинична</v>
      </c>
      <c r="O233" t="s">
        <v>18</v>
      </c>
      <c r="P233" t="s">
        <v>174</v>
      </c>
      <c r="Q233" t="s">
        <v>391</v>
      </c>
    </row>
    <row r="234" spans="2:17" x14ac:dyDescent="0.3">
      <c r="B234" t="s">
        <v>10</v>
      </c>
      <c r="C234" t="s">
        <v>67</v>
      </c>
      <c r="D234" s="22" t="str">
        <f t="shared" si="15"/>
        <v>2024-01-24</v>
      </c>
      <c r="E234" s="22" t="str">
        <f t="shared" si="16"/>
        <v>2024-01-24</v>
      </c>
      <c r="F234" s="22">
        <f t="shared" si="17"/>
        <v>0</v>
      </c>
      <c r="J234" t="str">
        <f t="shared" si="18"/>
        <v>Петров Владимир КирилловичСмирнова Светлана Владимировна</v>
      </c>
      <c r="K234" t="s">
        <v>50</v>
      </c>
      <c r="L234" t="s">
        <v>207</v>
      </c>
      <c r="M234" t="s">
        <v>206</v>
      </c>
      <c r="N234" t="str">
        <f t="shared" si="19"/>
        <v>Кузнецов Дмитрий ЛьвовичОрлов Матвей Алексеевич</v>
      </c>
      <c r="O234" t="s">
        <v>10</v>
      </c>
      <c r="P234" t="s">
        <v>116</v>
      </c>
      <c r="Q234" t="s">
        <v>391</v>
      </c>
    </row>
    <row r="235" spans="2:17" x14ac:dyDescent="0.3">
      <c r="B235" t="s">
        <v>10</v>
      </c>
      <c r="C235" t="s">
        <v>276</v>
      </c>
      <c r="D235" s="22" t="str">
        <f t="shared" si="15"/>
        <v>2024-07-09</v>
      </c>
      <c r="E235" s="22" t="str">
        <f t="shared" si="16"/>
        <v>2024-07-09</v>
      </c>
      <c r="F235" s="22">
        <f t="shared" si="17"/>
        <v>0</v>
      </c>
      <c r="J235" t="str">
        <f t="shared" si="18"/>
        <v>Ткаченко Андрей ОлеговичПетров Александр Александрович</v>
      </c>
      <c r="K235" t="s">
        <v>5</v>
      </c>
      <c r="L235" t="s">
        <v>208</v>
      </c>
      <c r="M235" t="s">
        <v>206</v>
      </c>
      <c r="N235" t="str">
        <f t="shared" si="19"/>
        <v>Орлов Павел ДенисовичСтепанова Полина Артемовна</v>
      </c>
      <c r="O235" t="s">
        <v>45</v>
      </c>
      <c r="P235" t="s">
        <v>35</v>
      </c>
      <c r="Q235" t="s">
        <v>391</v>
      </c>
    </row>
    <row r="236" spans="2:17" x14ac:dyDescent="0.3">
      <c r="B236" t="s">
        <v>10</v>
      </c>
      <c r="C236" t="s">
        <v>22</v>
      </c>
      <c r="D236" s="22" t="str">
        <f t="shared" si="15"/>
        <v>2024-04-01</v>
      </c>
      <c r="E236" s="22" t="str">
        <f t="shared" si="16"/>
        <v>2024-04-01</v>
      </c>
      <c r="F236" s="22">
        <f t="shared" si="17"/>
        <v>0</v>
      </c>
      <c r="J236" t="str">
        <f t="shared" si="18"/>
        <v>Семенова Ирина ВалерьевнаКозлов Роман Сергеевич</v>
      </c>
      <c r="K236" t="s">
        <v>12</v>
      </c>
      <c r="L236" t="s">
        <v>209</v>
      </c>
      <c r="M236" t="s">
        <v>206</v>
      </c>
      <c r="N236" t="str">
        <f t="shared" si="19"/>
        <v>Фролов Сергей ВикторовичОрлова Юлия Алексеевна</v>
      </c>
      <c r="O236" t="s">
        <v>40</v>
      </c>
      <c r="P236" t="s">
        <v>171</v>
      </c>
      <c r="Q236" t="s">
        <v>391</v>
      </c>
    </row>
    <row r="237" spans="2:17" x14ac:dyDescent="0.3">
      <c r="B237" t="s">
        <v>10</v>
      </c>
      <c r="C237" t="s">
        <v>17</v>
      </c>
      <c r="D237" s="22" t="str">
        <f t="shared" si="15"/>
        <v>2024-03-25</v>
      </c>
      <c r="E237" s="22" t="str">
        <f t="shared" si="16"/>
        <v>2024-03-25</v>
      </c>
      <c r="F237" s="22">
        <f t="shared" si="17"/>
        <v>0</v>
      </c>
      <c r="J237" t="str">
        <f t="shared" si="18"/>
        <v>Ткаченко Андрей ОлеговичКузнецов Никита Андреевич</v>
      </c>
      <c r="K237" t="s">
        <v>5</v>
      </c>
      <c r="L237" t="s">
        <v>20</v>
      </c>
      <c r="M237" t="s">
        <v>206</v>
      </c>
      <c r="N237" t="str">
        <f t="shared" si="19"/>
        <v>Фролов Сергей ВикторовичПавлов Илья Никитич</v>
      </c>
      <c r="O237" t="s">
        <v>40</v>
      </c>
      <c r="P237" t="s">
        <v>324</v>
      </c>
      <c r="Q237" t="s">
        <v>391</v>
      </c>
    </row>
    <row r="238" spans="2:17" x14ac:dyDescent="0.3">
      <c r="B238" t="s">
        <v>10</v>
      </c>
      <c r="C238" t="s">
        <v>302</v>
      </c>
      <c r="D238" s="22" t="str">
        <f t="shared" si="15"/>
        <v>2024-02-08</v>
      </c>
      <c r="E238" s="22" t="str">
        <f t="shared" si="16"/>
        <v>2024-02-08</v>
      </c>
      <c r="F238" s="22">
        <f t="shared" si="17"/>
        <v>0</v>
      </c>
      <c r="J238" t="str">
        <f t="shared" si="18"/>
        <v>Петров Владимир КирилловичПавлов Михаил Геннадьевич</v>
      </c>
      <c r="K238" t="s">
        <v>50</v>
      </c>
      <c r="L238" t="s">
        <v>154</v>
      </c>
      <c r="M238" t="s">
        <v>206</v>
      </c>
      <c r="N238" t="str">
        <f t="shared" si="19"/>
        <v>Иванова Анна СергеевнаФедорова Ксения Романовна</v>
      </c>
      <c r="O238" t="s">
        <v>28</v>
      </c>
      <c r="P238" t="s">
        <v>192</v>
      </c>
      <c r="Q238" t="s">
        <v>391</v>
      </c>
    </row>
    <row r="239" spans="2:17" x14ac:dyDescent="0.3">
      <c r="B239" t="s">
        <v>10</v>
      </c>
      <c r="C239" t="s">
        <v>49</v>
      </c>
      <c r="D239" s="22" t="str">
        <f t="shared" si="15"/>
        <v>2023-10-16</v>
      </c>
      <c r="E239" s="22" t="str">
        <f t="shared" si="16"/>
        <v>2023-12-25</v>
      </c>
      <c r="F239" s="22">
        <f t="shared" si="17"/>
        <v>70</v>
      </c>
      <c r="J239" t="str">
        <f t="shared" si="18"/>
        <v>Семенова Ирина ВалерьевнаСидоров Роман Кириллович</v>
      </c>
      <c r="K239" t="s">
        <v>12</v>
      </c>
      <c r="L239" t="s">
        <v>110</v>
      </c>
      <c r="M239" t="s">
        <v>206</v>
      </c>
      <c r="N239" t="str">
        <f t="shared" si="19"/>
        <v>Орлов Павел ДенисовичСидоров Александр Артемович</v>
      </c>
      <c r="O239" t="s">
        <v>45</v>
      </c>
      <c r="P239" t="s">
        <v>77</v>
      </c>
      <c r="Q239" t="s">
        <v>391</v>
      </c>
    </row>
    <row r="240" spans="2:17" x14ac:dyDescent="0.3">
      <c r="B240" t="s">
        <v>10</v>
      </c>
      <c r="C240" t="s">
        <v>85</v>
      </c>
      <c r="D240" s="22" t="str">
        <f t="shared" si="15"/>
        <v>2023-10-02</v>
      </c>
      <c r="E240" s="22" t="str">
        <f t="shared" si="16"/>
        <v>2023-10-02</v>
      </c>
      <c r="F240" s="22">
        <f t="shared" si="17"/>
        <v>0</v>
      </c>
      <c r="J240" t="str">
        <f t="shared" si="18"/>
        <v>Кузнецов Дмитрий ЛьвовичПопов Илья Егорович</v>
      </c>
      <c r="K240" t="s">
        <v>10</v>
      </c>
      <c r="L240" t="s">
        <v>210</v>
      </c>
      <c r="M240" t="s">
        <v>211</v>
      </c>
      <c r="N240" t="str">
        <f t="shared" si="19"/>
        <v>Иванова Анна СергеевнаКузнецова Мария Юрьевна</v>
      </c>
      <c r="O240" t="s">
        <v>28</v>
      </c>
      <c r="P240" t="s">
        <v>22</v>
      </c>
      <c r="Q240" t="s">
        <v>390</v>
      </c>
    </row>
    <row r="241" spans="2:17" x14ac:dyDescent="0.3">
      <c r="B241" t="s">
        <v>10</v>
      </c>
      <c r="C241" t="s">
        <v>156</v>
      </c>
      <c r="D241" s="22" t="str">
        <f t="shared" si="15"/>
        <v>2024-07-29</v>
      </c>
      <c r="E241" s="22" t="str">
        <f t="shared" si="16"/>
        <v>2024-07-29</v>
      </c>
      <c r="F241" s="22">
        <f t="shared" si="17"/>
        <v>0</v>
      </c>
      <c r="J241" t="str">
        <f t="shared" si="18"/>
        <v>Петров Владимир КирилловичИванов Илья Артемович</v>
      </c>
      <c r="K241" t="s">
        <v>50</v>
      </c>
      <c r="L241" t="s">
        <v>83</v>
      </c>
      <c r="M241" t="s">
        <v>211</v>
      </c>
      <c r="N241" t="str">
        <f t="shared" si="19"/>
        <v>Сидорова Елена ВасильевнаКузнецова Полина Романовна</v>
      </c>
      <c r="O241" t="s">
        <v>18</v>
      </c>
      <c r="P241" t="s">
        <v>17</v>
      </c>
      <c r="Q241" t="s">
        <v>390</v>
      </c>
    </row>
    <row r="242" spans="2:17" x14ac:dyDescent="0.3">
      <c r="B242" t="s">
        <v>10</v>
      </c>
      <c r="C242" t="s">
        <v>6</v>
      </c>
      <c r="D242" s="22" t="str">
        <f t="shared" si="15"/>
        <v>2023-11-16</v>
      </c>
      <c r="E242" s="22" t="str">
        <f t="shared" si="16"/>
        <v>2024-02-05</v>
      </c>
      <c r="F242" s="22">
        <f t="shared" si="17"/>
        <v>81</v>
      </c>
      <c r="J242" t="str">
        <f t="shared" si="18"/>
        <v>Иванова Анна СергеевнаКузнецов Илья Артемович</v>
      </c>
      <c r="K242" t="s">
        <v>28</v>
      </c>
      <c r="L242" t="s">
        <v>185</v>
      </c>
      <c r="M242" t="s">
        <v>211</v>
      </c>
      <c r="N242" t="str">
        <f t="shared" si="19"/>
        <v>Яковлев Артем ИгоревичЛебедева Дарья Никитична</v>
      </c>
      <c r="O242" t="s">
        <v>8</v>
      </c>
      <c r="P242" t="s">
        <v>75</v>
      </c>
      <c r="Q242" t="s">
        <v>390</v>
      </c>
    </row>
    <row r="243" spans="2:17" x14ac:dyDescent="0.3">
      <c r="B243" t="s">
        <v>10</v>
      </c>
      <c r="C243" t="s">
        <v>387</v>
      </c>
      <c r="D243" s="22" t="str">
        <f t="shared" si="15"/>
        <v>2024-06-24</v>
      </c>
      <c r="E243" s="22" t="str">
        <f t="shared" si="16"/>
        <v>2024-06-24</v>
      </c>
      <c r="F243" s="22">
        <f t="shared" si="17"/>
        <v>0</v>
      </c>
      <c r="J243" t="str">
        <f t="shared" si="18"/>
        <v>Громова Мария ИльиничнаЛебедев Илья Станиславович</v>
      </c>
      <c r="K243" t="s">
        <v>14</v>
      </c>
      <c r="L243" t="s">
        <v>51</v>
      </c>
      <c r="M243" t="s">
        <v>212</v>
      </c>
      <c r="N243" t="str">
        <f t="shared" si="19"/>
        <v>Семенова Ирина ВалерьевнаОрлова Полина Олеговна</v>
      </c>
      <c r="O243" t="s">
        <v>12</v>
      </c>
      <c r="P243" t="s">
        <v>101</v>
      </c>
      <c r="Q243" t="s">
        <v>390</v>
      </c>
    </row>
    <row r="244" spans="2:17" x14ac:dyDescent="0.3">
      <c r="B244" t="s">
        <v>10</v>
      </c>
      <c r="C244" t="s">
        <v>312</v>
      </c>
      <c r="D244" s="22" t="str">
        <f t="shared" si="15"/>
        <v>2024-04-08</v>
      </c>
      <c r="E244" s="22" t="str">
        <f t="shared" si="16"/>
        <v>2024-04-08</v>
      </c>
      <c r="F244" s="22">
        <f t="shared" si="17"/>
        <v>0</v>
      </c>
      <c r="J244" t="str">
        <f t="shared" si="18"/>
        <v>Иванова Анна СергеевнаМорозова Валерия Ильинична</v>
      </c>
      <c r="K244" t="s">
        <v>28</v>
      </c>
      <c r="L244" t="s">
        <v>174</v>
      </c>
      <c r="M244" t="s">
        <v>212</v>
      </c>
      <c r="N244" t="str">
        <f t="shared" si="19"/>
        <v>Кузнецов Дмитрий ЛьвовичСидоров Кирилл Кириллович</v>
      </c>
      <c r="O244" t="s">
        <v>10</v>
      </c>
      <c r="P244" t="s">
        <v>137</v>
      </c>
      <c r="Q244" t="s">
        <v>390</v>
      </c>
    </row>
    <row r="245" spans="2:17" x14ac:dyDescent="0.3">
      <c r="B245" t="s">
        <v>10</v>
      </c>
      <c r="C245" t="s">
        <v>52</v>
      </c>
      <c r="D245" s="22" t="str">
        <f t="shared" si="15"/>
        <v>2024-05-20</v>
      </c>
      <c r="E245" s="22" t="str">
        <f t="shared" si="16"/>
        <v>2024-05-20</v>
      </c>
      <c r="F245" s="22">
        <f t="shared" si="17"/>
        <v>0</v>
      </c>
      <c r="J245" t="str">
        <f t="shared" si="18"/>
        <v>Новикова Ольга ПетровнаПопова Виктория Геннадьевна</v>
      </c>
      <c r="K245" t="s">
        <v>47</v>
      </c>
      <c r="L245" t="s">
        <v>167</v>
      </c>
      <c r="M245" t="s">
        <v>212</v>
      </c>
      <c r="N245" t="str">
        <f t="shared" si="19"/>
        <v>Белов Алексей КонстантиновичКузнецов Михаил Артемович</v>
      </c>
      <c r="O245" t="s">
        <v>21</v>
      </c>
      <c r="P245" t="s">
        <v>67</v>
      </c>
      <c r="Q245" t="s">
        <v>390</v>
      </c>
    </row>
    <row r="246" spans="2:17" x14ac:dyDescent="0.3">
      <c r="B246" t="s">
        <v>10</v>
      </c>
      <c r="C246" t="s">
        <v>46</v>
      </c>
      <c r="D246" s="22" t="str">
        <f t="shared" si="15"/>
        <v>2024-04-22</v>
      </c>
      <c r="E246" s="22" t="str">
        <f t="shared" si="16"/>
        <v>2024-04-22</v>
      </c>
      <c r="F246" s="22">
        <f t="shared" si="17"/>
        <v>0</v>
      </c>
      <c r="J246" t="str">
        <f t="shared" si="18"/>
        <v>Петров Владимир КирилловичСмирнов Артем Егорович</v>
      </c>
      <c r="K246" t="s">
        <v>50</v>
      </c>
      <c r="L246" t="s">
        <v>127</v>
      </c>
      <c r="M246" t="s">
        <v>213</v>
      </c>
      <c r="N246" t="str">
        <f t="shared" si="19"/>
        <v>Ткаченко Андрей ОлеговичВасильева Ирина Павловна</v>
      </c>
      <c r="O246" t="s">
        <v>5</v>
      </c>
      <c r="P246" t="s">
        <v>130</v>
      </c>
      <c r="Q246" t="s">
        <v>390</v>
      </c>
    </row>
    <row r="247" spans="2:17" x14ac:dyDescent="0.3">
      <c r="B247" t="s">
        <v>10</v>
      </c>
      <c r="C247" t="s">
        <v>174</v>
      </c>
      <c r="D247" s="22" t="str">
        <f t="shared" si="15"/>
        <v>2024-04-01</v>
      </c>
      <c r="E247" s="22" t="str">
        <f t="shared" si="16"/>
        <v>2024-04-01</v>
      </c>
      <c r="F247" s="22">
        <f t="shared" si="17"/>
        <v>0</v>
      </c>
      <c r="J247" t="str">
        <f t="shared" si="18"/>
        <v>Орлов Павел ДенисовичКузнецова Людмила Егоровна</v>
      </c>
      <c r="K247" t="s">
        <v>45</v>
      </c>
      <c r="L247" t="s">
        <v>214</v>
      </c>
      <c r="M247" t="s">
        <v>213</v>
      </c>
      <c r="N247" t="str">
        <f t="shared" si="19"/>
        <v>Орлов Павел ДенисовичФедорова Людмила Кирилловна</v>
      </c>
      <c r="O247" t="s">
        <v>45</v>
      </c>
      <c r="P247" t="s">
        <v>199</v>
      </c>
      <c r="Q247" t="s">
        <v>389</v>
      </c>
    </row>
    <row r="248" spans="2:17" x14ac:dyDescent="0.3">
      <c r="B248" t="s">
        <v>10</v>
      </c>
      <c r="C248" t="s">
        <v>62</v>
      </c>
      <c r="D248" s="22" t="str">
        <f t="shared" si="15"/>
        <v>2023-10-26</v>
      </c>
      <c r="E248" s="22" t="str">
        <f t="shared" si="16"/>
        <v>2023-10-26</v>
      </c>
      <c r="F248" s="22">
        <f t="shared" si="17"/>
        <v>0</v>
      </c>
      <c r="J248" t="str">
        <f t="shared" si="18"/>
        <v>Петров Владимир КирилловичПавлов Роман Владимирович</v>
      </c>
      <c r="K248" t="s">
        <v>50</v>
      </c>
      <c r="L248" t="s">
        <v>169</v>
      </c>
      <c r="M248" t="s">
        <v>215</v>
      </c>
      <c r="N248" t="str">
        <f t="shared" si="19"/>
        <v>Иванова Анна СергеевнаСеменов Артур Михайлович</v>
      </c>
      <c r="O248" t="s">
        <v>28</v>
      </c>
      <c r="P248" t="s">
        <v>245</v>
      </c>
      <c r="Q248" t="s">
        <v>389</v>
      </c>
    </row>
    <row r="249" spans="2:17" x14ac:dyDescent="0.3">
      <c r="B249" t="s">
        <v>10</v>
      </c>
      <c r="C249" t="s">
        <v>115</v>
      </c>
      <c r="D249" s="22" t="str">
        <f t="shared" si="15"/>
        <v>2023-10-05</v>
      </c>
      <c r="E249" s="22" t="str">
        <f t="shared" si="16"/>
        <v>2023-10-05</v>
      </c>
      <c r="F249" s="22">
        <f t="shared" si="17"/>
        <v>0</v>
      </c>
      <c r="J249" t="str">
        <f t="shared" si="18"/>
        <v>Фролов Сергей ВикторовичЕгорова Ирина Павловна</v>
      </c>
      <c r="K249" t="s">
        <v>40</v>
      </c>
      <c r="L249" t="s">
        <v>63</v>
      </c>
      <c r="M249" t="s">
        <v>215</v>
      </c>
      <c r="N249" t="str">
        <f t="shared" si="19"/>
        <v>Новикова Ольга ПетровнаПетров Иван Артемович</v>
      </c>
      <c r="O249" t="s">
        <v>47</v>
      </c>
      <c r="P249" t="s">
        <v>39</v>
      </c>
      <c r="Q249" t="s">
        <v>389</v>
      </c>
    </row>
    <row r="250" spans="2:17" x14ac:dyDescent="0.3">
      <c r="B250" t="s">
        <v>10</v>
      </c>
      <c r="C250" t="s">
        <v>193</v>
      </c>
      <c r="D250" s="22" t="str">
        <f t="shared" si="15"/>
        <v>2024-02-05</v>
      </c>
      <c r="E250" s="22" t="str">
        <f t="shared" si="16"/>
        <v>2024-02-05</v>
      </c>
      <c r="F250" s="22">
        <f t="shared" si="17"/>
        <v>0</v>
      </c>
      <c r="J250" t="str">
        <f t="shared" si="18"/>
        <v>Орлов Павел ДенисовичМорозова Светлана Артемовна</v>
      </c>
      <c r="K250" t="s">
        <v>45</v>
      </c>
      <c r="L250" t="s">
        <v>107</v>
      </c>
      <c r="M250" t="s">
        <v>215</v>
      </c>
      <c r="N250" t="str">
        <f t="shared" si="19"/>
        <v>Семенова Ирина ВалерьевнаНовикова Екатерина Михайловна</v>
      </c>
      <c r="O250" t="s">
        <v>12</v>
      </c>
      <c r="P250" t="s">
        <v>181</v>
      </c>
      <c r="Q250" t="s">
        <v>389</v>
      </c>
    </row>
    <row r="251" spans="2:17" x14ac:dyDescent="0.3">
      <c r="B251" t="s">
        <v>10</v>
      </c>
      <c r="C251" t="s">
        <v>315</v>
      </c>
      <c r="D251" s="22" t="str">
        <f t="shared" si="15"/>
        <v>2024-02-22</v>
      </c>
      <c r="E251" s="22" t="str">
        <f t="shared" si="16"/>
        <v>2024-02-22</v>
      </c>
      <c r="F251" s="22">
        <f t="shared" si="17"/>
        <v>0</v>
      </c>
      <c r="J251" t="str">
        <f t="shared" si="18"/>
        <v>Яковлев Артем ИгоревичСидорова Елена Кирилловна</v>
      </c>
      <c r="K251" t="s">
        <v>8</v>
      </c>
      <c r="L251" t="s">
        <v>180</v>
      </c>
      <c r="M251" t="s">
        <v>216</v>
      </c>
      <c r="N251" t="str">
        <f t="shared" si="19"/>
        <v>Новикова Ольга ПетровнаКузнецова Мария Юрьевна</v>
      </c>
      <c r="O251" t="s">
        <v>47</v>
      </c>
      <c r="P251" t="s">
        <v>22</v>
      </c>
      <c r="Q251" t="s">
        <v>386</v>
      </c>
    </row>
    <row r="252" spans="2:17" x14ac:dyDescent="0.3">
      <c r="B252" t="s">
        <v>10</v>
      </c>
      <c r="C252" t="s">
        <v>126</v>
      </c>
      <c r="D252" s="22" t="str">
        <f t="shared" si="15"/>
        <v>2024-03-14</v>
      </c>
      <c r="E252" s="22" t="str">
        <f t="shared" si="16"/>
        <v>2024-06-05</v>
      </c>
      <c r="F252" s="22">
        <f t="shared" si="17"/>
        <v>83</v>
      </c>
      <c r="J252" t="str">
        <f t="shared" si="18"/>
        <v>Семенова Ирина ВалерьевнаПетров Илья Андреевич</v>
      </c>
      <c r="K252" t="s">
        <v>12</v>
      </c>
      <c r="L252" t="s">
        <v>70</v>
      </c>
      <c r="M252" t="s">
        <v>216</v>
      </c>
      <c r="N252" t="str">
        <f t="shared" si="19"/>
        <v>Белов Алексей КонстантиновичЛебедева Татьяна Павловна</v>
      </c>
      <c r="O252" t="s">
        <v>21</v>
      </c>
      <c r="P252" t="s">
        <v>387</v>
      </c>
      <c r="Q252" t="s">
        <v>386</v>
      </c>
    </row>
    <row r="253" spans="2:17" x14ac:dyDescent="0.3">
      <c r="B253" t="s">
        <v>10</v>
      </c>
      <c r="C253" t="s">
        <v>205</v>
      </c>
      <c r="D253" s="22" t="str">
        <f t="shared" si="15"/>
        <v>2023-11-20</v>
      </c>
      <c r="E253" s="22" t="str">
        <f t="shared" si="16"/>
        <v>2023-11-20</v>
      </c>
      <c r="F253" s="22">
        <f t="shared" si="17"/>
        <v>0</v>
      </c>
      <c r="J253" t="str">
        <f t="shared" si="18"/>
        <v>Громова Мария ИльиничнаКозлова София Станиславовна</v>
      </c>
      <c r="K253" t="s">
        <v>14</v>
      </c>
      <c r="L253" t="s">
        <v>54</v>
      </c>
      <c r="M253" t="s">
        <v>216</v>
      </c>
      <c r="N253" t="str">
        <f t="shared" si="19"/>
        <v>Иванова Анна СергеевнаЛебедева Елена Олеговна</v>
      </c>
      <c r="O253" t="s">
        <v>28</v>
      </c>
      <c r="P253" t="s">
        <v>388</v>
      </c>
      <c r="Q253" t="s">
        <v>386</v>
      </c>
    </row>
    <row r="254" spans="2:17" x14ac:dyDescent="0.3">
      <c r="B254" t="s">
        <v>10</v>
      </c>
      <c r="C254" t="s">
        <v>81</v>
      </c>
      <c r="D254" s="22" t="str">
        <f t="shared" si="15"/>
        <v>2024-01-26</v>
      </c>
      <c r="E254" s="22" t="str">
        <f t="shared" si="16"/>
        <v>2024-05-24</v>
      </c>
      <c r="F254" s="22">
        <f t="shared" si="17"/>
        <v>119</v>
      </c>
      <c r="J254" t="str">
        <f t="shared" si="18"/>
        <v>Белов Алексей КонстантиновичМорозов Андрей Никитич</v>
      </c>
      <c r="K254" t="s">
        <v>21</v>
      </c>
      <c r="L254" t="s">
        <v>147</v>
      </c>
      <c r="M254" t="s">
        <v>216</v>
      </c>
      <c r="N254" t="str">
        <f t="shared" si="19"/>
        <v>Семенова Ирина ВалерьевнаНовикова Екатерина Михайловна</v>
      </c>
      <c r="O254" t="s">
        <v>12</v>
      </c>
      <c r="P254" t="s">
        <v>181</v>
      </c>
      <c r="Q254" t="s">
        <v>386</v>
      </c>
    </row>
    <row r="255" spans="2:17" x14ac:dyDescent="0.3">
      <c r="B255" t="s">
        <v>10</v>
      </c>
      <c r="C255" t="s">
        <v>97</v>
      </c>
      <c r="D255" s="22" t="str">
        <f t="shared" si="15"/>
        <v>2023-12-12</v>
      </c>
      <c r="E255" s="22" t="str">
        <f t="shared" si="16"/>
        <v>2023-12-12</v>
      </c>
      <c r="F255" s="22">
        <f t="shared" si="17"/>
        <v>0</v>
      </c>
      <c r="J255" t="str">
        <f t="shared" si="18"/>
        <v>Орлов Павел ДенисовичСтепанова Юлия Андреевна</v>
      </c>
      <c r="K255" t="s">
        <v>45</v>
      </c>
      <c r="L255" t="s">
        <v>217</v>
      </c>
      <c r="M255" t="s">
        <v>216</v>
      </c>
      <c r="N255" t="str">
        <f t="shared" si="19"/>
        <v>Белов Алексей КонстантиновичМорозов Кирилл Геннадьевич</v>
      </c>
      <c r="O255" t="s">
        <v>21</v>
      </c>
      <c r="P255" t="s">
        <v>360</v>
      </c>
      <c r="Q255" t="s">
        <v>385</v>
      </c>
    </row>
    <row r="256" spans="2:17" x14ac:dyDescent="0.3">
      <c r="B256" t="s">
        <v>10</v>
      </c>
      <c r="C256" t="s">
        <v>11</v>
      </c>
      <c r="D256" s="22" t="str">
        <f t="shared" si="15"/>
        <v>2023-09-01</v>
      </c>
      <c r="E256" s="22" t="str">
        <f t="shared" si="16"/>
        <v>2023-09-01</v>
      </c>
      <c r="F256" s="22">
        <f t="shared" si="17"/>
        <v>0</v>
      </c>
      <c r="J256" t="str">
        <f t="shared" si="18"/>
        <v>Петров Владимир КирилловичФедоров Илья Владимирович</v>
      </c>
      <c r="K256" t="s">
        <v>50</v>
      </c>
      <c r="L256" t="s">
        <v>34</v>
      </c>
      <c r="M256" t="s">
        <v>216</v>
      </c>
      <c r="N256" t="str">
        <f t="shared" si="19"/>
        <v>Орлов Павел ДенисовичСмирнов Дмитрий Никитич</v>
      </c>
      <c r="O256" t="s">
        <v>45</v>
      </c>
      <c r="P256" t="s">
        <v>165</v>
      </c>
      <c r="Q256" t="s">
        <v>385</v>
      </c>
    </row>
    <row r="257" spans="2:17" x14ac:dyDescent="0.3">
      <c r="B257" t="s">
        <v>10</v>
      </c>
      <c r="C257" t="s">
        <v>105</v>
      </c>
      <c r="D257" s="22" t="str">
        <f t="shared" si="15"/>
        <v>2024-02-02</v>
      </c>
      <c r="E257" s="22" t="str">
        <f t="shared" si="16"/>
        <v>2024-02-14</v>
      </c>
      <c r="F257" s="22">
        <f t="shared" si="17"/>
        <v>12</v>
      </c>
      <c r="J257" t="str">
        <f t="shared" si="18"/>
        <v>Кузнецов Дмитрий ЛьвовичОрлов Александр Иванович</v>
      </c>
      <c r="K257" t="s">
        <v>10</v>
      </c>
      <c r="L257" t="s">
        <v>69</v>
      </c>
      <c r="M257" t="s">
        <v>216</v>
      </c>
      <c r="N257" t="str">
        <f t="shared" si="19"/>
        <v>Новикова Ольга ПетровнаСмирнов Дмитрий Никитич</v>
      </c>
      <c r="O257" t="s">
        <v>47</v>
      </c>
      <c r="P257" t="s">
        <v>165</v>
      </c>
      <c r="Q257" t="s">
        <v>385</v>
      </c>
    </row>
    <row r="258" spans="2:17" x14ac:dyDescent="0.3">
      <c r="B258" t="s">
        <v>10</v>
      </c>
      <c r="C258" t="s">
        <v>42</v>
      </c>
      <c r="D258" s="22" t="str">
        <f t="shared" si="15"/>
        <v>2023-09-08</v>
      </c>
      <c r="E258" s="22" t="str">
        <f t="shared" si="16"/>
        <v>2023-09-08</v>
      </c>
      <c r="F258" s="22">
        <f t="shared" si="17"/>
        <v>0</v>
      </c>
      <c r="J258" t="str">
        <f t="shared" si="18"/>
        <v>Новикова Ольга ПетровнаНовикова Ирина Геннадьевна</v>
      </c>
      <c r="K258" t="s">
        <v>47</v>
      </c>
      <c r="L258" t="s">
        <v>105</v>
      </c>
      <c r="M258" t="s">
        <v>218</v>
      </c>
      <c r="N258" t="str">
        <f t="shared" si="19"/>
        <v>Фролов Сергей ВикторовичКузнецова Мария Юрьевна</v>
      </c>
      <c r="O258" t="s">
        <v>40</v>
      </c>
      <c r="P258" t="s">
        <v>22</v>
      </c>
      <c r="Q258" t="s">
        <v>384</v>
      </c>
    </row>
    <row r="259" spans="2:17" x14ac:dyDescent="0.3">
      <c r="B259" t="s">
        <v>10</v>
      </c>
      <c r="C259" t="s">
        <v>247</v>
      </c>
      <c r="D259" s="22" t="str">
        <f t="shared" ref="D259:D322" si="20">VLOOKUP(B259&amp;C259,J:M,4,0)</f>
        <v>2023-12-21</v>
      </c>
      <c r="E259" s="22" t="str">
        <f t="shared" ref="E259:E322" si="21">VLOOKUP(B259&amp;C259,N:Q,4,0)</f>
        <v>2023-12-21</v>
      </c>
      <c r="F259" s="22">
        <f t="shared" ref="F259:F322" si="22">E259-D259</f>
        <v>0</v>
      </c>
      <c r="J259" t="str">
        <f t="shared" ref="J259:J322" si="23">K259&amp;L259</f>
        <v>Кузнецов Дмитрий ЛьвовичЕгорова Алиса Егоровна</v>
      </c>
      <c r="K259" t="s">
        <v>10</v>
      </c>
      <c r="L259" t="s">
        <v>144</v>
      </c>
      <c r="M259" t="s">
        <v>218</v>
      </c>
      <c r="N259" t="str">
        <f t="shared" ref="N259:N322" si="24">O259&amp;P259</f>
        <v>Петров Владимир КирилловичСидоров Роман Кириллович</v>
      </c>
      <c r="O259" t="s">
        <v>50</v>
      </c>
      <c r="P259" t="s">
        <v>110</v>
      </c>
      <c r="Q259" t="s">
        <v>384</v>
      </c>
    </row>
    <row r="260" spans="2:17" x14ac:dyDescent="0.3">
      <c r="B260" t="s">
        <v>10</v>
      </c>
      <c r="C260" t="s">
        <v>69</v>
      </c>
      <c r="D260" s="22" t="str">
        <f t="shared" si="20"/>
        <v>2023-11-27</v>
      </c>
      <c r="E260" s="22" t="str">
        <f t="shared" si="21"/>
        <v>2024-08-15</v>
      </c>
      <c r="F260" s="22">
        <f t="shared" si="22"/>
        <v>262</v>
      </c>
      <c r="J260" t="str">
        <f t="shared" si="23"/>
        <v>Громова Мария ИльиничнаПавлов Алексей Геннадьевич</v>
      </c>
      <c r="K260" t="s">
        <v>14</v>
      </c>
      <c r="L260" t="s">
        <v>191</v>
      </c>
      <c r="M260" t="s">
        <v>218</v>
      </c>
      <c r="N260" t="str">
        <f t="shared" si="24"/>
        <v>Новикова Ольга ПетровнаПетров Иван Егорович</v>
      </c>
      <c r="O260" t="s">
        <v>47</v>
      </c>
      <c r="P260" t="s">
        <v>149</v>
      </c>
      <c r="Q260" t="s">
        <v>384</v>
      </c>
    </row>
    <row r="261" spans="2:17" x14ac:dyDescent="0.3">
      <c r="B261" t="s">
        <v>10</v>
      </c>
      <c r="C261" t="s">
        <v>116</v>
      </c>
      <c r="D261" s="22" t="str">
        <f t="shared" si="20"/>
        <v>2024-06-03</v>
      </c>
      <c r="E261" s="22" t="str">
        <f t="shared" si="21"/>
        <v>2024-06-03</v>
      </c>
      <c r="F261" s="22">
        <f t="shared" si="22"/>
        <v>0</v>
      </c>
      <c r="J261" t="str">
        <f t="shared" si="23"/>
        <v>Иванова Анна СергеевнаФедорова Людмила Кирилловна</v>
      </c>
      <c r="K261" t="s">
        <v>28</v>
      </c>
      <c r="L261" t="s">
        <v>199</v>
      </c>
      <c r="M261" t="s">
        <v>218</v>
      </c>
      <c r="N261" t="str">
        <f t="shared" si="24"/>
        <v>Иванова Анна СергеевнаНовиков Дмитрий Станиславович</v>
      </c>
      <c r="O261" t="s">
        <v>28</v>
      </c>
      <c r="P261" t="s">
        <v>205</v>
      </c>
      <c r="Q261" t="s">
        <v>383</v>
      </c>
    </row>
    <row r="262" spans="2:17" x14ac:dyDescent="0.3">
      <c r="B262" t="s">
        <v>10</v>
      </c>
      <c r="C262" t="s">
        <v>60</v>
      </c>
      <c r="D262" s="22" t="str">
        <f t="shared" si="20"/>
        <v>2024-01-15</v>
      </c>
      <c r="E262" s="22" t="str">
        <f t="shared" si="21"/>
        <v>2024-01-15</v>
      </c>
      <c r="F262" s="22">
        <f t="shared" si="22"/>
        <v>0</v>
      </c>
      <c r="J262" t="str">
        <f t="shared" si="23"/>
        <v>Семенова Ирина ВалерьевнаПетров Алексей Сергеевич</v>
      </c>
      <c r="K262" t="s">
        <v>12</v>
      </c>
      <c r="L262" t="s">
        <v>66</v>
      </c>
      <c r="M262" t="s">
        <v>219</v>
      </c>
      <c r="N262" t="str">
        <f t="shared" si="24"/>
        <v>Кузнецов Дмитрий ЛьвовичНовиков Иван Андреевич</v>
      </c>
      <c r="O262" t="s">
        <v>10</v>
      </c>
      <c r="P262" t="s">
        <v>81</v>
      </c>
      <c r="Q262" t="s">
        <v>383</v>
      </c>
    </row>
    <row r="263" spans="2:17" x14ac:dyDescent="0.3">
      <c r="B263" t="s">
        <v>10</v>
      </c>
      <c r="C263" t="s">
        <v>138</v>
      </c>
      <c r="D263" s="22" t="str">
        <f t="shared" si="20"/>
        <v>2024-06-24</v>
      </c>
      <c r="E263" s="22" t="str">
        <f t="shared" si="21"/>
        <v>2024-06-24</v>
      </c>
      <c r="F263" s="22">
        <f t="shared" si="22"/>
        <v>0</v>
      </c>
      <c r="J263" t="str">
        <f t="shared" si="23"/>
        <v>Яковлев Артем ИгоревичКузнецов Дмитрий Павлович</v>
      </c>
      <c r="K263" t="s">
        <v>8</v>
      </c>
      <c r="L263" t="s">
        <v>186</v>
      </c>
      <c r="M263" t="s">
        <v>219</v>
      </c>
      <c r="N263" t="str">
        <f t="shared" si="24"/>
        <v>Иванова Анна СергеевнаМорозов Павел Ильич</v>
      </c>
      <c r="O263" t="s">
        <v>28</v>
      </c>
      <c r="P263" t="s">
        <v>146</v>
      </c>
      <c r="Q263" t="s">
        <v>383</v>
      </c>
    </row>
    <row r="264" spans="2:17" x14ac:dyDescent="0.3">
      <c r="B264" t="s">
        <v>10</v>
      </c>
      <c r="C264" t="s">
        <v>191</v>
      </c>
      <c r="D264" s="22" t="str">
        <f t="shared" si="20"/>
        <v>2024-02-12</v>
      </c>
      <c r="E264" s="22" t="str">
        <f t="shared" si="21"/>
        <v>2024-08-21</v>
      </c>
      <c r="F264" s="22">
        <f t="shared" si="22"/>
        <v>191</v>
      </c>
      <c r="J264" t="str">
        <f t="shared" si="23"/>
        <v>Семенова Ирина ВалерьевнаОрлова София Станиславовна</v>
      </c>
      <c r="K264" t="s">
        <v>12</v>
      </c>
      <c r="L264" t="s">
        <v>27</v>
      </c>
      <c r="M264" t="s">
        <v>220</v>
      </c>
      <c r="N264" t="str">
        <f t="shared" si="24"/>
        <v>Белов Алексей КонстантиновичЕгорова Ирина Павловна</v>
      </c>
      <c r="O264" t="s">
        <v>21</v>
      </c>
      <c r="P264" t="s">
        <v>63</v>
      </c>
      <c r="Q264" t="s">
        <v>382</v>
      </c>
    </row>
    <row r="265" spans="2:17" x14ac:dyDescent="0.3">
      <c r="B265" t="s">
        <v>10</v>
      </c>
      <c r="C265" t="s">
        <v>154</v>
      </c>
      <c r="D265" s="22" t="str">
        <f t="shared" si="20"/>
        <v>2023-12-28</v>
      </c>
      <c r="E265" s="22" t="str">
        <f t="shared" si="21"/>
        <v>2023-12-28</v>
      </c>
      <c r="F265" s="22">
        <f t="shared" si="22"/>
        <v>0</v>
      </c>
      <c r="J265" t="str">
        <f t="shared" si="23"/>
        <v>Кузнецов Дмитрий ЛьвовичВасильев Константин Геннадьевич</v>
      </c>
      <c r="K265" t="s">
        <v>10</v>
      </c>
      <c r="L265" t="s">
        <v>221</v>
      </c>
      <c r="M265" t="s">
        <v>220</v>
      </c>
      <c r="N265" t="str">
        <f t="shared" si="24"/>
        <v>Новикова Ольга ПетровнаОрлова Валерия Юрьевна</v>
      </c>
      <c r="O265" t="s">
        <v>47</v>
      </c>
      <c r="P265" t="s">
        <v>258</v>
      </c>
      <c r="Q265" t="s">
        <v>382</v>
      </c>
    </row>
    <row r="266" spans="2:17" x14ac:dyDescent="0.3">
      <c r="B266" t="s">
        <v>10</v>
      </c>
      <c r="C266" t="s">
        <v>394</v>
      </c>
      <c r="D266" s="22" t="str">
        <f t="shared" si="20"/>
        <v>2024-08-26</v>
      </c>
      <c r="E266" s="22" t="str">
        <f t="shared" si="21"/>
        <v>2024-08-26</v>
      </c>
      <c r="F266" s="22">
        <f t="shared" si="22"/>
        <v>0</v>
      </c>
      <c r="J266" t="str">
        <f t="shared" si="23"/>
        <v>Сидорова Елена ВасильевнаПопова Алиса Ильинична</v>
      </c>
      <c r="K266" t="s">
        <v>18</v>
      </c>
      <c r="L266" t="s">
        <v>90</v>
      </c>
      <c r="M266" t="s">
        <v>220</v>
      </c>
      <c r="N266" t="str">
        <f t="shared" si="24"/>
        <v>Громова Мария ИльиничнаСидоров Дмитрий Кириллович</v>
      </c>
      <c r="O266" t="s">
        <v>14</v>
      </c>
      <c r="P266" t="s">
        <v>166</v>
      </c>
      <c r="Q266" t="s">
        <v>382</v>
      </c>
    </row>
    <row r="267" spans="2:17" x14ac:dyDescent="0.3">
      <c r="B267" t="s">
        <v>10</v>
      </c>
      <c r="C267" t="s">
        <v>208</v>
      </c>
      <c r="D267" s="22" t="str">
        <f t="shared" si="20"/>
        <v>2024-04-01</v>
      </c>
      <c r="E267" s="22" t="str">
        <f t="shared" si="21"/>
        <v>2024-04-01</v>
      </c>
      <c r="F267" s="22">
        <f t="shared" si="22"/>
        <v>0</v>
      </c>
      <c r="J267" t="str">
        <f t="shared" si="23"/>
        <v>Яковлев Артем ИгоревичЛебедев Максим Михайлович</v>
      </c>
      <c r="K267" t="s">
        <v>8</v>
      </c>
      <c r="L267" t="s">
        <v>183</v>
      </c>
      <c r="M267" t="s">
        <v>220</v>
      </c>
      <c r="N267" t="str">
        <f t="shared" si="24"/>
        <v>Яковлев Артем ИгоревичПопов Иван Михайлович</v>
      </c>
      <c r="O267" t="s">
        <v>8</v>
      </c>
      <c r="P267" t="s">
        <v>109</v>
      </c>
      <c r="Q267" t="s">
        <v>382</v>
      </c>
    </row>
    <row r="268" spans="2:17" x14ac:dyDescent="0.3">
      <c r="B268" t="s">
        <v>10</v>
      </c>
      <c r="C268" t="s">
        <v>190</v>
      </c>
      <c r="D268" s="22" t="str">
        <f t="shared" si="20"/>
        <v>2024-02-29</v>
      </c>
      <c r="E268" s="22" t="str">
        <f t="shared" si="21"/>
        <v>2024-02-29</v>
      </c>
      <c r="F268" s="22">
        <f t="shared" si="22"/>
        <v>0</v>
      </c>
      <c r="J268" t="str">
        <f t="shared" si="23"/>
        <v>Громова Мария ИльиничнаКозлов Илья Егорович</v>
      </c>
      <c r="K268" t="s">
        <v>14</v>
      </c>
      <c r="L268" t="s">
        <v>222</v>
      </c>
      <c r="M268" t="s">
        <v>220</v>
      </c>
      <c r="N268" t="str">
        <f t="shared" si="24"/>
        <v>Белов Алексей КонстантиновичКозлов Роман Владимирович</v>
      </c>
      <c r="O268" t="s">
        <v>21</v>
      </c>
      <c r="P268" t="s">
        <v>279</v>
      </c>
      <c r="Q268" t="s">
        <v>382</v>
      </c>
    </row>
    <row r="269" spans="2:17" x14ac:dyDescent="0.3">
      <c r="B269" t="s">
        <v>10</v>
      </c>
      <c r="C269" t="s">
        <v>39</v>
      </c>
      <c r="D269" s="22" t="str">
        <f t="shared" si="20"/>
        <v>2023-09-08</v>
      </c>
      <c r="E269" s="22" t="str">
        <f t="shared" si="21"/>
        <v>2023-09-08</v>
      </c>
      <c r="F269" s="22">
        <f t="shared" si="22"/>
        <v>0</v>
      </c>
      <c r="J269" t="str">
        <f t="shared" si="23"/>
        <v>Петров Владимир КирилловичЕгоров Артур Владимирович</v>
      </c>
      <c r="K269" t="s">
        <v>50</v>
      </c>
      <c r="L269" t="s">
        <v>150</v>
      </c>
      <c r="M269" t="s">
        <v>223</v>
      </c>
      <c r="N269" t="str">
        <f t="shared" si="24"/>
        <v>Петров Владимир КирилловичФедоров Роман Дмитриевич</v>
      </c>
      <c r="O269" t="s">
        <v>50</v>
      </c>
      <c r="P269" t="s">
        <v>41</v>
      </c>
      <c r="Q269" t="s">
        <v>381</v>
      </c>
    </row>
    <row r="270" spans="2:17" x14ac:dyDescent="0.3">
      <c r="B270" t="s">
        <v>10</v>
      </c>
      <c r="C270" t="s">
        <v>32</v>
      </c>
      <c r="D270" s="22" t="str">
        <f t="shared" si="20"/>
        <v>2024-02-27</v>
      </c>
      <c r="E270" s="22" t="str">
        <f t="shared" si="21"/>
        <v>2024-02-27</v>
      </c>
      <c r="F270" s="22">
        <f t="shared" si="22"/>
        <v>0</v>
      </c>
      <c r="J270" t="str">
        <f t="shared" si="23"/>
        <v>Громова Мария ИльиничнаКузнецова Дарья Дмитриевна</v>
      </c>
      <c r="K270" t="s">
        <v>14</v>
      </c>
      <c r="L270" t="s">
        <v>43</v>
      </c>
      <c r="M270" t="s">
        <v>223</v>
      </c>
      <c r="N270" t="str">
        <f t="shared" si="24"/>
        <v>Сидорова Елена ВасильевнаОрлова София Станиславовна</v>
      </c>
      <c r="O270" t="s">
        <v>18</v>
      </c>
      <c r="P270" t="s">
        <v>27</v>
      </c>
      <c r="Q270" t="s">
        <v>379</v>
      </c>
    </row>
    <row r="271" spans="2:17" x14ac:dyDescent="0.3">
      <c r="B271" t="s">
        <v>10</v>
      </c>
      <c r="C271" t="s">
        <v>109</v>
      </c>
      <c r="D271" s="22" t="str">
        <f t="shared" si="20"/>
        <v>2023-12-18</v>
      </c>
      <c r="E271" s="22" t="str">
        <f t="shared" si="21"/>
        <v>2023-12-18</v>
      </c>
      <c r="F271" s="22">
        <f t="shared" si="22"/>
        <v>0</v>
      </c>
      <c r="J271" t="str">
        <f t="shared" si="23"/>
        <v>Орлов Павел ДенисовичВасильев Никита Павлович</v>
      </c>
      <c r="K271" t="s">
        <v>45</v>
      </c>
      <c r="L271" t="s">
        <v>89</v>
      </c>
      <c r="M271" t="s">
        <v>224</v>
      </c>
      <c r="N271" t="str">
        <f t="shared" si="24"/>
        <v>Новикова Ольга ПетровнаКузнецова Людмила Егоровна</v>
      </c>
      <c r="O271" t="s">
        <v>47</v>
      </c>
      <c r="P271" t="s">
        <v>214</v>
      </c>
      <c r="Q271" t="s">
        <v>379</v>
      </c>
    </row>
    <row r="272" spans="2:17" x14ac:dyDescent="0.3">
      <c r="B272" t="s">
        <v>10</v>
      </c>
      <c r="C272" t="s">
        <v>210</v>
      </c>
      <c r="D272" s="22" t="str">
        <f t="shared" si="20"/>
        <v>2023-11-21</v>
      </c>
      <c r="E272" s="22" t="str">
        <f t="shared" si="21"/>
        <v>2023-11-21</v>
      </c>
      <c r="F272" s="22">
        <f t="shared" si="22"/>
        <v>0</v>
      </c>
      <c r="J272" t="str">
        <f t="shared" si="23"/>
        <v>Петров Владимир КирилловичКузнецов Сергей Кириллович</v>
      </c>
      <c r="K272" t="s">
        <v>50</v>
      </c>
      <c r="L272" t="s">
        <v>225</v>
      </c>
      <c r="M272" t="s">
        <v>224</v>
      </c>
      <c r="N272" t="str">
        <f t="shared" si="24"/>
        <v>Сидорова Елена ВасильевнаОрлов Александр Иванович</v>
      </c>
      <c r="O272" t="s">
        <v>18</v>
      </c>
      <c r="P272" t="s">
        <v>69</v>
      </c>
      <c r="Q272" t="s">
        <v>379</v>
      </c>
    </row>
    <row r="273" spans="2:17" x14ac:dyDescent="0.3">
      <c r="B273" t="s">
        <v>10</v>
      </c>
      <c r="C273" t="s">
        <v>58</v>
      </c>
      <c r="D273" s="22" t="str">
        <f t="shared" si="20"/>
        <v>2024-01-09</v>
      </c>
      <c r="E273" s="22" t="str">
        <f t="shared" si="21"/>
        <v>2024-01-09</v>
      </c>
      <c r="F273" s="22">
        <f t="shared" si="22"/>
        <v>0</v>
      </c>
      <c r="J273" t="str">
        <f t="shared" si="23"/>
        <v>Яковлев Артем ИгоревичКузнецов Иван Ильич</v>
      </c>
      <c r="K273" t="s">
        <v>8</v>
      </c>
      <c r="L273" t="s">
        <v>178</v>
      </c>
      <c r="M273" t="s">
        <v>224</v>
      </c>
      <c r="N273" t="str">
        <f t="shared" si="24"/>
        <v>Сидорова Елена ВасильевнаПавлов Павел Юрьевич</v>
      </c>
      <c r="O273" t="s">
        <v>18</v>
      </c>
      <c r="P273" t="s">
        <v>380</v>
      </c>
      <c r="Q273" t="s">
        <v>379</v>
      </c>
    </row>
    <row r="274" spans="2:17" x14ac:dyDescent="0.3">
      <c r="B274" t="s">
        <v>10</v>
      </c>
      <c r="C274" t="s">
        <v>77</v>
      </c>
      <c r="D274" s="22" t="str">
        <f t="shared" si="20"/>
        <v>2024-05-06</v>
      </c>
      <c r="E274" s="22" t="str">
        <f t="shared" si="21"/>
        <v>2024-05-06</v>
      </c>
      <c r="F274" s="22">
        <f t="shared" si="22"/>
        <v>0</v>
      </c>
      <c r="J274" t="str">
        <f t="shared" si="23"/>
        <v>Фролов Сергей ВикторовичЛебедев Матвей Кириллович</v>
      </c>
      <c r="K274" t="s">
        <v>40</v>
      </c>
      <c r="L274" t="s">
        <v>123</v>
      </c>
      <c r="M274" t="s">
        <v>224</v>
      </c>
      <c r="N274" t="str">
        <f t="shared" si="24"/>
        <v>Орлов Павел ДенисовичПавлов Илья Никитич</v>
      </c>
      <c r="O274" t="s">
        <v>45</v>
      </c>
      <c r="P274" t="s">
        <v>324</v>
      </c>
      <c r="Q274" t="s">
        <v>379</v>
      </c>
    </row>
    <row r="275" spans="2:17" x14ac:dyDescent="0.3">
      <c r="B275" t="s">
        <v>10</v>
      </c>
      <c r="C275" t="s">
        <v>166</v>
      </c>
      <c r="D275" s="22" t="str">
        <f t="shared" si="20"/>
        <v>2024-05-01</v>
      </c>
      <c r="E275" s="22" t="str">
        <f t="shared" si="21"/>
        <v>2024-05-01</v>
      </c>
      <c r="F275" s="22">
        <f t="shared" si="22"/>
        <v>0</v>
      </c>
      <c r="J275" t="str">
        <f t="shared" si="23"/>
        <v>Яковлев Артем ИгоревичВасильев Константин Геннадьевич</v>
      </c>
      <c r="K275" t="s">
        <v>8</v>
      </c>
      <c r="L275" t="s">
        <v>221</v>
      </c>
      <c r="M275" t="s">
        <v>224</v>
      </c>
      <c r="N275" t="str">
        <f t="shared" si="24"/>
        <v>Белов Алексей КонстантиновичИванов Илья Артемович</v>
      </c>
      <c r="O275" t="s">
        <v>21</v>
      </c>
      <c r="P275" t="s">
        <v>83</v>
      </c>
      <c r="Q275" t="s">
        <v>378</v>
      </c>
    </row>
    <row r="276" spans="2:17" x14ac:dyDescent="0.3">
      <c r="B276" t="s">
        <v>10</v>
      </c>
      <c r="C276" t="s">
        <v>137</v>
      </c>
      <c r="D276" s="22" t="str">
        <f t="shared" si="20"/>
        <v>2023-10-16</v>
      </c>
      <c r="E276" s="22" t="str">
        <f t="shared" si="21"/>
        <v>2024-05-31</v>
      </c>
      <c r="F276" s="22">
        <f t="shared" si="22"/>
        <v>228</v>
      </c>
      <c r="J276" t="str">
        <f t="shared" si="23"/>
        <v>Ткаченко Андрей ОлеговичПавлов Михаил Геннадьевич</v>
      </c>
      <c r="K276" t="s">
        <v>5</v>
      </c>
      <c r="L276" t="s">
        <v>154</v>
      </c>
      <c r="M276" t="s">
        <v>224</v>
      </c>
      <c r="N276" t="str">
        <f t="shared" si="24"/>
        <v>Фролов Сергей ВикторовичОрлов Георгий Кириллович</v>
      </c>
      <c r="O276" t="s">
        <v>40</v>
      </c>
      <c r="P276" t="s">
        <v>30</v>
      </c>
      <c r="Q276" t="s">
        <v>378</v>
      </c>
    </row>
    <row r="277" spans="2:17" x14ac:dyDescent="0.3">
      <c r="B277" t="s">
        <v>10</v>
      </c>
      <c r="C277" t="s">
        <v>180</v>
      </c>
      <c r="D277" s="22" t="str">
        <f t="shared" si="20"/>
        <v>2024-05-20</v>
      </c>
      <c r="E277" s="22" t="str">
        <f t="shared" si="21"/>
        <v>2024-05-20</v>
      </c>
      <c r="F277" s="22">
        <f t="shared" si="22"/>
        <v>0</v>
      </c>
      <c r="J277" t="str">
        <f t="shared" si="23"/>
        <v>Иванова Анна СергеевнаФедоров Владимир Артемович</v>
      </c>
      <c r="K277" t="s">
        <v>28</v>
      </c>
      <c r="L277" t="s">
        <v>88</v>
      </c>
      <c r="M277" t="s">
        <v>224</v>
      </c>
      <c r="N277" t="str">
        <f t="shared" si="24"/>
        <v>Орлов Павел ДенисовичМорозов Максим Андреевич</v>
      </c>
      <c r="O277" t="s">
        <v>45</v>
      </c>
      <c r="P277" t="s">
        <v>52</v>
      </c>
      <c r="Q277" t="s">
        <v>378</v>
      </c>
    </row>
    <row r="278" spans="2:17" x14ac:dyDescent="0.3">
      <c r="B278" t="s">
        <v>10</v>
      </c>
      <c r="C278" t="s">
        <v>207</v>
      </c>
      <c r="D278" s="22" t="str">
        <f t="shared" si="20"/>
        <v>2024-06-10</v>
      </c>
      <c r="E278" s="22" t="str">
        <f t="shared" si="21"/>
        <v>2024-06-10</v>
      </c>
      <c r="F278" s="22">
        <f t="shared" si="22"/>
        <v>0</v>
      </c>
      <c r="J278" t="str">
        <f t="shared" si="23"/>
        <v>Орлов Павел ДенисовичНовикова Екатерина Михайловна</v>
      </c>
      <c r="K278" t="s">
        <v>45</v>
      </c>
      <c r="L278" t="s">
        <v>181</v>
      </c>
      <c r="M278" t="s">
        <v>226</v>
      </c>
      <c r="N278" t="str">
        <f t="shared" si="24"/>
        <v>Ткаченко Андрей ОлеговичПавлов Кирилл Артемович</v>
      </c>
      <c r="O278" t="s">
        <v>5</v>
      </c>
      <c r="P278" t="s">
        <v>94</v>
      </c>
      <c r="Q278" t="s">
        <v>378</v>
      </c>
    </row>
    <row r="279" spans="2:17" x14ac:dyDescent="0.3">
      <c r="B279" t="s">
        <v>10</v>
      </c>
      <c r="C279" t="s">
        <v>100</v>
      </c>
      <c r="D279" s="22" t="str">
        <f t="shared" si="20"/>
        <v>2023-09-26</v>
      </c>
      <c r="E279" s="22" t="str">
        <f t="shared" si="21"/>
        <v>2023-09-26</v>
      </c>
      <c r="F279" s="22">
        <f t="shared" si="22"/>
        <v>0</v>
      </c>
      <c r="J279" t="str">
        <f t="shared" si="23"/>
        <v>Орлов Павел ДенисовичНовиков Дмитрий Станиславович</v>
      </c>
      <c r="K279" t="s">
        <v>45</v>
      </c>
      <c r="L279" t="s">
        <v>205</v>
      </c>
      <c r="M279" t="s">
        <v>226</v>
      </c>
      <c r="N279" t="str">
        <f t="shared" si="24"/>
        <v>Белов Алексей КонстантиновичМорозов Артем Александрович</v>
      </c>
      <c r="O279" t="s">
        <v>21</v>
      </c>
      <c r="P279" t="s">
        <v>289</v>
      </c>
      <c r="Q279" t="s">
        <v>378</v>
      </c>
    </row>
    <row r="280" spans="2:17" x14ac:dyDescent="0.3">
      <c r="B280" t="s">
        <v>10</v>
      </c>
      <c r="C280" t="s">
        <v>34</v>
      </c>
      <c r="D280" s="22" t="str">
        <f t="shared" si="20"/>
        <v>2024-06-24</v>
      </c>
      <c r="E280" s="22" t="str">
        <f t="shared" si="21"/>
        <v>2024-06-24</v>
      </c>
      <c r="F280" s="22">
        <f t="shared" si="22"/>
        <v>0</v>
      </c>
      <c r="J280" t="str">
        <f t="shared" si="23"/>
        <v>Громова Мария ИльиничнаНиколаев Роман Викторович</v>
      </c>
      <c r="K280" t="s">
        <v>14</v>
      </c>
      <c r="L280" t="s">
        <v>227</v>
      </c>
      <c r="M280" t="s">
        <v>228</v>
      </c>
      <c r="N280" t="str">
        <f t="shared" si="24"/>
        <v>Новикова Ольга ПетровнаКозлов Роман Александрович</v>
      </c>
      <c r="O280" t="s">
        <v>47</v>
      </c>
      <c r="P280" t="s">
        <v>74</v>
      </c>
      <c r="Q280" t="s">
        <v>378</v>
      </c>
    </row>
    <row r="281" spans="2:17" x14ac:dyDescent="0.3">
      <c r="B281" t="s">
        <v>10</v>
      </c>
      <c r="C281" t="s">
        <v>151</v>
      </c>
      <c r="D281" s="22" t="str">
        <f t="shared" si="20"/>
        <v>2023-12-12</v>
      </c>
      <c r="E281" s="22" t="str">
        <f t="shared" si="21"/>
        <v>2023-12-12</v>
      </c>
      <c r="F281" s="22">
        <f t="shared" si="22"/>
        <v>0</v>
      </c>
      <c r="J281" t="str">
        <f t="shared" si="23"/>
        <v>Громова Мария ИльиничнаМорозов Павел Ильич</v>
      </c>
      <c r="K281" t="s">
        <v>14</v>
      </c>
      <c r="L281" t="s">
        <v>146</v>
      </c>
      <c r="M281" t="s">
        <v>228</v>
      </c>
      <c r="N281" t="str">
        <f t="shared" si="24"/>
        <v>Орлов Павел ДенисовичВасильев Матвей Романович</v>
      </c>
      <c r="O281" t="s">
        <v>45</v>
      </c>
      <c r="P281" t="s">
        <v>24</v>
      </c>
      <c r="Q281" t="s">
        <v>378</v>
      </c>
    </row>
    <row r="282" spans="2:17" x14ac:dyDescent="0.3">
      <c r="B282" t="s">
        <v>10</v>
      </c>
      <c r="C282" t="s">
        <v>41</v>
      </c>
      <c r="D282" s="22" t="str">
        <f t="shared" si="20"/>
        <v>2024-05-16</v>
      </c>
      <c r="E282" s="22" t="str">
        <f t="shared" si="21"/>
        <v>2024-05-16</v>
      </c>
      <c r="F282" s="22">
        <f t="shared" si="22"/>
        <v>0</v>
      </c>
      <c r="J282" t="str">
        <f t="shared" si="23"/>
        <v>Орлов Павел ДенисовичКозлова София Станиславовна</v>
      </c>
      <c r="K282" t="s">
        <v>45</v>
      </c>
      <c r="L282" t="s">
        <v>54</v>
      </c>
      <c r="M282" t="s">
        <v>228</v>
      </c>
      <c r="N282" t="str">
        <f t="shared" si="24"/>
        <v>Кузнецов Дмитрий ЛьвовичСидорова Елена Кирилловна</v>
      </c>
      <c r="O282" t="s">
        <v>10</v>
      </c>
      <c r="P282" t="s">
        <v>180</v>
      </c>
      <c r="Q282" t="s">
        <v>378</v>
      </c>
    </row>
    <row r="283" spans="2:17" x14ac:dyDescent="0.3">
      <c r="B283" t="s">
        <v>10</v>
      </c>
      <c r="C283" t="s">
        <v>87</v>
      </c>
      <c r="D283" s="22" t="str">
        <f t="shared" si="20"/>
        <v>2024-01-11</v>
      </c>
      <c r="E283" s="22" t="str">
        <f t="shared" si="21"/>
        <v>2024-01-11</v>
      </c>
      <c r="F283" s="22">
        <f t="shared" si="22"/>
        <v>0</v>
      </c>
      <c r="J283" t="str">
        <f t="shared" si="23"/>
        <v>Громова Мария ИльиничнаМорозова Светлана Артемовна</v>
      </c>
      <c r="K283" t="s">
        <v>14</v>
      </c>
      <c r="L283" t="s">
        <v>107</v>
      </c>
      <c r="M283" t="s">
        <v>229</v>
      </c>
      <c r="N283" t="str">
        <f t="shared" si="24"/>
        <v>Кузнецов Дмитрий ЛьвовичМорозов Максим Андреевич</v>
      </c>
      <c r="O283" t="s">
        <v>10</v>
      </c>
      <c r="P283" t="s">
        <v>52</v>
      </c>
      <c r="Q283" t="s">
        <v>378</v>
      </c>
    </row>
    <row r="284" spans="2:17" x14ac:dyDescent="0.3">
      <c r="B284" t="s">
        <v>47</v>
      </c>
      <c r="C284" t="s">
        <v>250</v>
      </c>
      <c r="D284" s="22" t="str">
        <f t="shared" si="20"/>
        <v>2023-12-25</v>
      </c>
      <c r="E284" s="22" t="str">
        <f t="shared" si="21"/>
        <v>2023-12-25</v>
      </c>
      <c r="F284" s="22">
        <f t="shared" si="22"/>
        <v>0</v>
      </c>
      <c r="J284" t="str">
        <f t="shared" si="23"/>
        <v>Кузнецов Дмитрий ЛьвовичАлексеева Светлана Станиславовна</v>
      </c>
      <c r="K284" t="s">
        <v>10</v>
      </c>
      <c r="L284" t="s">
        <v>71</v>
      </c>
      <c r="M284" t="s">
        <v>230</v>
      </c>
      <c r="N284" t="str">
        <f t="shared" si="24"/>
        <v>Белов Алексей КонстантиновичЕгорова Наталья Дмитриевна</v>
      </c>
      <c r="O284" t="s">
        <v>21</v>
      </c>
      <c r="P284" t="s">
        <v>251</v>
      </c>
      <c r="Q284" t="s">
        <v>377</v>
      </c>
    </row>
    <row r="285" spans="2:17" x14ac:dyDescent="0.3">
      <c r="B285" t="s">
        <v>47</v>
      </c>
      <c r="C285" t="s">
        <v>221</v>
      </c>
      <c r="D285" s="22" t="str">
        <f t="shared" si="20"/>
        <v>2024-06-04</v>
      </c>
      <c r="E285" s="22" t="str">
        <f t="shared" si="21"/>
        <v>2024-06-04</v>
      </c>
      <c r="F285" s="22">
        <f t="shared" si="22"/>
        <v>0</v>
      </c>
      <c r="J285" t="str">
        <f t="shared" si="23"/>
        <v>Орлов Павел ДенисовичИванов Александр Павлович</v>
      </c>
      <c r="K285" t="s">
        <v>45</v>
      </c>
      <c r="L285" t="s">
        <v>37</v>
      </c>
      <c r="M285" t="s">
        <v>230</v>
      </c>
      <c r="N285" t="str">
        <f t="shared" si="24"/>
        <v>Петров Владимир КирилловичЕгоров Артур Владимирович</v>
      </c>
      <c r="O285" t="s">
        <v>50</v>
      </c>
      <c r="P285" t="s">
        <v>150</v>
      </c>
      <c r="Q285" t="s">
        <v>377</v>
      </c>
    </row>
    <row r="286" spans="2:17" x14ac:dyDescent="0.3">
      <c r="B286" t="s">
        <v>47</v>
      </c>
      <c r="C286" t="s">
        <v>160</v>
      </c>
      <c r="D286" s="22" t="str">
        <f t="shared" si="20"/>
        <v>2024-06-05</v>
      </c>
      <c r="E286" s="22" t="str">
        <f t="shared" si="21"/>
        <v>2024-07-26</v>
      </c>
      <c r="F286" s="22">
        <f t="shared" si="22"/>
        <v>51</v>
      </c>
      <c r="J286" t="str">
        <f t="shared" si="23"/>
        <v>Иванова Анна СергеевнаПавлов Георгий Андреевич</v>
      </c>
      <c r="K286" t="s">
        <v>28</v>
      </c>
      <c r="L286" t="s">
        <v>72</v>
      </c>
      <c r="M286" t="s">
        <v>230</v>
      </c>
      <c r="N286" t="str">
        <f t="shared" si="24"/>
        <v>Орлов Павел ДенисовичНовикова Екатерина Ивановна</v>
      </c>
      <c r="O286" t="s">
        <v>45</v>
      </c>
      <c r="P286" t="s">
        <v>11</v>
      </c>
      <c r="Q286" t="s">
        <v>377</v>
      </c>
    </row>
    <row r="287" spans="2:17" x14ac:dyDescent="0.3">
      <c r="B287" t="s">
        <v>47</v>
      </c>
      <c r="C287" t="s">
        <v>24</v>
      </c>
      <c r="D287" s="22" t="str">
        <f t="shared" si="20"/>
        <v>2023-10-23</v>
      </c>
      <c r="E287" s="22" t="str">
        <f t="shared" si="21"/>
        <v>2023-10-23</v>
      </c>
      <c r="F287" s="22">
        <f t="shared" si="22"/>
        <v>0</v>
      </c>
      <c r="J287" t="str">
        <f t="shared" si="23"/>
        <v>Громова Мария ИльиничнаСмирнов Михаил Никитич</v>
      </c>
      <c r="K287" t="s">
        <v>14</v>
      </c>
      <c r="L287" t="s">
        <v>231</v>
      </c>
      <c r="M287" t="s">
        <v>230</v>
      </c>
      <c r="N287" t="str">
        <f t="shared" si="24"/>
        <v>Белов Алексей КонстантиновичПетров Алексей Сергеевич</v>
      </c>
      <c r="O287" t="s">
        <v>21</v>
      </c>
      <c r="P287" t="s">
        <v>66</v>
      </c>
      <c r="Q287" t="s">
        <v>376</v>
      </c>
    </row>
    <row r="288" spans="2:17" x14ac:dyDescent="0.3">
      <c r="B288" t="s">
        <v>47</v>
      </c>
      <c r="C288" t="s">
        <v>200</v>
      </c>
      <c r="D288" s="22" t="str">
        <f t="shared" si="20"/>
        <v>2024-03-21</v>
      </c>
      <c r="E288" s="22" t="str">
        <f t="shared" si="21"/>
        <v>2024-03-21</v>
      </c>
      <c r="F288" s="22">
        <f t="shared" si="22"/>
        <v>0</v>
      </c>
      <c r="J288" t="str">
        <f t="shared" si="23"/>
        <v>Семенова Ирина ВалерьевнаПавлов Алексей Геннадьевич</v>
      </c>
      <c r="K288" t="s">
        <v>12</v>
      </c>
      <c r="L288" t="s">
        <v>191</v>
      </c>
      <c r="M288" t="s">
        <v>230</v>
      </c>
      <c r="N288" t="str">
        <f t="shared" si="24"/>
        <v>Кузнецов Дмитрий ЛьвовичФедоров Роман Дмитриевич</v>
      </c>
      <c r="O288" t="s">
        <v>10</v>
      </c>
      <c r="P288" t="s">
        <v>41</v>
      </c>
      <c r="Q288" t="s">
        <v>376</v>
      </c>
    </row>
    <row r="289" spans="2:17" x14ac:dyDescent="0.3">
      <c r="B289" t="s">
        <v>47</v>
      </c>
      <c r="C289" t="s">
        <v>140</v>
      </c>
      <c r="D289" s="22" t="str">
        <f t="shared" si="20"/>
        <v>2024-02-05</v>
      </c>
      <c r="E289" s="22" t="str">
        <f t="shared" si="21"/>
        <v>2024-02-05</v>
      </c>
      <c r="F289" s="22">
        <f t="shared" si="22"/>
        <v>0</v>
      </c>
      <c r="J289" t="str">
        <f t="shared" si="23"/>
        <v>Яковлев Артем ИгоревичМорозова Мария Дмитриевна</v>
      </c>
      <c r="K289" t="s">
        <v>8</v>
      </c>
      <c r="L289" t="s">
        <v>84</v>
      </c>
      <c r="M289" t="s">
        <v>230</v>
      </c>
      <c r="N289" t="str">
        <f t="shared" si="24"/>
        <v>Новикова Ольга ПетровнаОрлов Матвей Алексеевич</v>
      </c>
      <c r="O289" t="s">
        <v>47</v>
      </c>
      <c r="P289" t="s">
        <v>116</v>
      </c>
      <c r="Q289" t="s">
        <v>375</v>
      </c>
    </row>
    <row r="290" spans="2:17" x14ac:dyDescent="0.3">
      <c r="B290" t="s">
        <v>47</v>
      </c>
      <c r="C290" t="s">
        <v>53</v>
      </c>
      <c r="D290" s="22" t="str">
        <f t="shared" si="20"/>
        <v>2023-09-11</v>
      </c>
      <c r="E290" s="22" t="str">
        <f t="shared" si="21"/>
        <v>2023-09-11</v>
      </c>
      <c r="F290" s="22">
        <f t="shared" si="22"/>
        <v>0</v>
      </c>
      <c r="J290" t="str">
        <f t="shared" si="23"/>
        <v>Новикова Ольга ПетровнаНовиков Иван Андреевич</v>
      </c>
      <c r="K290" t="s">
        <v>47</v>
      </c>
      <c r="L290" t="s">
        <v>81</v>
      </c>
      <c r="M290" t="s">
        <v>230</v>
      </c>
      <c r="N290" t="str">
        <f t="shared" si="24"/>
        <v>Ткаченко Андрей ОлеговичФедорова Ольга Викторовна</v>
      </c>
      <c r="O290" t="s">
        <v>5</v>
      </c>
      <c r="P290" t="s">
        <v>87</v>
      </c>
      <c r="Q290" t="s">
        <v>375</v>
      </c>
    </row>
    <row r="291" spans="2:17" x14ac:dyDescent="0.3">
      <c r="B291" t="s">
        <v>47</v>
      </c>
      <c r="C291" t="s">
        <v>25</v>
      </c>
      <c r="D291" s="22" t="str">
        <f t="shared" si="20"/>
        <v>2023-11-06</v>
      </c>
      <c r="E291" s="22" t="str">
        <f t="shared" si="21"/>
        <v>2024-01-08</v>
      </c>
      <c r="F291" s="22">
        <f t="shared" si="22"/>
        <v>63</v>
      </c>
      <c r="J291" t="str">
        <f t="shared" si="23"/>
        <v>Яковлев Артем ИгоревичСеменов Артем Дмитриевич</v>
      </c>
      <c r="K291" t="s">
        <v>8</v>
      </c>
      <c r="L291" t="s">
        <v>232</v>
      </c>
      <c r="M291" t="s">
        <v>230</v>
      </c>
      <c r="N291" t="str">
        <f t="shared" si="24"/>
        <v>Ткаченко Андрей ОлеговичНиколаев Артем Олегович</v>
      </c>
      <c r="O291" t="s">
        <v>5</v>
      </c>
      <c r="P291" t="s">
        <v>80</v>
      </c>
      <c r="Q291" t="s">
        <v>374</v>
      </c>
    </row>
    <row r="292" spans="2:17" x14ac:dyDescent="0.3">
      <c r="B292" t="s">
        <v>47</v>
      </c>
      <c r="C292" t="s">
        <v>150</v>
      </c>
      <c r="D292" s="22" t="str">
        <f t="shared" si="20"/>
        <v>2023-12-28</v>
      </c>
      <c r="E292" s="22" t="str">
        <f t="shared" si="21"/>
        <v>2023-12-28</v>
      </c>
      <c r="F292" s="22">
        <f t="shared" si="22"/>
        <v>0</v>
      </c>
      <c r="J292" t="str">
        <f t="shared" si="23"/>
        <v>Петров Владимир КирилловичМорозов Павел Ильич</v>
      </c>
      <c r="K292" t="s">
        <v>50</v>
      </c>
      <c r="L292" t="s">
        <v>146</v>
      </c>
      <c r="M292" t="s">
        <v>230</v>
      </c>
      <c r="N292" t="str">
        <f t="shared" si="24"/>
        <v>Ткаченко Андрей ОлеговичСмирнов Андрей Алексеевич</v>
      </c>
      <c r="O292" t="s">
        <v>5</v>
      </c>
      <c r="P292" t="s">
        <v>318</v>
      </c>
      <c r="Q292" t="s">
        <v>374</v>
      </c>
    </row>
    <row r="293" spans="2:17" x14ac:dyDescent="0.3">
      <c r="B293" t="s">
        <v>47</v>
      </c>
      <c r="C293" t="s">
        <v>112</v>
      </c>
      <c r="D293" s="22" t="str">
        <f t="shared" si="20"/>
        <v>2023-10-02</v>
      </c>
      <c r="E293" s="22" t="str">
        <f t="shared" si="21"/>
        <v>2023-10-02</v>
      </c>
      <c r="F293" s="22">
        <f t="shared" si="22"/>
        <v>0</v>
      </c>
      <c r="J293" t="str">
        <f t="shared" si="23"/>
        <v>Кузнецов Дмитрий ЛьвовичФедоров Илья Егорович</v>
      </c>
      <c r="K293" t="s">
        <v>10</v>
      </c>
      <c r="L293" t="s">
        <v>151</v>
      </c>
      <c r="M293" t="s">
        <v>233</v>
      </c>
      <c r="N293" t="str">
        <f t="shared" si="24"/>
        <v>Кузнецов Дмитрий ЛьвовичЕгоров Никита Ильич</v>
      </c>
      <c r="O293" t="s">
        <v>10</v>
      </c>
      <c r="P293" t="s">
        <v>112</v>
      </c>
      <c r="Q293" t="s">
        <v>374</v>
      </c>
    </row>
    <row r="294" spans="2:17" x14ac:dyDescent="0.3">
      <c r="B294" t="s">
        <v>47</v>
      </c>
      <c r="C294" t="s">
        <v>144</v>
      </c>
      <c r="D294" s="22" t="str">
        <f t="shared" si="20"/>
        <v>2024-07-22</v>
      </c>
      <c r="E294" s="22" t="str">
        <f t="shared" si="21"/>
        <v>2024-07-22</v>
      </c>
      <c r="F294" s="22">
        <f t="shared" si="22"/>
        <v>0</v>
      </c>
      <c r="J294" t="str">
        <f t="shared" si="23"/>
        <v>Кузнецов Дмитрий ЛьвовичНовиков Роман Романович</v>
      </c>
      <c r="K294" t="s">
        <v>10</v>
      </c>
      <c r="L294" t="s">
        <v>97</v>
      </c>
      <c r="M294" t="s">
        <v>233</v>
      </c>
      <c r="N294" t="str">
        <f t="shared" si="24"/>
        <v>Орлов Павел ДенисовичЛебедева Полина Ивановна</v>
      </c>
      <c r="O294" t="s">
        <v>45</v>
      </c>
      <c r="P294" t="s">
        <v>19</v>
      </c>
      <c r="Q294" t="s">
        <v>373</v>
      </c>
    </row>
    <row r="295" spans="2:17" x14ac:dyDescent="0.3">
      <c r="B295" t="s">
        <v>47</v>
      </c>
      <c r="C295" t="s">
        <v>63</v>
      </c>
      <c r="D295" s="22" t="str">
        <f t="shared" si="20"/>
        <v>2023-10-19</v>
      </c>
      <c r="E295" s="22" t="str">
        <f t="shared" si="21"/>
        <v>2023-10-19</v>
      </c>
      <c r="F295" s="22">
        <f t="shared" si="22"/>
        <v>0</v>
      </c>
      <c r="J295" t="str">
        <f t="shared" si="23"/>
        <v>Семенова Ирина ВалерьевнаПопов Егор Викторович</v>
      </c>
      <c r="K295" t="s">
        <v>12</v>
      </c>
      <c r="L295" t="s">
        <v>234</v>
      </c>
      <c r="M295" t="s">
        <v>233</v>
      </c>
      <c r="N295" t="str">
        <f t="shared" si="24"/>
        <v>Громова Мария ИльиничнаКузнецов Сергей Кириллович</v>
      </c>
      <c r="O295" t="s">
        <v>14</v>
      </c>
      <c r="P295" t="s">
        <v>225</v>
      </c>
      <c r="Q295" t="s">
        <v>373</v>
      </c>
    </row>
    <row r="296" spans="2:17" x14ac:dyDescent="0.3">
      <c r="B296" t="s">
        <v>47</v>
      </c>
      <c r="C296" t="s">
        <v>96</v>
      </c>
      <c r="D296" s="22" t="str">
        <f t="shared" si="20"/>
        <v>2023-09-25</v>
      </c>
      <c r="E296" s="22" t="str">
        <f t="shared" si="21"/>
        <v>2023-09-25</v>
      </c>
      <c r="F296" s="22">
        <f t="shared" si="22"/>
        <v>0</v>
      </c>
      <c r="J296" t="str">
        <f t="shared" si="23"/>
        <v>Яковлев Артем ИгоревичВасильева София Александровна</v>
      </c>
      <c r="K296" t="s">
        <v>8</v>
      </c>
      <c r="L296" t="s">
        <v>235</v>
      </c>
      <c r="M296" t="s">
        <v>236</v>
      </c>
      <c r="N296" t="str">
        <f t="shared" si="24"/>
        <v>Кузнецов Дмитрий ЛьвовичИванов Константин Никитич</v>
      </c>
      <c r="O296" t="s">
        <v>10</v>
      </c>
      <c r="P296" t="s">
        <v>284</v>
      </c>
      <c r="Q296" t="s">
        <v>373</v>
      </c>
    </row>
    <row r="297" spans="2:17" x14ac:dyDescent="0.3">
      <c r="B297" t="s">
        <v>47</v>
      </c>
      <c r="C297" t="s">
        <v>37</v>
      </c>
      <c r="D297" s="22" t="str">
        <f t="shared" si="20"/>
        <v>2024-02-07</v>
      </c>
      <c r="E297" s="22" t="str">
        <f t="shared" si="21"/>
        <v>2024-02-07</v>
      </c>
      <c r="F297" s="22">
        <f t="shared" si="22"/>
        <v>0</v>
      </c>
      <c r="J297" t="str">
        <f t="shared" si="23"/>
        <v>Ткаченко Андрей ОлеговичКузнецов Иван Ильич</v>
      </c>
      <c r="K297" t="s">
        <v>5</v>
      </c>
      <c r="L297" t="s">
        <v>178</v>
      </c>
      <c r="M297" t="s">
        <v>236</v>
      </c>
      <c r="N297" t="str">
        <f t="shared" si="24"/>
        <v>Громова Мария ИльиничнаНовикова Екатерина Ивановна</v>
      </c>
      <c r="O297" t="s">
        <v>14</v>
      </c>
      <c r="P297" t="s">
        <v>11</v>
      </c>
      <c r="Q297" t="s">
        <v>373</v>
      </c>
    </row>
    <row r="298" spans="2:17" x14ac:dyDescent="0.3">
      <c r="B298" t="s">
        <v>47</v>
      </c>
      <c r="C298" t="s">
        <v>124</v>
      </c>
      <c r="D298" s="22" t="str">
        <f t="shared" si="20"/>
        <v>2023-10-09</v>
      </c>
      <c r="E298" s="22" t="str">
        <f t="shared" si="21"/>
        <v>2023-10-09</v>
      </c>
      <c r="F298" s="22">
        <f t="shared" si="22"/>
        <v>0</v>
      </c>
      <c r="J298" t="str">
        <f t="shared" si="23"/>
        <v>Кузнецов Дмитрий ЛьвовичВасильев Матвей Геннадьевич</v>
      </c>
      <c r="K298" t="s">
        <v>10</v>
      </c>
      <c r="L298" t="s">
        <v>160</v>
      </c>
      <c r="M298" t="s">
        <v>237</v>
      </c>
      <c r="N298" t="str">
        <f t="shared" si="24"/>
        <v>Сидорова Елена ВасильевнаФедорова Ксения Романовна</v>
      </c>
      <c r="O298" t="s">
        <v>18</v>
      </c>
      <c r="P298" t="s">
        <v>192</v>
      </c>
      <c r="Q298" t="s">
        <v>373</v>
      </c>
    </row>
    <row r="299" spans="2:17" x14ac:dyDescent="0.3">
      <c r="B299" t="s">
        <v>47</v>
      </c>
      <c r="C299" t="s">
        <v>83</v>
      </c>
      <c r="D299" s="22" t="str">
        <f t="shared" si="20"/>
        <v>2023-09-20</v>
      </c>
      <c r="E299" s="22" t="str">
        <f t="shared" si="21"/>
        <v>2024-08-05</v>
      </c>
      <c r="F299" s="22">
        <f t="shared" si="22"/>
        <v>320</v>
      </c>
      <c r="J299" t="str">
        <f t="shared" si="23"/>
        <v>Яковлев Артем ИгоревичЕгоров Артур Егорович</v>
      </c>
      <c r="K299" t="s">
        <v>8</v>
      </c>
      <c r="L299" t="s">
        <v>238</v>
      </c>
      <c r="M299" t="s">
        <v>237</v>
      </c>
      <c r="N299" t="str">
        <f t="shared" si="24"/>
        <v>Белов Алексей КонстантиновичВолкова Татьяна Кирилловна</v>
      </c>
      <c r="O299" t="s">
        <v>21</v>
      </c>
      <c r="P299" t="s">
        <v>53</v>
      </c>
      <c r="Q299" t="s">
        <v>373</v>
      </c>
    </row>
    <row r="300" spans="2:17" x14ac:dyDescent="0.3">
      <c r="B300" t="s">
        <v>47</v>
      </c>
      <c r="C300" t="s">
        <v>152</v>
      </c>
      <c r="D300" s="22" t="str">
        <f t="shared" si="20"/>
        <v>2024-02-19</v>
      </c>
      <c r="E300" s="22" t="str">
        <f t="shared" si="21"/>
        <v>2024-02-19</v>
      </c>
      <c r="F300" s="22">
        <f t="shared" si="22"/>
        <v>0</v>
      </c>
      <c r="J300" t="str">
        <f t="shared" si="23"/>
        <v>Фролов Сергей ВикторовичАлексеева Светлана Станиславовна</v>
      </c>
      <c r="K300" t="s">
        <v>40</v>
      </c>
      <c r="L300" t="s">
        <v>71</v>
      </c>
      <c r="M300" t="s">
        <v>239</v>
      </c>
      <c r="N300" t="str">
        <f t="shared" si="24"/>
        <v>Семенова Ирина ВалерьевнаКузнецов Иван Ильич</v>
      </c>
      <c r="O300" t="s">
        <v>12</v>
      </c>
      <c r="P300" t="s">
        <v>178</v>
      </c>
      <c r="Q300" t="s">
        <v>373</v>
      </c>
    </row>
    <row r="301" spans="2:17" x14ac:dyDescent="0.3">
      <c r="B301" t="s">
        <v>47</v>
      </c>
      <c r="C301" t="s">
        <v>74</v>
      </c>
      <c r="D301" s="22" t="str">
        <f t="shared" si="20"/>
        <v>2024-05-20</v>
      </c>
      <c r="E301" s="22" t="str">
        <f t="shared" si="21"/>
        <v>2024-05-20</v>
      </c>
      <c r="F301" s="22">
        <f t="shared" si="22"/>
        <v>0</v>
      </c>
      <c r="J301" t="str">
        <f t="shared" si="23"/>
        <v>Яковлев Артем ИгоревичНиколаев Роман Викторович</v>
      </c>
      <c r="K301" t="s">
        <v>8</v>
      </c>
      <c r="L301" t="s">
        <v>227</v>
      </c>
      <c r="M301" t="s">
        <v>240</v>
      </c>
      <c r="N301" t="str">
        <f t="shared" si="24"/>
        <v>Белов Алексей КонстантиновичСмирнова Алиса Сергеевна</v>
      </c>
      <c r="O301" t="s">
        <v>21</v>
      </c>
      <c r="P301" t="s">
        <v>117</v>
      </c>
      <c r="Q301" t="s">
        <v>373</v>
      </c>
    </row>
    <row r="302" spans="2:17" x14ac:dyDescent="0.3">
      <c r="B302" t="s">
        <v>47</v>
      </c>
      <c r="C302" t="s">
        <v>279</v>
      </c>
      <c r="D302" s="22" t="str">
        <f t="shared" si="20"/>
        <v>2024-01-29</v>
      </c>
      <c r="E302" s="22" t="str">
        <f t="shared" si="21"/>
        <v>2024-01-29</v>
      </c>
      <c r="F302" s="22">
        <f t="shared" si="22"/>
        <v>0</v>
      </c>
      <c r="J302" t="str">
        <f t="shared" si="23"/>
        <v>Белов Алексей КонстантиновичМорозов Андрей Никитич</v>
      </c>
      <c r="K302" t="s">
        <v>21</v>
      </c>
      <c r="L302" t="s">
        <v>147</v>
      </c>
      <c r="M302" t="s">
        <v>240</v>
      </c>
      <c r="N302" t="str">
        <f t="shared" si="24"/>
        <v>Иванова Анна СергеевнаКузнецов Михаил Артемович</v>
      </c>
      <c r="O302" t="s">
        <v>28</v>
      </c>
      <c r="P302" t="s">
        <v>67</v>
      </c>
      <c r="Q302" t="s">
        <v>373</v>
      </c>
    </row>
    <row r="303" spans="2:17" x14ac:dyDescent="0.3">
      <c r="B303" t="s">
        <v>47</v>
      </c>
      <c r="C303" t="s">
        <v>178</v>
      </c>
      <c r="D303" s="22" t="str">
        <f t="shared" si="20"/>
        <v>2024-04-08</v>
      </c>
      <c r="E303" s="22" t="str">
        <f t="shared" si="21"/>
        <v>2024-04-08</v>
      </c>
      <c r="F303" s="22">
        <f t="shared" si="22"/>
        <v>0</v>
      </c>
      <c r="J303" t="str">
        <f t="shared" si="23"/>
        <v>Кузнецов Дмитрий ЛьвовичПопов Иван Михайлович</v>
      </c>
      <c r="K303" t="s">
        <v>10</v>
      </c>
      <c r="L303" t="s">
        <v>109</v>
      </c>
      <c r="M303" t="s">
        <v>240</v>
      </c>
      <c r="N303" t="str">
        <f t="shared" si="24"/>
        <v>Яковлев Артем ИгоревичЛебедева Виктория Дмитриевна</v>
      </c>
      <c r="O303" t="s">
        <v>8</v>
      </c>
      <c r="P303" t="s">
        <v>6</v>
      </c>
      <c r="Q303" t="s">
        <v>373</v>
      </c>
    </row>
    <row r="304" spans="2:17" x14ac:dyDescent="0.3">
      <c r="B304" t="s">
        <v>47</v>
      </c>
      <c r="C304" t="s">
        <v>67</v>
      </c>
      <c r="D304" s="22" t="str">
        <f t="shared" si="20"/>
        <v>2024-06-04</v>
      </c>
      <c r="E304" s="22" t="str">
        <f t="shared" si="21"/>
        <v>2024-06-04</v>
      </c>
      <c r="F304" s="22">
        <f t="shared" si="22"/>
        <v>0</v>
      </c>
      <c r="J304" t="str">
        <f t="shared" si="23"/>
        <v>Яковлев Артем ИгоревичАлексеева Светлана Станиславовна</v>
      </c>
      <c r="K304" t="s">
        <v>8</v>
      </c>
      <c r="L304" t="s">
        <v>71</v>
      </c>
      <c r="M304" t="s">
        <v>240</v>
      </c>
      <c r="N304" t="str">
        <f t="shared" si="24"/>
        <v>Петров Владимир КирилловичКузнецова Ирина Владимировна</v>
      </c>
      <c r="O304" t="s">
        <v>50</v>
      </c>
      <c r="P304" t="s">
        <v>276</v>
      </c>
      <c r="Q304" t="s">
        <v>373</v>
      </c>
    </row>
    <row r="305" spans="2:17" x14ac:dyDescent="0.3">
      <c r="B305" t="s">
        <v>47</v>
      </c>
      <c r="C305" t="s">
        <v>214</v>
      </c>
      <c r="D305" s="22" t="str">
        <f t="shared" si="20"/>
        <v>2024-05-21</v>
      </c>
      <c r="E305" s="22" t="str">
        <f t="shared" si="21"/>
        <v>2024-05-21</v>
      </c>
      <c r="F305" s="22">
        <f t="shared" si="22"/>
        <v>0</v>
      </c>
      <c r="J305" t="str">
        <f t="shared" si="23"/>
        <v>Яковлев Артем ИгоревичВасильев Константин Геннадьевич</v>
      </c>
      <c r="K305" t="s">
        <v>8</v>
      </c>
      <c r="L305" t="s">
        <v>221</v>
      </c>
      <c r="M305" t="s">
        <v>240</v>
      </c>
      <c r="N305" t="str">
        <f t="shared" si="24"/>
        <v>Громова Мария ИльиничнаМорозова София Геннадьевна</v>
      </c>
      <c r="O305" t="s">
        <v>14</v>
      </c>
      <c r="P305" t="s">
        <v>115</v>
      </c>
      <c r="Q305" t="s">
        <v>373</v>
      </c>
    </row>
    <row r="306" spans="2:17" x14ac:dyDescent="0.3">
      <c r="B306" t="s">
        <v>47</v>
      </c>
      <c r="C306" t="s">
        <v>22</v>
      </c>
      <c r="D306" s="22" t="str">
        <f t="shared" si="20"/>
        <v>2024-05-29</v>
      </c>
      <c r="E306" s="22" t="str">
        <f t="shared" si="21"/>
        <v>2024-05-29</v>
      </c>
      <c r="F306" s="22">
        <f t="shared" si="22"/>
        <v>0</v>
      </c>
      <c r="J306" t="str">
        <f t="shared" si="23"/>
        <v>Орлов Павел ДенисовичИванов Кирилл Владимирович</v>
      </c>
      <c r="K306" t="s">
        <v>45</v>
      </c>
      <c r="L306" t="s">
        <v>152</v>
      </c>
      <c r="M306" t="s">
        <v>240</v>
      </c>
      <c r="N306" t="str">
        <f t="shared" si="24"/>
        <v>Яковлев Артем ИгоревичОрлов Михаил Никитич</v>
      </c>
      <c r="O306" t="s">
        <v>8</v>
      </c>
      <c r="P306" t="s">
        <v>60</v>
      </c>
      <c r="Q306" t="s">
        <v>372</v>
      </c>
    </row>
    <row r="307" spans="2:17" x14ac:dyDescent="0.3">
      <c r="B307" t="s">
        <v>47</v>
      </c>
      <c r="C307" t="s">
        <v>17</v>
      </c>
      <c r="D307" s="22" t="str">
        <f t="shared" si="20"/>
        <v>2024-01-15</v>
      </c>
      <c r="E307" s="22" t="str">
        <f t="shared" si="21"/>
        <v>2024-04-08</v>
      </c>
      <c r="F307" s="22">
        <f t="shared" si="22"/>
        <v>84</v>
      </c>
      <c r="J307" t="str">
        <f t="shared" si="23"/>
        <v>Яковлев Артем ИгоревичЛебедева Анна Викторовна</v>
      </c>
      <c r="K307" t="s">
        <v>8</v>
      </c>
      <c r="L307" t="s">
        <v>48</v>
      </c>
      <c r="M307" t="s">
        <v>241</v>
      </c>
      <c r="N307" t="str">
        <f t="shared" si="24"/>
        <v>Кузнецов Дмитрий ЛьвовичАлексеева Светлана Станиславовна</v>
      </c>
      <c r="O307" t="s">
        <v>10</v>
      </c>
      <c r="P307" t="s">
        <v>71</v>
      </c>
      <c r="Q307" t="s">
        <v>371</v>
      </c>
    </row>
    <row r="308" spans="2:17" x14ac:dyDescent="0.3">
      <c r="B308" t="s">
        <v>47</v>
      </c>
      <c r="C308" t="s">
        <v>49</v>
      </c>
      <c r="D308" s="22" t="str">
        <f t="shared" si="20"/>
        <v>2023-09-26</v>
      </c>
      <c r="E308" s="22" t="str">
        <f t="shared" si="21"/>
        <v>2023-09-26</v>
      </c>
      <c r="F308" s="22">
        <f t="shared" si="22"/>
        <v>0</v>
      </c>
      <c r="J308" t="str">
        <f t="shared" si="23"/>
        <v>Ткаченко Андрей ОлеговичОрлов Илья Владимирович</v>
      </c>
      <c r="K308" t="s">
        <v>5</v>
      </c>
      <c r="L308" t="s">
        <v>242</v>
      </c>
      <c r="M308" t="s">
        <v>241</v>
      </c>
      <c r="N308" t="str">
        <f t="shared" si="24"/>
        <v>Сидорова Елена ВасильевнаОрлова Ирина Ильинична</v>
      </c>
      <c r="O308" t="s">
        <v>18</v>
      </c>
      <c r="P308" t="s">
        <v>29</v>
      </c>
      <c r="Q308" t="s">
        <v>371</v>
      </c>
    </row>
    <row r="309" spans="2:17" x14ac:dyDescent="0.3">
      <c r="B309" t="s">
        <v>47</v>
      </c>
      <c r="C309" t="s">
        <v>55</v>
      </c>
      <c r="D309" s="22" t="str">
        <f t="shared" si="20"/>
        <v>2024-05-09</v>
      </c>
      <c r="E309" s="22" t="str">
        <f t="shared" si="21"/>
        <v>2024-05-09</v>
      </c>
      <c r="F309" s="22">
        <f t="shared" si="22"/>
        <v>0</v>
      </c>
      <c r="J309" t="str">
        <f t="shared" si="23"/>
        <v>Сидорова Елена ВасильевнаМорозова Мария Дмитриевна</v>
      </c>
      <c r="K309" t="s">
        <v>18</v>
      </c>
      <c r="L309" t="s">
        <v>84</v>
      </c>
      <c r="M309" t="s">
        <v>241</v>
      </c>
      <c r="N309" t="str">
        <f t="shared" si="24"/>
        <v>Новикова Ольга ПетровнаЛебедев Владимир Сергеевич</v>
      </c>
      <c r="O309" t="s">
        <v>47</v>
      </c>
      <c r="P309" t="s">
        <v>55</v>
      </c>
      <c r="Q309" t="s">
        <v>371</v>
      </c>
    </row>
    <row r="310" spans="2:17" x14ac:dyDescent="0.3">
      <c r="B310" t="s">
        <v>47</v>
      </c>
      <c r="C310" t="s">
        <v>85</v>
      </c>
      <c r="D310" s="22" t="str">
        <f t="shared" si="20"/>
        <v>2023-09-21</v>
      </c>
      <c r="E310" s="22" t="str">
        <f t="shared" si="21"/>
        <v>2023-09-21</v>
      </c>
      <c r="F310" s="22">
        <f t="shared" si="22"/>
        <v>0</v>
      </c>
      <c r="J310" t="str">
        <f t="shared" si="23"/>
        <v>Ткаченко Андрей ОлеговичВасильев Матвей Андреевич</v>
      </c>
      <c r="K310" t="s">
        <v>5</v>
      </c>
      <c r="L310" t="s">
        <v>95</v>
      </c>
      <c r="M310" t="s">
        <v>243</v>
      </c>
      <c r="N310" t="str">
        <f t="shared" si="24"/>
        <v>Сидорова Елена ВасильевнаПопов Алексей Кириллович</v>
      </c>
      <c r="O310" t="s">
        <v>18</v>
      </c>
      <c r="P310" t="s">
        <v>92</v>
      </c>
      <c r="Q310" t="s">
        <v>370</v>
      </c>
    </row>
    <row r="311" spans="2:17" x14ac:dyDescent="0.3">
      <c r="B311" t="s">
        <v>47</v>
      </c>
      <c r="C311" t="s">
        <v>51</v>
      </c>
      <c r="D311" s="22" t="str">
        <f t="shared" si="20"/>
        <v>2024-05-01</v>
      </c>
      <c r="E311" s="22" t="str">
        <f t="shared" si="21"/>
        <v>2024-05-01</v>
      </c>
      <c r="F311" s="22">
        <f t="shared" si="22"/>
        <v>0</v>
      </c>
      <c r="J311" t="str">
        <f t="shared" si="23"/>
        <v>Семенова Ирина ВалерьевнаКузнецов Илья Артемович</v>
      </c>
      <c r="K311" t="s">
        <v>12</v>
      </c>
      <c r="L311" t="s">
        <v>185</v>
      </c>
      <c r="M311" t="s">
        <v>243</v>
      </c>
      <c r="N311" t="str">
        <f t="shared" si="24"/>
        <v>Яковлев Артем ИгоревичПопова Алиса Ильинична</v>
      </c>
      <c r="O311" t="s">
        <v>8</v>
      </c>
      <c r="P311" t="s">
        <v>90</v>
      </c>
      <c r="Q311" t="s">
        <v>370</v>
      </c>
    </row>
    <row r="312" spans="2:17" x14ac:dyDescent="0.3">
      <c r="B312" t="s">
        <v>47</v>
      </c>
      <c r="C312" t="s">
        <v>123</v>
      </c>
      <c r="D312" s="22" t="str">
        <f t="shared" si="20"/>
        <v>2023-10-06</v>
      </c>
      <c r="E312" s="22" t="str">
        <f t="shared" si="21"/>
        <v>2023-10-25</v>
      </c>
      <c r="F312" s="22">
        <f t="shared" si="22"/>
        <v>19</v>
      </c>
      <c r="J312" t="str">
        <f t="shared" si="23"/>
        <v>Новикова Ольга ПетровнаФедоров Илья Владимирович</v>
      </c>
      <c r="K312" t="s">
        <v>47</v>
      </c>
      <c r="L312" t="s">
        <v>34</v>
      </c>
      <c r="M312" t="s">
        <v>243</v>
      </c>
      <c r="N312" t="str">
        <f t="shared" si="24"/>
        <v>Белов Алексей КонстантиновичПопова Алиса Ильинична</v>
      </c>
      <c r="O312" t="s">
        <v>21</v>
      </c>
      <c r="P312" t="s">
        <v>90</v>
      </c>
      <c r="Q312" t="s">
        <v>369</v>
      </c>
    </row>
    <row r="313" spans="2:17" x14ac:dyDescent="0.3">
      <c r="B313" t="s">
        <v>47</v>
      </c>
      <c r="C313" t="s">
        <v>48</v>
      </c>
      <c r="D313" s="22" t="str">
        <f t="shared" si="20"/>
        <v>2023-09-11</v>
      </c>
      <c r="E313" s="22" t="str">
        <f t="shared" si="21"/>
        <v>2023-09-11</v>
      </c>
      <c r="F313" s="22">
        <f t="shared" si="22"/>
        <v>0</v>
      </c>
      <c r="J313" t="str">
        <f t="shared" si="23"/>
        <v>Яковлев Артем ИгоревичКузнецов Никита Андреевич</v>
      </c>
      <c r="K313" t="s">
        <v>8</v>
      </c>
      <c r="L313" t="s">
        <v>20</v>
      </c>
      <c r="M313" t="s">
        <v>243</v>
      </c>
      <c r="N313" t="str">
        <f t="shared" si="24"/>
        <v>Семенова Ирина ВалерьевнаПетров Алексей Олегович</v>
      </c>
      <c r="O313" t="s">
        <v>12</v>
      </c>
      <c r="P313" t="s">
        <v>190</v>
      </c>
      <c r="Q313" t="s">
        <v>369</v>
      </c>
    </row>
    <row r="314" spans="2:17" x14ac:dyDescent="0.3">
      <c r="B314" t="s">
        <v>47</v>
      </c>
      <c r="C314" t="s">
        <v>6</v>
      </c>
      <c r="D314" s="22" t="str">
        <f t="shared" si="20"/>
        <v>2024-06-06</v>
      </c>
      <c r="E314" s="22" t="str">
        <f t="shared" si="21"/>
        <v>2024-06-06</v>
      </c>
      <c r="F314" s="22">
        <f t="shared" si="22"/>
        <v>0</v>
      </c>
      <c r="J314" t="str">
        <f t="shared" si="23"/>
        <v>Петров Владимир КирилловичКузнецов Георгий Алексеевич</v>
      </c>
      <c r="K314" t="s">
        <v>50</v>
      </c>
      <c r="L314" t="s">
        <v>244</v>
      </c>
      <c r="M314" t="s">
        <v>243</v>
      </c>
      <c r="N314" t="str">
        <f t="shared" si="24"/>
        <v>Семенова Ирина ВалерьевнаНовиков Георгий Романович</v>
      </c>
      <c r="O314" t="s">
        <v>12</v>
      </c>
      <c r="P314" t="s">
        <v>270</v>
      </c>
      <c r="Q314" t="s">
        <v>369</v>
      </c>
    </row>
    <row r="315" spans="2:17" x14ac:dyDescent="0.3">
      <c r="B315" t="s">
        <v>47</v>
      </c>
      <c r="C315" t="s">
        <v>19</v>
      </c>
      <c r="D315" s="22" t="str">
        <f t="shared" si="20"/>
        <v>2024-06-06</v>
      </c>
      <c r="E315" s="22" t="str">
        <f t="shared" si="21"/>
        <v>2024-06-06</v>
      </c>
      <c r="F315" s="22">
        <f t="shared" si="22"/>
        <v>0</v>
      </c>
      <c r="J315" t="str">
        <f t="shared" si="23"/>
        <v>Новикова Ольга ПетровнаСеменов Артур Михайлович</v>
      </c>
      <c r="K315" t="s">
        <v>47</v>
      </c>
      <c r="L315" t="s">
        <v>245</v>
      </c>
      <c r="M315" t="s">
        <v>246</v>
      </c>
      <c r="N315" t="str">
        <f t="shared" si="24"/>
        <v>Фролов Сергей ВикторовичНовиков Иван Андреевич</v>
      </c>
      <c r="O315" t="s">
        <v>40</v>
      </c>
      <c r="P315" t="s">
        <v>81</v>
      </c>
      <c r="Q315" t="s">
        <v>369</v>
      </c>
    </row>
    <row r="316" spans="2:17" x14ac:dyDescent="0.3">
      <c r="B316" t="s">
        <v>47</v>
      </c>
      <c r="C316" t="s">
        <v>52</v>
      </c>
      <c r="D316" s="22" t="str">
        <f t="shared" si="20"/>
        <v>2024-01-15</v>
      </c>
      <c r="E316" s="22" t="str">
        <f t="shared" si="21"/>
        <v>2024-01-15</v>
      </c>
      <c r="F316" s="22">
        <f t="shared" si="22"/>
        <v>0</v>
      </c>
      <c r="J316" t="str">
        <f t="shared" si="23"/>
        <v>Фролов Сергей ВикторовичВасильев Павел Егорович</v>
      </c>
      <c r="K316" t="s">
        <v>40</v>
      </c>
      <c r="L316" t="s">
        <v>173</v>
      </c>
      <c r="M316" t="s">
        <v>246</v>
      </c>
      <c r="N316" t="str">
        <f t="shared" si="24"/>
        <v>Кузнецов Дмитрий ЛьвовичСидоров Александр Артемович</v>
      </c>
      <c r="O316" t="s">
        <v>10</v>
      </c>
      <c r="P316" t="s">
        <v>77</v>
      </c>
      <c r="Q316" t="s">
        <v>368</v>
      </c>
    </row>
    <row r="317" spans="2:17" x14ac:dyDescent="0.3">
      <c r="B317" t="s">
        <v>47</v>
      </c>
      <c r="C317" t="s">
        <v>146</v>
      </c>
      <c r="D317" s="22" t="str">
        <f t="shared" si="20"/>
        <v>2024-02-20</v>
      </c>
      <c r="E317" s="22" t="str">
        <f t="shared" si="21"/>
        <v>2024-02-20</v>
      </c>
      <c r="F317" s="22">
        <f t="shared" si="22"/>
        <v>0</v>
      </c>
      <c r="J317" t="str">
        <f t="shared" si="23"/>
        <v>Кузнецов Дмитрий ЛьвовичНовикова Мария Викторовна</v>
      </c>
      <c r="K317" t="s">
        <v>10</v>
      </c>
      <c r="L317" t="s">
        <v>247</v>
      </c>
      <c r="M317" t="s">
        <v>246</v>
      </c>
      <c r="N317" t="str">
        <f t="shared" si="24"/>
        <v>Громова Мария ИльиничнаЛебедев Артем Кириллович</v>
      </c>
      <c r="O317" t="s">
        <v>14</v>
      </c>
      <c r="P317" t="s">
        <v>49</v>
      </c>
      <c r="Q317" t="s">
        <v>368</v>
      </c>
    </row>
    <row r="318" spans="2:17" x14ac:dyDescent="0.3">
      <c r="B318" t="s">
        <v>47</v>
      </c>
      <c r="C318" t="s">
        <v>107</v>
      </c>
      <c r="D318" s="22" t="str">
        <f t="shared" si="20"/>
        <v>2023-09-29</v>
      </c>
      <c r="E318" s="22" t="str">
        <f t="shared" si="21"/>
        <v>2023-10-19</v>
      </c>
      <c r="F318" s="22">
        <f t="shared" si="22"/>
        <v>20</v>
      </c>
      <c r="J318" t="str">
        <f t="shared" si="23"/>
        <v>Яковлев Артем ИгоревичПопова Алиса Ильинична</v>
      </c>
      <c r="K318" t="s">
        <v>8</v>
      </c>
      <c r="L318" t="s">
        <v>90</v>
      </c>
      <c r="M318" t="s">
        <v>248</v>
      </c>
      <c r="N318" t="str">
        <f t="shared" si="24"/>
        <v>Яковлев Артем ИгоревичСмирнов Андрей Алексеевич</v>
      </c>
      <c r="O318" t="s">
        <v>8</v>
      </c>
      <c r="P318" t="s">
        <v>318</v>
      </c>
      <c r="Q318" t="s">
        <v>368</v>
      </c>
    </row>
    <row r="319" spans="2:17" x14ac:dyDescent="0.3">
      <c r="B319" t="s">
        <v>47</v>
      </c>
      <c r="C319" t="s">
        <v>315</v>
      </c>
      <c r="D319" s="22" t="str">
        <f t="shared" si="20"/>
        <v>2024-06-04</v>
      </c>
      <c r="E319" s="22" t="str">
        <f t="shared" si="21"/>
        <v>2024-06-04</v>
      </c>
      <c r="F319" s="22">
        <f t="shared" si="22"/>
        <v>0</v>
      </c>
      <c r="J319" t="str">
        <f t="shared" si="23"/>
        <v>Петров Владимир КирилловичФедорова Ольга Викторовна</v>
      </c>
      <c r="K319" t="s">
        <v>50</v>
      </c>
      <c r="L319" t="s">
        <v>87</v>
      </c>
      <c r="M319" t="s">
        <v>248</v>
      </c>
      <c r="N319" t="str">
        <f t="shared" si="24"/>
        <v>Яковлев Артем ИгоревичКузнецов Иван Ильич</v>
      </c>
      <c r="O319" t="s">
        <v>8</v>
      </c>
      <c r="P319" t="s">
        <v>178</v>
      </c>
      <c r="Q319" t="s">
        <v>368</v>
      </c>
    </row>
    <row r="320" spans="2:17" x14ac:dyDescent="0.3">
      <c r="B320" t="s">
        <v>47</v>
      </c>
      <c r="C320" t="s">
        <v>126</v>
      </c>
      <c r="D320" s="22" t="str">
        <f t="shared" si="20"/>
        <v>2024-04-01</v>
      </c>
      <c r="E320" s="22" t="str">
        <f t="shared" si="21"/>
        <v>2024-04-01</v>
      </c>
      <c r="F320" s="22">
        <f t="shared" si="22"/>
        <v>0</v>
      </c>
      <c r="J320" t="str">
        <f t="shared" si="23"/>
        <v>Новикова Ольга ПетровнаФедорова Людмила Кирилловна</v>
      </c>
      <c r="K320" t="s">
        <v>47</v>
      </c>
      <c r="L320" t="s">
        <v>199</v>
      </c>
      <c r="M320" t="s">
        <v>249</v>
      </c>
      <c r="N320" t="str">
        <f t="shared" si="24"/>
        <v>Ткаченко Андрей ОлеговичСеменов Матвей Александрович</v>
      </c>
      <c r="O320" t="s">
        <v>5</v>
      </c>
      <c r="P320" t="s">
        <v>58</v>
      </c>
      <c r="Q320" t="s">
        <v>368</v>
      </c>
    </row>
    <row r="321" spans="2:17" x14ac:dyDescent="0.3">
      <c r="B321" t="s">
        <v>47</v>
      </c>
      <c r="C321" t="s">
        <v>81</v>
      </c>
      <c r="D321" s="22" t="str">
        <f t="shared" si="20"/>
        <v>2023-12-11</v>
      </c>
      <c r="E321" s="22" t="str">
        <f t="shared" si="21"/>
        <v>2024-05-02</v>
      </c>
      <c r="F321" s="22">
        <f t="shared" si="22"/>
        <v>143</v>
      </c>
      <c r="J321" t="str">
        <f t="shared" si="23"/>
        <v>Белов Алексей КонстантиновичСтепанова Юлия Андреевна</v>
      </c>
      <c r="K321" t="s">
        <v>21</v>
      </c>
      <c r="L321" t="s">
        <v>217</v>
      </c>
      <c r="M321" t="s">
        <v>249</v>
      </c>
      <c r="N321" t="str">
        <f t="shared" si="24"/>
        <v>Ткаченко Андрей ОлеговичНовикова Людмила Кирилловна</v>
      </c>
      <c r="O321" t="s">
        <v>5</v>
      </c>
      <c r="P321" t="s">
        <v>42</v>
      </c>
      <c r="Q321" t="s">
        <v>368</v>
      </c>
    </row>
    <row r="322" spans="2:17" x14ac:dyDescent="0.3">
      <c r="B322" t="s">
        <v>47</v>
      </c>
      <c r="C322" t="s">
        <v>402</v>
      </c>
      <c r="D322" s="22" t="str">
        <f t="shared" si="20"/>
        <v>2024-08-23</v>
      </c>
      <c r="E322" s="22" t="str">
        <f t="shared" si="21"/>
        <v>2024-08-23</v>
      </c>
      <c r="F322" s="22">
        <f t="shared" si="22"/>
        <v>0</v>
      </c>
      <c r="J322" t="str">
        <f t="shared" si="23"/>
        <v>Кузнецов Дмитрий ЛьвовичЛебедев Артем Кириллович</v>
      </c>
      <c r="K322" t="s">
        <v>10</v>
      </c>
      <c r="L322" t="s">
        <v>49</v>
      </c>
      <c r="M322" t="s">
        <v>249</v>
      </c>
      <c r="N322" t="str">
        <f t="shared" si="24"/>
        <v>Иванова Анна СергеевнаКозлова София Станиславовна</v>
      </c>
      <c r="O322" t="s">
        <v>28</v>
      </c>
      <c r="P322" t="s">
        <v>54</v>
      </c>
      <c r="Q322" t="s">
        <v>368</v>
      </c>
    </row>
    <row r="323" spans="2:17" x14ac:dyDescent="0.3">
      <c r="B323" t="s">
        <v>47</v>
      </c>
      <c r="C323" t="s">
        <v>181</v>
      </c>
      <c r="D323" s="22" t="str">
        <f t="shared" ref="D323:D386" si="25">VLOOKUP(B323&amp;C323,J:M,4,0)</f>
        <v>2023-11-06</v>
      </c>
      <c r="E323" s="22" t="str">
        <f t="shared" ref="E323:E386" si="26">VLOOKUP(B323&amp;C323,N:Q,4,0)</f>
        <v>2023-11-06</v>
      </c>
      <c r="F323" s="22">
        <f t="shared" ref="F323:F386" si="27">E323-D323</f>
        <v>0</v>
      </c>
      <c r="J323" t="str">
        <f t="shared" ref="J323:J386" si="28">K323&amp;L323</f>
        <v>Новикова Ольга ПетровнаАлексеева Ольга Сергеевна</v>
      </c>
      <c r="K323" t="s">
        <v>47</v>
      </c>
      <c r="L323" t="s">
        <v>250</v>
      </c>
      <c r="M323" t="s">
        <v>249</v>
      </c>
      <c r="N323" t="str">
        <f t="shared" ref="N323:N386" si="29">O323&amp;P323</f>
        <v>Петров Владимир КирилловичЛебедев Дмитрий Викторович</v>
      </c>
      <c r="O323" t="s">
        <v>50</v>
      </c>
      <c r="P323" t="s">
        <v>85</v>
      </c>
      <c r="Q323" t="s">
        <v>368</v>
      </c>
    </row>
    <row r="324" spans="2:17" x14ac:dyDescent="0.3">
      <c r="B324" t="s">
        <v>47</v>
      </c>
      <c r="C324" t="s">
        <v>105</v>
      </c>
      <c r="D324" s="22" t="str">
        <f t="shared" si="25"/>
        <v>2023-10-20</v>
      </c>
      <c r="E324" s="22" t="str">
        <f t="shared" si="26"/>
        <v>2024-06-05</v>
      </c>
      <c r="F324" s="22">
        <f t="shared" si="27"/>
        <v>229</v>
      </c>
      <c r="J324" t="str">
        <f t="shared" si="28"/>
        <v>Семенова Ирина ВалерьевнаАлексеева Светлана Станиславовна</v>
      </c>
      <c r="K324" t="s">
        <v>12</v>
      </c>
      <c r="L324" t="s">
        <v>71</v>
      </c>
      <c r="M324" t="s">
        <v>249</v>
      </c>
      <c r="N324" t="str">
        <f t="shared" si="29"/>
        <v>Ткаченко Андрей ОлеговичСмирнова Алиса Сергеевна</v>
      </c>
      <c r="O324" t="s">
        <v>5</v>
      </c>
      <c r="P324" t="s">
        <v>117</v>
      </c>
      <c r="Q324" t="s">
        <v>368</v>
      </c>
    </row>
    <row r="325" spans="2:17" x14ac:dyDescent="0.3">
      <c r="B325" t="s">
        <v>47</v>
      </c>
      <c r="C325" t="s">
        <v>69</v>
      </c>
      <c r="D325" s="22" t="str">
        <f t="shared" si="25"/>
        <v>2024-01-15</v>
      </c>
      <c r="E325" s="22" t="str">
        <f t="shared" si="26"/>
        <v>2024-01-15</v>
      </c>
      <c r="F325" s="22">
        <f t="shared" si="27"/>
        <v>0</v>
      </c>
      <c r="J325" t="str">
        <f t="shared" si="28"/>
        <v>Петров Владимир КирилловичЕгорова Наталья Дмитриевна</v>
      </c>
      <c r="K325" t="s">
        <v>50</v>
      </c>
      <c r="L325" t="s">
        <v>251</v>
      </c>
      <c r="M325" t="s">
        <v>249</v>
      </c>
      <c r="N325" t="str">
        <f t="shared" si="29"/>
        <v>Громова Мария ИльиничнаКозлова София Станиславовна</v>
      </c>
      <c r="O325" t="s">
        <v>14</v>
      </c>
      <c r="P325" t="s">
        <v>54</v>
      </c>
      <c r="Q325" t="s">
        <v>368</v>
      </c>
    </row>
    <row r="326" spans="2:17" x14ac:dyDescent="0.3">
      <c r="B326" t="s">
        <v>47</v>
      </c>
      <c r="C326" t="s">
        <v>116</v>
      </c>
      <c r="D326" s="22" t="str">
        <f t="shared" si="25"/>
        <v>2024-05-15</v>
      </c>
      <c r="E326" s="22" t="str">
        <f t="shared" si="26"/>
        <v>2024-05-15</v>
      </c>
      <c r="F326" s="22">
        <f t="shared" si="27"/>
        <v>0</v>
      </c>
      <c r="J326" t="str">
        <f t="shared" si="28"/>
        <v>Иванова Анна СергеевнаСидорова Елена Кирилловна</v>
      </c>
      <c r="K326" t="s">
        <v>28</v>
      </c>
      <c r="L326" t="s">
        <v>180</v>
      </c>
      <c r="M326" t="s">
        <v>249</v>
      </c>
      <c r="N326" t="str">
        <f t="shared" si="29"/>
        <v>Ткаченко Андрей ОлеговичИванов Дмитрий Павлович</v>
      </c>
      <c r="O326" t="s">
        <v>5</v>
      </c>
      <c r="P326" t="s">
        <v>124</v>
      </c>
      <c r="Q326" t="s">
        <v>368</v>
      </c>
    </row>
    <row r="327" spans="2:17" x14ac:dyDescent="0.3">
      <c r="B327" t="s">
        <v>47</v>
      </c>
      <c r="C327" t="s">
        <v>258</v>
      </c>
      <c r="D327" s="22" t="str">
        <f t="shared" si="25"/>
        <v>2024-05-23</v>
      </c>
      <c r="E327" s="22" t="str">
        <f t="shared" si="26"/>
        <v>2024-05-23</v>
      </c>
      <c r="F327" s="22">
        <f t="shared" si="27"/>
        <v>0</v>
      </c>
      <c r="J327" t="str">
        <f t="shared" si="28"/>
        <v>Белов Алексей КонстантиновичСеменов Максим Геннадьевич</v>
      </c>
      <c r="K327" t="s">
        <v>21</v>
      </c>
      <c r="L327" t="s">
        <v>111</v>
      </c>
      <c r="M327" t="s">
        <v>249</v>
      </c>
      <c r="N327" t="str">
        <f t="shared" si="29"/>
        <v>Белов Алексей КонстантиновичСмирнова Юлия Олеговна</v>
      </c>
      <c r="O327" t="s">
        <v>21</v>
      </c>
      <c r="P327" t="s">
        <v>163</v>
      </c>
      <c r="Q327" t="s">
        <v>368</v>
      </c>
    </row>
    <row r="328" spans="2:17" x14ac:dyDescent="0.3">
      <c r="B328" t="s">
        <v>47</v>
      </c>
      <c r="C328" t="s">
        <v>29</v>
      </c>
      <c r="D328" s="22" t="str">
        <f t="shared" si="25"/>
        <v>2023-10-09</v>
      </c>
      <c r="E328" s="22" t="str">
        <f t="shared" si="26"/>
        <v>2023-10-09</v>
      </c>
      <c r="F328" s="22">
        <f t="shared" si="27"/>
        <v>0</v>
      </c>
      <c r="J328" t="str">
        <f t="shared" si="28"/>
        <v>Семенова Ирина ВалерьевнаНовиков Иван Андреевич</v>
      </c>
      <c r="K328" t="s">
        <v>12</v>
      </c>
      <c r="L328" t="s">
        <v>81</v>
      </c>
      <c r="M328" t="s">
        <v>249</v>
      </c>
      <c r="N328" t="str">
        <f t="shared" si="29"/>
        <v>Иванова Анна СергеевнаВасильев Матвей Геннадьевич</v>
      </c>
      <c r="O328" t="s">
        <v>28</v>
      </c>
      <c r="P328" t="s">
        <v>160</v>
      </c>
      <c r="Q328" t="s">
        <v>368</v>
      </c>
    </row>
    <row r="329" spans="2:17" x14ac:dyDescent="0.3">
      <c r="B329" t="s">
        <v>47</v>
      </c>
      <c r="C329" t="s">
        <v>101</v>
      </c>
      <c r="D329" s="22" t="str">
        <f t="shared" si="25"/>
        <v>2023-09-26</v>
      </c>
      <c r="E329" s="22" t="str">
        <f t="shared" si="26"/>
        <v>2024-08-14</v>
      </c>
      <c r="F329" s="22">
        <f t="shared" si="27"/>
        <v>323</v>
      </c>
      <c r="J329" t="str">
        <f t="shared" si="28"/>
        <v>Белов Алексей КонстантиновичКузнецов Георгий Кириллович</v>
      </c>
      <c r="K329" t="s">
        <v>21</v>
      </c>
      <c r="L329" t="s">
        <v>252</v>
      </c>
      <c r="M329" t="s">
        <v>249</v>
      </c>
      <c r="N329" t="str">
        <f t="shared" si="29"/>
        <v>Новикова Ольга ПетровнаНовиков Иван Андреевич</v>
      </c>
      <c r="O329" t="s">
        <v>47</v>
      </c>
      <c r="P329" t="s">
        <v>81</v>
      </c>
      <c r="Q329" t="s">
        <v>367</v>
      </c>
    </row>
    <row r="330" spans="2:17" x14ac:dyDescent="0.3">
      <c r="B330" t="s">
        <v>47</v>
      </c>
      <c r="C330" t="s">
        <v>273</v>
      </c>
      <c r="D330" s="22" t="str">
        <f t="shared" si="25"/>
        <v>2024-04-23</v>
      </c>
      <c r="E330" s="22" t="str">
        <f t="shared" si="26"/>
        <v>2024-04-23</v>
      </c>
      <c r="F330" s="22">
        <f t="shared" si="27"/>
        <v>0</v>
      </c>
      <c r="J330" t="str">
        <f t="shared" si="28"/>
        <v>Орлов Павел ДенисовичПетров Илья Андреевич</v>
      </c>
      <c r="K330" t="s">
        <v>45</v>
      </c>
      <c r="L330" t="s">
        <v>70</v>
      </c>
      <c r="M330" t="s">
        <v>249</v>
      </c>
      <c r="N330" t="str">
        <f t="shared" si="29"/>
        <v>Сидорова Елена ВасильевнаЕгорова Алиса Егоровна</v>
      </c>
      <c r="O330" t="s">
        <v>18</v>
      </c>
      <c r="P330" t="s">
        <v>144</v>
      </c>
      <c r="Q330" t="s">
        <v>367</v>
      </c>
    </row>
    <row r="331" spans="2:17" x14ac:dyDescent="0.3">
      <c r="B331" t="s">
        <v>47</v>
      </c>
      <c r="C331" t="s">
        <v>72</v>
      </c>
      <c r="D331" s="22" t="str">
        <f t="shared" si="25"/>
        <v>2024-02-20</v>
      </c>
      <c r="E331" s="22" t="str">
        <f t="shared" si="26"/>
        <v>2024-02-20</v>
      </c>
      <c r="F331" s="22">
        <f t="shared" si="27"/>
        <v>0</v>
      </c>
      <c r="J331" t="str">
        <f t="shared" si="28"/>
        <v>Орлов Павел ДенисовичКозлов Илья Егорович</v>
      </c>
      <c r="K331" t="s">
        <v>45</v>
      </c>
      <c r="L331" t="s">
        <v>222</v>
      </c>
      <c r="M331" t="s">
        <v>253</v>
      </c>
      <c r="N331" t="str">
        <f t="shared" si="29"/>
        <v>Иванова Анна СергеевнаЛебедева Виктория Михайловна</v>
      </c>
      <c r="O331" t="s">
        <v>28</v>
      </c>
      <c r="P331" t="s">
        <v>131</v>
      </c>
      <c r="Q331" t="s">
        <v>367</v>
      </c>
    </row>
    <row r="332" spans="2:17" x14ac:dyDescent="0.3">
      <c r="B332" t="s">
        <v>47</v>
      </c>
      <c r="C332" t="s">
        <v>39</v>
      </c>
      <c r="D332" s="22" t="str">
        <f t="shared" si="25"/>
        <v>2024-05-30</v>
      </c>
      <c r="E332" s="22" t="str">
        <f t="shared" si="26"/>
        <v>2024-05-30</v>
      </c>
      <c r="F332" s="22">
        <f t="shared" si="27"/>
        <v>0</v>
      </c>
      <c r="J332" t="str">
        <f t="shared" si="28"/>
        <v>Белов Алексей КонстантиновичВасильев Матвей Геннадьевич</v>
      </c>
      <c r="K332" t="s">
        <v>21</v>
      </c>
      <c r="L332" t="s">
        <v>160</v>
      </c>
      <c r="M332" t="s">
        <v>253</v>
      </c>
      <c r="N332" t="str">
        <f t="shared" si="29"/>
        <v>Сидорова Елена ВасильевнаПавлов Кирилл Артемович</v>
      </c>
      <c r="O332" t="s">
        <v>18</v>
      </c>
      <c r="P332" t="s">
        <v>94</v>
      </c>
      <c r="Q332" t="s">
        <v>367</v>
      </c>
    </row>
    <row r="333" spans="2:17" x14ac:dyDescent="0.3">
      <c r="B333" t="s">
        <v>47</v>
      </c>
      <c r="C333" t="s">
        <v>149</v>
      </c>
      <c r="D333" s="22" t="str">
        <f t="shared" si="25"/>
        <v>2024-05-27</v>
      </c>
      <c r="E333" s="22" t="str">
        <f t="shared" si="26"/>
        <v>2024-05-27</v>
      </c>
      <c r="F333" s="22">
        <f t="shared" si="27"/>
        <v>0</v>
      </c>
      <c r="J333" t="str">
        <f t="shared" si="28"/>
        <v>Петров Владимир КирилловичПавлов Алексей Геннадьевич</v>
      </c>
      <c r="K333" t="s">
        <v>50</v>
      </c>
      <c r="L333" t="s">
        <v>191</v>
      </c>
      <c r="M333" t="s">
        <v>253</v>
      </c>
      <c r="N333" t="str">
        <f t="shared" si="29"/>
        <v>Белов Алексей КонстантиновичСеменов Дмитрий Олегович</v>
      </c>
      <c r="O333" t="s">
        <v>21</v>
      </c>
      <c r="P333" t="s">
        <v>9</v>
      </c>
      <c r="Q333" t="s">
        <v>366</v>
      </c>
    </row>
    <row r="334" spans="2:17" x14ac:dyDescent="0.3">
      <c r="B334" t="s">
        <v>47</v>
      </c>
      <c r="C334" t="s">
        <v>70</v>
      </c>
      <c r="D334" s="22" t="str">
        <f t="shared" si="25"/>
        <v>2024-02-21</v>
      </c>
      <c r="E334" s="22" t="str">
        <f t="shared" si="26"/>
        <v>2024-06-24</v>
      </c>
      <c r="F334" s="22">
        <f t="shared" si="27"/>
        <v>124</v>
      </c>
      <c r="J334" t="str">
        <f t="shared" si="28"/>
        <v>Ткаченко Андрей ОлеговичСеменов Артем Дмитриевич</v>
      </c>
      <c r="K334" t="s">
        <v>5</v>
      </c>
      <c r="L334" t="s">
        <v>232</v>
      </c>
      <c r="M334" t="s">
        <v>253</v>
      </c>
      <c r="N334" t="str">
        <f t="shared" si="29"/>
        <v>Кузнецов Дмитрий ЛьвовичСидоров Дмитрий Кириллович</v>
      </c>
      <c r="O334" t="s">
        <v>10</v>
      </c>
      <c r="P334" t="s">
        <v>166</v>
      </c>
      <c r="Q334" t="s">
        <v>366</v>
      </c>
    </row>
    <row r="335" spans="2:17" x14ac:dyDescent="0.3">
      <c r="B335" t="s">
        <v>47</v>
      </c>
      <c r="C335" t="s">
        <v>15</v>
      </c>
      <c r="D335" s="22" t="str">
        <f t="shared" si="25"/>
        <v>2023-11-02</v>
      </c>
      <c r="E335" s="22" t="str">
        <f t="shared" si="26"/>
        <v>2023-11-02</v>
      </c>
      <c r="F335" s="22">
        <f t="shared" si="27"/>
        <v>0</v>
      </c>
      <c r="J335" t="str">
        <f t="shared" si="28"/>
        <v>Новикова Ольга ПетровнаЕгоров Артур Владимирович</v>
      </c>
      <c r="K335" t="s">
        <v>47</v>
      </c>
      <c r="L335" t="s">
        <v>150</v>
      </c>
      <c r="M335" t="s">
        <v>254</v>
      </c>
      <c r="N335" t="str">
        <f t="shared" si="29"/>
        <v>Яковлев Артем ИгоревичКузнецова Полина Романовна</v>
      </c>
      <c r="O335" t="s">
        <v>8</v>
      </c>
      <c r="P335" t="s">
        <v>17</v>
      </c>
      <c r="Q335" t="s">
        <v>366</v>
      </c>
    </row>
    <row r="336" spans="2:17" x14ac:dyDescent="0.3">
      <c r="B336" t="s">
        <v>47</v>
      </c>
      <c r="C336" t="s">
        <v>78</v>
      </c>
      <c r="D336" s="22" t="str">
        <f t="shared" si="25"/>
        <v>2024-02-01</v>
      </c>
      <c r="E336" s="22" t="str">
        <f t="shared" si="26"/>
        <v>2024-02-01</v>
      </c>
      <c r="F336" s="22">
        <f t="shared" si="27"/>
        <v>0</v>
      </c>
      <c r="J336" t="str">
        <f t="shared" si="28"/>
        <v>Кузнецов Дмитрий ЛьвовичЕгоров Артем Никитич</v>
      </c>
      <c r="K336" t="s">
        <v>10</v>
      </c>
      <c r="L336" t="s">
        <v>25</v>
      </c>
      <c r="M336" t="s">
        <v>254</v>
      </c>
      <c r="N336" t="str">
        <f t="shared" si="29"/>
        <v>Новикова Ольга ПетровнаСидоров Александр Артемович</v>
      </c>
      <c r="O336" t="s">
        <v>47</v>
      </c>
      <c r="P336" t="s">
        <v>77</v>
      </c>
      <c r="Q336" t="s">
        <v>366</v>
      </c>
    </row>
    <row r="337" spans="2:17" x14ac:dyDescent="0.3">
      <c r="B337" t="s">
        <v>47</v>
      </c>
      <c r="C337" t="s">
        <v>32</v>
      </c>
      <c r="D337" s="22" t="str">
        <f t="shared" si="25"/>
        <v>2024-01-09</v>
      </c>
      <c r="E337" s="22" t="str">
        <f t="shared" si="26"/>
        <v>2024-01-09</v>
      </c>
      <c r="F337" s="22">
        <f t="shared" si="27"/>
        <v>0</v>
      </c>
      <c r="J337" t="str">
        <f t="shared" si="28"/>
        <v>Кузнецов Дмитрий ЛьвовичПавлов Михаил Геннадьевич</v>
      </c>
      <c r="K337" t="s">
        <v>10</v>
      </c>
      <c r="L337" t="s">
        <v>154</v>
      </c>
      <c r="M337" t="s">
        <v>254</v>
      </c>
      <c r="N337" t="str">
        <f t="shared" si="29"/>
        <v>Новикова Ольга ПетровнаЛебедев Илья Станиславович</v>
      </c>
      <c r="O337" t="s">
        <v>47</v>
      </c>
      <c r="P337" t="s">
        <v>51</v>
      </c>
      <c r="Q337" t="s">
        <v>366</v>
      </c>
    </row>
    <row r="338" spans="2:17" x14ac:dyDescent="0.3">
      <c r="B338" t="s">
        <v>47</v>
      </c>
      <c r="C338" t="s">
        <v>92</v>
      </c>
      <c r="D338" s="22" t="str">
        <f t="shared" si="25"/>
        <v>2024-04-10</v>
      </c>
      <c r="E338" s="22" t="str">
        <f t="shared" si="26"/>
        <v>2024-04-10</v>
      </c>
      <c r="F338" s="22">
        <f t="shared" si="27"/>
        <v>0</v>
      </c>
      <c r="J338" t="str">
        <f t="shared" si="28"/>
        <v>Орлов Павел ДенисовичСидорова Ксения Дмитриевна</v>
      </c>
      <c r="K338" t="s">
        <v>45</v>
      </c>
      <c r="L338" t="s">
        <v>99</v>
      </c>
      <c r="M338" t="s">
        <v>254</v>
      </c>
      <c r="N338" t="str">
        <f t="shared" si="29"/>
        <v>Яковлев Артем ИгоревичФедоров Дмитрий Михайлович</v>
      </c>
      <c r="O338" t="s">
        <v>8</v>
      </c>
      <c r="P338" t="s">
        <v>100</v>
      </c>
      <c r="Q338" t="s">
        <v>365</v>
      </c>
    </row>
    <row r="339" spans="2:17" x14ac:dyDescent="0.3">
      <c r="B339" t="s">
        <v>47</v>
      </c>
      <c r="C339" t="s">
        <v>167</v>
      </c>
      <c r="D339" s="22" t="str">
        <f t="shared" si="25"/>
        <v>2023-11-22</v>
      </c>
      <c r="E339" s="22" t="str">
        <f t="shared" si="26"/>
        <v>2023-11-22</v>
      </c>
      <c r="F339" s="22">
        <f t="shared" si="27"/>
        <v>0</v>
      </c>
      <c r="J339" t="str">
        <f t="shared" si="28"/>
        <v>Громова Мария ИльиничнаСеменов Артур Михайлович</v>
      </c>
      <c r="K339" t="s">
        <v>14</v>
      </c>
      <c r="L339" t="s">
        <v>245</v>
      </c>
      <c r="M339" t="s">
        <v>255</v>
      </c>
      <c r="N339" t="str">
        <f t="shared" si="29"/>
        <v>Яковлев Артем ИгоревичЕгоров Никита Ильич</v>
      </c>
      <c r="O339" t="s">
        <v>8</v>
      </c>
      <c r="P339" t="s">
        <v>112</v>
      </c>
      <c r="Q339" t="s">
        <v>365</v>
      </c>
    </row>
    <row r="340" spans="2:17" x14ac:dyDescent="0.3">
      <c r="B340" t="s">
        <v>47</v>
      </c>
      <c r="C340" t="s">
        <v>232</v>
      </c>
      <c r="D340" s="22" t="str">
        <f t="shared" si="25"/>
        <v>2024-03-14</v>
      </c>
      <c r="E340" s="22" t="str">
        <f t="shared" si="26"/>
        <v>2024-03-14</v>
      </c>
      <c r="F340" s="22">
        <f t="shared" si="27"/>
        <v>0</v>
      </c>
      <c r="J340" t="str">
        <f t="shared" si="28"/>
        <v>Орлов Павел ДенисовичПопова Полина Алексеевна</v>
      </c>
      <c r="K340" t="s">
        <v>45</v>
      </c>
      <c r="L340" t="s">
        <v>256</v>
      </c>
      <c r="M340" t="s">
        <v>257</v>
      </c>
      <c r="N340" t="str">
        <f t="shared" si="29"/>
        <v>Белов Алексей КонстантиновичОрлов Матвей Алексеевич</v>
      </c>
      <c r="O340" t="s">
        <v>21</v>
      </c>
      <c r="P340" t="s">
        <v>116</v>
      </c>
      <c r="Q340" t="s">
        <v>365</v>
      </c>
    </row>
    <row r="341" spans="2:17" x14ac:dyDescent="0.3">
      <c r="B341" t="s">
        <v>47</v>
      </c>
      <c r="C341" t="s">
        <v>245</v>
      </c>
      <c r="D341" s="22" t="str">
        <f t="shared" si="25"/>
        <v>2023-12-21</v>
      </c>
      <c r="E341" s="22" t="str">
        <f t="shared" si="26"/>
        <v>2023-12-21</v>
      </c>
      <c r="F341" s="22">
        <f t="shared" si="27"/>
        <v>0</v>
      </c>
      <c r="J341" t="str">
        <f t="shared" si="28"/>
        <v>Иванова Анна СергеевнаОрлова Валерия Юрьевна</v>
      </c>
      <c r="K341" t="s">
        <v>28</v>
      </c>
      <c r="L341" t="s">
        <v>258</v>
      </c>
      <c r="M341" t="s">
        <v>257</v>
      </c>
      <c r="N341" t="str">
        <f t="shared" si="29"/>
        <v>Белов Алексей КонстантиновичСидорова Елена Кирилловна</v>
      </c>
      <c r="O341" t="s">
        <v>21</v>
      </c>
      <c r="P341" t="s">
        <v>180</v>
      </c>
      <c r="Q341" t="s">
        <v>363</v>
      </c>
    </row>
    <row r="342" spans="2:17" x14ac:dyDescent="0.3">
      <c r="B342" t="s">
        <v>47</v>
      </c>
      <c r="C342" t="s">
        <v>111</v>
      </c>
      <c r="D342" s="22" t="str">
        <f t="shared" si="25"/>
        <v>2023-10-19</v>
      </c>
      <c r="E342" s="22" t="str">
        <f t="shared" si="26"/>
        <v>2023-10-19</v>
      </c>
      <c r="F342" s="22">
        <f t="shared" si="27"/>
        <v>0</v>
      </c>
      <c r="J342" t="str">
        <f t="shared" si="28"/>
        <v>Громова Мария ИльиничнаЕгорова Наталья Дмитриевна</v>
      </c>
      <c r="K342" t="s">
        <v>14</v>
      </c>
      <c r="L342" t="s">
        <v>251</v>
      </c>
      <c r="M342" t="s">
        <v>257</v>
      </c>
      <c r="N342" t="str">
        <f t="shared" si="29"/>
        <v>Громова Мария ИльиничнаОрлов Сергей Иванович</v>
      </c>
      <c r="O342" t="s">
        <v>14</v>
      </c>
      <c r="P342" t="s">
        <v>364</v>
      </c>
      <c r="Q342" t="s">
        <v>363</v>
      </c>
    </row>
    <row r="343" spans="2:17" x14ac:dyDescent="0.3">
      <c r="B343" t="s">
        <v>47</v>
      </c>
      <c r="C343" t="s">
        <v>119</v>
      </c>
      <c r="D343" s="22" t="str">
        <f t="shared" si="25"/>
        <v>2024-06-04</v>
      </c>
      <c r="E343" s="22" t="str">
        <f t="shared" si="26"/>
        <v>2024-06-04</v>
      </c>
      <c r="F343" s="22">
        <f t="shared" si="27"/>
        <v>0</v>
      </c>
      <c r="J343" t="str">
        <f t="shared" si="28"/>
        <v>Сидорова Елена ВасильевнаНовикова Екатерина Ивановна</v>
      </c>
      <c r="K343" t="s">
        <v>18</v>
      </c>
      <c r="L343" t="s">
        <v>11</v>
      </c>
      <c r="M343" t="s">
        <v>257</v>
      </c>
      <c r="N343" t="str">
        <f t="shared" si="29"/>
        <v>Белов Алексей КонстантиновичФедорова Ксения Романовна</v>
      </c>
      <c r="O343" t="s">
        <v>21</v>
      </c>
      <c r="P343" t="s">
        <v>192</v>
      </c>
      <c r="Q343" t="s">
        <v>363</v>
      </c>
    </row>
    <row r="344" spans="2:17" x14ac:dyDescent="0.3">
      <c r="B344" t="s">
        <v>47</v>
      </c>
      <c r="C344" t="s">
        <v>77</v>
      </c>
      <c r="D344" s="22" t="str">
        <f t="shared" si="25"/>
        <v>2024-05-01</v>
      </c>
      <c r="E344" s="22" t="str">
        <f t="shared" si="26"/>
        <v>2024-05-01</v>
      </c>
      <c r="F344" s="22">
        <f t="shared" si="27"/>
        <v>0</v>
      </c>
      <c r="J344" t="str">
        <f t="shared" si="28"/>
        <v>Ткаченко Андрей ОлеговичЛебедева Анна Викторовна</v>
      </c>
      <c r="K344" t="s">
        <v>5</v>
      </c>
      <c r="L344" t="s">
        <v>48</v>
      </c>
      <c r="M344" t="s">
        <v>257</v>
      </c>
      <c r="N344" t="str">
        <f t="shared" si="29"/>
        <v>Петров Владимир КирилловичКузнецова Татьяна Егоровна</v>
      </c>
      <c r="O344" t="s">
        <v>50</v>
      </c>
      <c r="P344" t="s">
        <v>302</v>
      </c>
      <c r="Q344" t="s">
        <v>363</v>
      </c>
    </row>
    <row r="345" spans="2:17" x14ac:dyDescent="0.3">
      <c r="B345" t="s">
        <v>47</v>
      </c>
      <c r="C345" t="s">
        <v>166</v>
      </c>
      <c r="D345" s="22" t="str">
        <f t="shared" si="25"/>
        <v>2023-10-30</v>
      </c>
      <c r="E345" s="22" t="str">
        <f t="shared" si="26"/>
        <v>2023-10-30</v>
      </c>
      <c r="F345" s="22">
        <f t="shared" si="27"/>
        <v>0</v>
      </c>
      <c r="J345" t="str">
        <f t="shared" si="28"/>
        <v>Громова Мария ИльиничнаСмирнов Дмитрий Никитич</v>
      </c>
      <c r="K345" t="s">
        <v>14</v>
      </c>
      <c r="L345" t="s">
        <v>165</v>
      </c>
      <c r="M345" t="s">
        <v>259</v>
      </c>
      <c r="N345" t="str">
        <f t="shared" si="29"/>
        <v>Ткаченко Андрей ОлеговичИванов Кирилл Владимирович</v>
      </c>
      <c r="O345" t="s">
        <v>5</v>
      </c>
      <c r="P345" t="s">
        <v>152</v>
      </c>
      <c r="Q345" t="s">
        <v>363</v>
      </c>
    </row>
    <row r="346" spans="2:17" x14ac:dyDescent="0.3">
      <c r="B346" t="s">
        <v>47</v>
      </c>
      <c r="C346" t="s">
        <v>318</v>
      </c>
      <c r="D346" s="22" t="str">
        <f t="shared" si="25"/>
        <v>2024-07-19</v>
      </c>
      <c r="E346" s="22" t="str">
        <f t="shared" si="26"/>
        <v>2024-07-19</v>
      </c>
      <c r="F346" s="22">
        <f t="shared" si="27"/>
        <v>0</v>
      </c>
      <c r="J346" t="str">
        <f t="shared" si="28"/>
        <v>Яковлев Артем ИгоревичСидоров Дмитрий Кириллович</v>
      </c>
      <c r="K346" t="s">
        <v>8</v>
      </c>
      <c r="L346" t="s">
        <v>166</v>
      </c>
      <c r="M346" t="s">
        <v>259</v>
      </c>
      <c r="N346" t="str">
        <f t="shared" si="29"/>
        <v>Семенова Ирина ВалерьевнаАлексеева Светлана Станиславовна</v>
      </c>
      <c r="O346" t="s">
        <v>12</v>
      </c>
      <c r="P346" t="s">
        <v>71</v>
      </c>
      <c r="Q346" t="s">
        <v>363</v>
      </c>
    </row>
    <row r="347" spans="2:17" x14ac:dyDescent="0.3">
      <c r="B347" t="s">
        <v>47</v>
      </c>
      <c r="C347" t="s">
        <v>165</v>
      </c>
      <c r="D347" s="22" t="str">
        <f t="shared" si="25"/>
        <v>2024-05-28</v>
      </c>
      <c r="E347" s="22" t="str">
        <f t="shared" si="26"/>
        <v>2024-05-28</v>
      </c>
      <c r="F347" s="22">
        <f t="shared" si="27"/>
        <v>0</v>
      </c>
      <c r="J347" t="str">
        <f t="shared" si="28"/>
        <v>Ткаченко Андрей ОлеговичЕгорова Наталья Дмитриевна</v>
      </c>
      <c r="K347" t="s">
        <v>5</v>
      </c>
      <c r="L347" t="s">
        <v>251</v>
      </c>
      <c r="M347" t="s">
        <v>259</v>
      </c>
      <c r="N347" t="str">
        <f t="shared" si="29"/>
        <v>Иванова Анна СергеевнаКузнецова Татьяна Егоровна</v>
      </c>
      <c r="O347" t="s">
        <v>28</v>
      </c>
      <c r="P347" t="s">
        <v>302</v>
      </c>
      <c r="Q347" t="s">
        <v>363</v>
      </c>
    </row>
    <row r="348" spans="2:17" x14ac:dyDescent="0.3">
      <c r="B348" t="s">
        <v>47</v>
      </c>
      <c r="C348" t="s">
        <v>231</v>
      </c>
      <c r="D348" s="22" t="str">
        <f t="shared" si="25"/>
        <v>2024-06-07</v>
      </c>
      <c r="E348" s="22" t="str">
        <f t="shared" si="26"/>
        <v>2024-06-07</v>
      </c>
      <c r="F348" s="22">
        <f t="shared" si="27"/>
        <v>0</v>
      </c>
      <c r="J348" t="str">
        <f t="shared" si="28"/>
        <v>Сидорова Елена ВасильевнаОрлов Илья Владимирович</v>
      </c>
      <c r="K348" t="s">
        <v>18</v>
      </c>
      <c r="L348" t="s">
        <v>242</v>
      </c>
      <c r="M348" t="s">
        <v>259</v>
      </c>
      <c r="N348" t="str">
        <f t="shared" si="29"/>
        <v>Белов Алексей КонстантиновичСеменов Артур Михайлович</v>
      </c>
      <c r="O348" t="s">
        <v>21</v>
      </c>
      <c r="P348" t="s">
        <v>245</v>
      </c>
      <c r="Q348" t="s">
        <v>362</v>
      </c>
    </row>
    <row r="349" spans="2:17" x14ac:dyDescent="0.3">
      <c r="B349" t="s">
        <v>47</v>
      </c>
      <c r="C349" t="s">
        <v>56</v>
      </c>
      <c r="D349" s="22" t="str">
        <f t="shared" si="25"/>
        <v>2023-09-25</v>
      </c>
      <c r="E349" s="22" t="str">
        <f t="shared" si="26"/>
        <v>2023-09-25</v>
      </c>
      <c r="F349" s="22">
        <f t="shared" si="27"/>
        <v>0</v>
      </c>
      <c r="J349" t="str">
        <f t="shared" si="28"/>
        <v>Орлов Павел ДенисовичОрлов Матвей Алексеевич</v>
      </c>
      <c r="K349" t="s">
        <v>45</v>
      </c>
      <c r="L349" t="s">
        <v>116</v>
      </c>
      <c r="M349" t="s">
        <v>260</v>
      </c>
      <c r="N349" t="str">
        <f t="shared" si="29"/>
        <v>Иванова Анна СергеевнаПавлов Кирилл Артемович</v>
      </c>
      <c r="O349" t="s">
        <v>28</v>
      </c>
      <c r="P349" t="s">
        <v>94</v>
      </c>
      <c r="Q349" t="s">
        <v>362</v>
      </c>
    </row>
    <row r="350" spans="2:17" x14ac:dyDescent="0.3">
      <c r="B350" t="s">
        <v>47</v>
      </c>
      <c r="C350" t="s">
        <v>122</v>
      </c>
      <c r="D350" s="22" t="str">
        <f t="shared" si="25"/>
        <v>2023-10-06</v>
      </c>
      <c r="E350" s="22" t="str">
        <f t="shared" si="26"/>
        <v>2023-10-06</v>
      </c>
      <c r="F350" s="22">
        <f t="shared" si="27"/>
        <v>0</v>
      </c>
      <c r="J350" t="str">
        <f t="shared" si="28"/>
        <v>Сидорова Елена ВасильевнаПетров Алексей Олегович</v>
      </c>
      <c r="K350" t="s">
        <v>18</v>
      </c>
      <c r="L350" t="s">
        <v>190</v>
      </c>
      <c r="M350" t="s">
        <v>261</v>
      </c>
      <c r="N350" t="str">
        <f t="shared" si="29"/>
        <v>Иванова Анна СергеевнаСидоров Кирилл Кириллович</v>
      </c>
      <c r="O350" t="s">
        <v>28</v>
      </c>
      <c r="P350" t="s">
        <v>137</v>
      </c>
      <c r="Q350" t="s">
        <v>361</v>
      </c>
    </row>
    <row r="351" spans="2:17" x14ac:dyDescent="0.3">
      <c r="B351" t="s">
        <v>47</v>
      </c>
      <c r="C351" t="s">
        <v>291</v>
      </c>
      <c r="D351" s="22" t="str">
        <f t="shared" si="25"/>
        <v>2024-01-29</v>
      </c>
      <c r="E351" s="22" t="str">
        <f t="shared" si="26"/>
        <v>2024-01-29</v>
      </c>
      <c r="F351" s="22">
        <f t="shared" si="27"/>
        <v>0</v>
      </c>
      <c r="J351" t="str">
        <f t="shared" si="28"/>
        <v>Громова Мария ИльиничнаЛебедев Иван Павлович</v>
      </c>
      <c r="K351" t="s">
        <v>14</v>
      </c>
      <c r="L351" t="s">
        <v>262</v>
      </c>
      <c r="M351" t="s">
        <v>261</v>
      </c>
      <c r="N351" t="str">
        <f t="shared" si="29"/>
        <v>Фролов Сергей ВикторовичСидоров Александр Артемович</v>
      </c>
      <c r="O351" t="s">
        <v>40</v>
      </c>
      <c r="P351" t="s">
        <v>77</v>
      </c>
      <c r="Q351" t="s">
        <v>361</v>
      </c>
    </row>
    <row r="352" spans="2:17" x14ac:dyDescent="0.3">
      <c r="B352" t="s">
        <v>47</v>
      </c>
      <c r="C352" t="s">
        <v>35</v>
      </c>
      <c r="D352" s="22" t="str">
        <f t="shared" si="25"/>
        <v>2024-06-21</v>
      </c>
      <c r="E352" s="22" t="str">
        <f t="shared" si="26"/>
        <v>2024-06-21</v>
      </c>
      <c r="F352" s="22">
        <f t="shared" si="27"/>
        <v>0</v>
      </c>
      <c r="J352" t="str">
        <f t="shared" si="28"/>
        <v>Семенова Ирина ВалерьевнаВасильев Константин Алексеевич</v>
      </c>
      <c r="K352" t="s">
        <v>12</v>
      </c>
      <c r="L352" t="s">
        <v>263</v>
      </c>
      <c r="M352" t="s">
        <v>264</v>
      </c>
      <c r="N352" t="str">
        <f t="shared" si="29"/>
        <v>Фролов Сергей ВикторовичНиколаева Полина Егоровна</v>
      </c>
      <c r="O352" t="s">
        <v>40</v>
      </c>
      <c r="P352" t="s">
        <v>193</v>
      </c>
      <c r="Q352" t="s">
        <v>361</v>
      </c>
    </row>
    <row r="353" spans="2:17" x14ac:dyDescent="0.3">
      <c r="B353" t="s">
        <v>47</v>
      </c>
      <c r="C353" t="s">
        <v>217</v>
      </c>
      <c r="D353" s="22" t="str">
        <f t="shared" si="25"/>
        <v>2024-02-20</v>
      </c>
      <c r="E353" s="22" t="str">
        <f t="shared" si="26"/>
        <v>2024-07-08</v>
      </c>
      <c r="F353" s="22">
        <f t="shared" si="27"/>
        <v>139</v>
      </c>
      <c r="J353" t="str">
        <f t="shared" si="28"/>
        <v>Громова Мария ИльиничнаЕгоров Максим Олегович</v>
      </c>
      <c r="K353" t="s">
        <v>14</v>
      </c>
      <c r="L353" t="s">
        <v>114</v>
      </c>
      <c r="M353" t="s">
        <v>264</v>
      </c>
      <c r="N353" t="str">
        <f t="shared" si="29"/>
        <v>Громова Мария ИльиничнаПавлов Георгий Андреевич</v>
      </c>
      <c r="O353" t="s">
        <v>14</v>
      </c>
      <c r="P353" t="s">
        <v>72</v>
      </c>
      <c r="Q353" t="s">
        <v>359</v>
      </c>
    </row>
    <row r="354" spans="2:17" x14ac:dyDescent="0.3">
      <c r="B354" t="s">
        <v>47</v>
      </c>
      <c r="C354" t="s">
        <v>88</v>
      </c>
      <c r="D354" s="22" t="str">
        <f t="shared" si="25"/>
        <v>2024-08-26</v>
      </c>
      <c r="E354" s="22" t="str">
        <f t="shared" si="26"/>
        <v>2024-08-26</v>
      </c>
      <c r="F354" s="22">
        <f t="shared" si="27"/>
        <v>0</v>
      </c>
      <c r="J354" t="str">
        <f t="shared" si="28"/>
        <v>Сидорова Елена ВасильевнаЕгоров Максим Олегович</v>
      </c>
      <c r="K354" t="s">
        <v>18</v>
      </c>
      <c r="L354" t="s">
        <v>114</v>
      </c>
      <c r="M354" t="s">
        <v>265</v>
      </c>
      <c r="N354" t="str">
        <f t="shared" si="29"/>
        <v>Белов Алексей КонстантиновичМорозов Кирилл Геннадьевич</v>
      </c>
      <c r="O354" t="s">
        <v>21</v>
      </c>
      <c r="P354" t="s">
        <v>360</v>
      </c>
      <c r="Q354" t="s">
        <v>359</v>
      </c>
    </row>
    <row r="355" spans="2:17" x14ac:dyDescent="0.3">
      <c r="B355" t="s">
        <v>47</v>
      </c>
      <c r="C355" t="s">
        <v>34</v>
      </c>
      <c r="D355" s="22" t="str">
        <f t="shared" si="25"/>
        <v>2023-12-20</v>
      </c>
      <c r="E355" s="22" t="str">
        <f t="shared" si="26"/>
        <v>2023-12-20</v>
      </c>
      <c r="F355" s="22">
        <f t="shared" si="27"/>
        <v>0</v>
      </c>
      <c r="J355" t="str">
        <f t="shared" si="28"/>
        <v>Яковлев Артем ИгоревичВасильев Михаил Павлович</v>
      </c>
      <c r="K355" t="s">
        <v>8</v>
      </c>
      <c r="L355" t="s">
        <v>200</v>
      </c>
      <c r="M355" t="s">
        <v>265</v>
      </c>
      <c r="N355" t="str">
        <f t="shared" si="29"/>
        <v>Иванова Анна СергеевнаЛебедев Иван Павлович</v>
      </c>
      <c r="O355" t="s">
        <v>28</v>
      </c>
      <c r="P355" t="s">
        <v>262</v>
      </c>
      <c r="Q355" t="s">
        <v>359</v>
      </c>
    </row>
    <row r="356" spans="2:17" x14ac:dyDescent="0.3">
      <c r="B356" t="s">
        <v>47</v>
      </c>
      <c r="C356" t="s">
        <v>151</v>
      </c>
      <c r="D356" s="22" t="str">
        <f t="shared" si="25"/>
        <v>2023-10-23</v>
      </c>
      <c r="E356" s="22" t="str">
        <f t="shared" si="26"/>
        <v>2023-10-23</v>
      </c>
      <c r="F356" s="22">
        <f t="shared" si="27"/>
        <v>0</v>
      </c>
      <c r="J356" t="str">
        <f t="shared" si="28"/>
        <v>Орлов Павел ДенисовичМорозов Сергей Олегович</v>
      </c>
      <c r="K356" t="s">
        <v>45</v>
      </c>
      <c r="L356" t="s">
        <v>46</v>
      </c>
      <c r="M356" t="s">
        <v>265</v>
      </c>
      <c r="N356" t="str">
        <f t="shared" si="29"/>
        <v>Новикова Ольга ПетровнаПавлов Георгий Александрович</v>
      </c>
      <c r="O356" t="s">
        <v>47</v>
      </c>
      <c r="P356" t="s">
        <v>273</v>
      </c>
      <c r="Q356" t="s">
        <v>358</v>
      </c>
    </row>
    <row r="357" spans="2:17" x14ac:dyDescent="0.3">
      <c r="B357" t="s">
        <v>47</v>
      </c>
      <c r="C357" t="s">
        <v>41</v>
      </c>
      <c r="D357" s="22" t="str">
        <f t="shared" si="25"/>
        <v>2024-02-12</v>
      </c>
      <c r="E357" s="22" t="str">
        <f t="shared" si="26"/>
        <v>2024-02-12</v>
      </c>
      <c r="F357" s="22">
        <f t="shared" si="27"/>
        <v>0</v>
      </c>
      <c r="J357" t="str">
        <f t="shared" si="28"/>
        <v>Белов Алексей КонстантиновичКозлов Роман Александрович</v>
      </c>
      <c r="K357" t="s">
        <v>21</v>
      </c>
      <c r="L357" t="s">
        <v>74</v>
      </c>
      <c r="M357" t="s">
        <v>265</v>
      </c>
      <c r="N357" t="str">
        <f t="shared" si="29"/>
        <v>Белов Алексей КонстантиновичАлексеева Елена Кирилловна</v>
      </c>
      <c r="O357" t="s">
        <v>21</v>
      </c>
      <c r="P357" t="s">
        <v>176</v>
      </c>
      <c r="Q357" t="s">
        <v>358</v>
      </c>
    </row>
    <row r="358" spans="2:17" x14ac:dyDescent="0.3">
      <c r="B358" t="s">
        <v>47</v>
      </c>
      <c r="C358" t="s">
        <v>199</v>
      </c>
      <c r="D358" s="22" t="str">
        <f t="shared" si="25"/>
        <v>2023-12-25</v>
      </c>
      <c r="E358" s="22" t="str">
        <f t="shared" si="26"/>
        <v>2024-08-06</v>
      </c>
      <c r="F358" s="22">
        <f t="shared" si="27"/>
        <v>225</v>
      </c>
      <c r="J358" t="str">
        <f t="shared" si="28"/>
        <v>Новикова Ольга ПетровнаЕгоров Артем Никитич</v>
      </c>
      <c r="K358" t="s">
        <v>47</v>
      </c>
      <c r="L358" t="s">
        <v>25</v>
      </c>
      <c r="M358" t="s">
        <v>265</v>
      </c>
      <c r="N358" t="str">
        <f t="shared" si="29"/>
        <v>Ткаченко Андрей ОлеговичПавлов Михаил Геннадьевич</v>
      </c>
      <c r="O358" t="s">
        <v>5</v>
      </c>
      <c r="P358" t="s">
        <v>154</v>
      </c>
      <c r="Q358" t="s">
        <v>358</v>
      </c>
    </row>
    <row r="359" spans="2:17" x14ac:dyDescent="0.3">
      <c r="B359" t="s">
        <v>45</v>
      </c>
      <c r="C359" t="s">
        <v>305</v>
      </c>
      <c r="D359" s="22" t="str">
        <f t="shared" si="25"/>
        <v>2024-07-29</v>
      </c>
      <c r="E359" s="22" t="str">
        <f t="shared" si="26"/>
        <v>2024-07-29</v>
      </c>
      <c r="F359" s="22">
        <f t="shared" si="27"/>
        <v>0</v>
      </c>
      <c r="J359" t="str">
        <f t="shared" si="28"/>
        <v>Семенова Ирина ВалерьевнаФедорова Ксения Романовна</v>
      </c>
      <c r="K359" t="s">
        <v>12</v>
      </c>
      <c r="L359" t="s">
        <v>192</v>
      </c>
      <c r="M359" t="s">
        <v>266</v>
      </c>
      <c r="N359" t="str">
        <f t="shared" si="29"/>
        <v>Иванова Анна СергеевнаНиколаев Артем Олегович</v>
      </c>
      <c r="O359" t="s">
        <v>28</v>
      </c>
      <c r="P359" t="s">
        <v>80</v>
      </c>
      <c r="Q359" t="s">
        <v>357</v>
      </c>
    </row>
    <row r="360" spans="2:17" x14ac:dyDescent="0.3">
      <c r="B360" t="s">
        <v>45</v>
      </c>
      <c r="C360" t="s">
        <v>297</v>
      </c>
      <c r="D360" s="22" t="str">
        <f t="shared" si="25"/>
        <v>2024-06-24</v>
      </c>
      <c r="E360" s="22" t="str">
        <f t="shared" si="26"/>
        <v>2024-06-24</v>
      </c>
      <c r="F360" s="22">
        <f t="shared" si="27"/>
        <v>0</v>
      </c>
      <c r="J360" t="str">
        <f t="shared" si="28"/>
        <v>Сидорова Елена ВасильевнаВасильев Константин Алексеевич</v>
      </c>
      <c r="K360" t="s">
        <v>18</v>
      </c>
      <c r="L360" t="s">
        <v>263</v>
      </c>
      <c r="M360" t="s">
        <v>266</v>
      </c>
      <c r="N360" t="str">
        <f t="shared" si="29"/>
        <v>Кузнецов Дмитрий ЛьвовичМорозов Сергей Олегович</v>
      </c>
      <c r="O360" t="s">
        <v>10</v>
      </c>
      <c r="P360" t="s">
        <v>46</v>
      </c>
      <c r="Q360" t="s">
        <v>357</v>
      </c>
    </row>
    <row r="361" spans="2:17" x14ac:dyDescent="0.3">
      <c r="B361" t="s">
        <v>45</v>
      </c>
      <c r="C361" t="s">
        <v>95</v>
      </c>
      <c r="D361" s="22" t="str">
        <f t="shared" si="25"/>
        <v>2023-10-16</v>
      </c>
      <c r="E361" s="22" t="str">
        <f t="shared" si="26"/>
        <v>2023-10-16</v>
      </c>
      <c r="F361" s="22">
        <f t="shared" si="27"/>
        <v>0</v>
      </c>
      <c r="J361" t="str">
        <f t="shared" si="28"/>
        <v>Новикова Ольга ПетровнаПетрова Валерия Павловна</v>
      </c>
      <c r="K361" t="s">
        <v>47</v>
      </c>
      <c r="L361" t="s">
        <v>32</v>
      </c>
      <c r="M361" t="s">
        <v>266</v>
      </c>
      <c r="N361" t="str">
        <f t="shared" si="29"/>
        <v>Громова Мария ИльиничнаЛебедева Полина Ивановна</v>
      </c>
      <c r="O361" t="s">
        <v>14</v>
      </c>
      <c r="P361" t="s">
        <v>19</v>
      </c>
      <c r="Q361" t="s">
        <v>357</v>
      </c>
    </row>
    <row r="362" spans="2:17" x14ac:dyDescent="0.3">
      <c r="B362" t="s">
        <v>45</v>
      </c>
      <c r="C362" t="s">
        <v>24</v>
      </c>
      <c r="D362" s="22" t="str">
        <f t="shared" si="25"/>
        <v>2024-05-20</v>
      </c>
      <c r="E362" s="22" t="str">
        <f t="shared" si="26"/>
        <v>2024-05-20</v>
      </c>
      <c r="F362" s="22">
        <f t="shared" si="27"/>
        <v>0</v>
      </c>
      <c r="J362" t="str">
        <f t="shared" si="28"/>
        <v>Яковлев Артем ИгоревичКозлова Татьяна Михайловна</v>
      </c>
      <c r="K362" t="s">
        <v>8</v>
      </c>
      <c r="L362" t="s">
        <v>61</v>
      </c>
      <c r="M362" t="s">
        <v>266</v>
      </c>
      <c r="N362" t="str">
        <f t="shared" si="29"/>
        <v>Петров Владимир КирилловичПетров Алексей Олегович</v>
      </c>
      <c r="O362" t="s">
        <v>50</v>
      </c>
      <c r="P362" t="s">
        <v>190</v>
      </c>
      <c r="Q362" t="s">
        <v>357</v>
      </c>
    </row>
    <row r="363" spans="2:17" x14ac:dyDescent="0.3">
      <c r="B363" t="s">
        <v>45</v>
      </c>
      <c r="C363" t="s">
        <v>89</v>
      </c>
      <c r="D363" s="22" t="str">
        <f t="shared" si="25"/>
        <v>2023-12-04</v>
      </c>
      <c r="E363" s="22" t="str">
        <f t="shared" si="26"/>
        <v>2023-12-04</v>
      </c>
      <c r="F363" s="22">
        <f t="shared" si="27"/>
        <v>0</v>
      </c>
      <c r="J363" t="str">
        <f t="shared" si="28"/>
        <v>Кузнецов Дмитрий ЛьвовичСеменов Матвей Александрович</v>
      </c>
      <c r="K363" t="s">
        <v>10</v>
      </c>
      <c r="L363" t="s">
        <v>58</v>
      </c>
      <c r="M363" t="s">
        <v>266</v>
      </c>
      <c r="N363" t="str">
        <f t="shared" si="29"/>
        <v>Фролов Сергей ВикторовичМорозова Полина Александровна</v>
      </c>
      <c r="O363" t="s">
        <v>40</v>
      </c>
      <c r="P363" t="s">
        <v>62</v>
      </c>
      <c r="Q363" t="s">
        <v>357</v>
      </c>
    </row>
    <row r="364" spans="2:17" x14ac:dyDescent="0.3">
      <c r="B364" t="s">
        <v>45</v>
      </c>
      <c r="C364" t="s">
        <v>300</v>
      </c>
      <c r="D364" s="22" t="str">
        <f t="shared" si="25"/>
        <v>2024-02-16</v>
      </c>
      <c r="E364" s="22" t="str">
        <f t="shared" si="26"/>
        <v>2024-02-16</v>
      </c>
      <c r="F364" s="22">
        <f t="shared" si="27"/>
        <v>0</v>
      </c>
      <c r="J364" t="str">
        <f t="shared" si="28"/>
        <v>Ткаченко Андрей ОлеговичСидорова Александра Александровна</v>
      </c>
      <c r="K364" t="s">
        <v>5</v>
      </c>
      <c r="L364" t="s">
        <v>135</v>
      </c>
      <c r="M364" t="s">
        <v>267</v>
      </c>
      <c r="N364" t="str">
        <f t="shared" si="29"/>
        <v>Ткаченко Андрей ОлеговичСидоров Александр Артемович</v>
      </c>
      <c r="O364" t="s">
        <v>5</v>
      </c>
      <c r="P364" t="s">
        <v>77</v>
      </c>
      <c r="Q364" t="s">
        <v>356</v>
      </c>
    </row>
    <row r="365" spans="2:17" x14ac:dyDescent="0.3">
      <c r="B365" t="s">
        <v>45</v>
      </c>
      <c r="C365" t="s">
        <v>25</v>
      </c>
      <c r="D365" s="22" t="str">
        <f t="shared" si="25"/>
        <v>2023-10-26</v>
      </c>
      <c r="E365" s="22" t="str">
        <f t="shared" si="26"/>
        <v>2023-10-26</v>
      </c>
      <c r="F365" s="22">
        <f t="shared" si="27"/>
        <v>0</v>
      </c>
      <c r="J365" t="str">
        <f t="shared" si="28"/>
        <v>Яковлев Артем ИгоревичПавлов Алексей Геннадьевич</v>
      </c>
      <c r="K365" t="s">
        <v>8</v>
      </c>
      <c r="L365" t="s">
        <v>191</v>
      </c>
      <c r="M365" t="s">
        <v>267</v>
      </c>
      <c r="N365" t="str">
        <f t="shared" si="29"/>
        <v>Фролов Сергей ВикторовичЛебедев Артем Кириллович</v>
      </c>
      <c r="O365" t="s">
        <v>40</v>
      </c>
      <c r="P365" t="s">
        <v>49</v>
      </c>
      <c r="Q365" t="s">
        <v>355</v>
      </c>
    </row>
    <row r="366" spans="2:17" x14ac:dyDescent="0.3">
      <c r="B366" t="s">
        <v>45</v>
      </c>
      <c r="C366" t="s">
        <v>150</v>
      </c>
      <c r="D366" s="22" t="str">
        <f t="shared" si="25"/>
        <v>2023-10-23</v>
      </c>
      <c r="E366" s="22" t="str">
        <f t="shared" si="26"/>
        <v>2023-10-23</v>
      </c>
      <c r="F366" s="22">
        <f t="shared" si="27"/>
        <v>0</v>
      </c>
      <c r="J366" t="str">
        <f t="shared" si="28"/>
        <v>Белов Алексей КонстантиновичПопова Юлия Дмитриевна</v>
      </c>
      <c r="K366" t="s">
        <v>21</v>
      </c>
      <c r="L366" t="s">
        <v>268</v>
      </c>
      <c r="M366" t="s">
        <v>269</v>
      </c>
      <c r="N366" t="str">
        <f t="shared" si="29"/>
        <v>Ткаченко Андрей ОлеговичВасильева Ирина Павловна</v>
      </c>
      <c r="O366" t="s">
        <v>5</v>
      </c>
      <c r="P366" t="s">
        <v>130</v>
      </c>
      <c r="Q366" t="s">
        <v>355</v>
      </c>
    </row>
    <row r="367" spans="2:17" x14ac:dyDescent="0.3">
      <c r="B367" t="s">
        <v>45</v>
      </c>
      <c r="C367" t="s">
        <v>144</v>
      </c>
      <c r="D367" s="22" t="str">
        <f t="shared" si="25"/>
        <v>2023-10-20</v>
      </c>
      <c r="E367" s="22" t="str">
        <f t="shared" si="26"/>
        <v>2023-10-20</v>
      </c>
      <c r="F367" s="22">
        <f t="shared" si="27"/>
        <v>0</v>
      </c>
      <c r="J367" t="str">
        <f t="shared" si="28"/>
        <v>Белов Алексей КонстантиновичПетров Илья Андреевич</v>
      </c>
      <c r="K367" t="s">
        <v>21</v>
      </c>
      <c r="L367" t="s">
        <v>70</v>
      </c>
      <c r="M367" t="s">
        <v>269</v>
      </c>
      <c r="N367" t="str">
        <f t="shared" si="29"/>
        <v>Петров Владимир КирилловичНовикова Екатерина Михайловна</v>
      </c>
      <c r="O367" t="s">
        <v>50</v>
      </c>
      <c r="P367" t="s">
        <v>181</v>
      </c>
      <c r="Q367" t="s">
        <v>354</v>
      </c>
    </row>
    <row r="368" spans="2:17" x14ac:dyDescent="0.3">
      <c r="B368" t="s">
        <v>45</v>
      </c>
      <c r="C368" t="s">
        <v>37</v>
      </c>
      <c r="D368" s="22" t="str">
        <f t="shared" si="25"/>
        <v>2023-12-11</v>
      </c>
      <c r="E368" s="22" t="str">
        <f t="shared" si="26"/>
        <v>2023-12-11</v>
      </c>
      <c r="F368" s="22">
        <f t="shared" si="27"/>
        <v>0</v>
      </c>
      <c r="J368" t="str">
        <f t="shared" si="28"/>
        <v>Семенова Ирина ВалерьевнаОрлов Матвей Алексеевич</v>
      </c>
      <c r="K368" t="s">
        <v>12</v>
      </c>
      <c r="L368" t="s">
        <v>116</v>
      </c>
      <c r="M368" t="s">
        <v>269</v>
      </c>
      <c r="N368" t="str">
        <f t="shared" si="29"/>
        <v>Орлов Павел ДенисовичФедоров Дмитрий Михайлович</v>
      </c>
      <c r="O368" t="s">
        <v>45</v>
      </c>
      <c r="P368" t="s">
        <v>100</v>
      </c>
      <c r="Q368" t="s">
        <v>354</v>
      </c>
    </row>
    <row r="369" spans="2:17" x14ac:dyDescent="0.3">
      <c r="B369" t="s">
        <v>45</v>
      </c>
      <c r="C369" t="s">
        <v>124</v>
      </c>
      <c r="D369" s="22" t="str">
        <f t="shared" si="25"/>
        <v>2024-02-19</v>
      </c>
      <c r="E369" s="22" t="str">
        <f t="shared" si="26"/>
        <v>2024-02-19</v>
      </c>
      <c r="F369" s="22">
        <f t="shared" si="27"/>
        <v>0</v>
      </c>
      <c r="J369" t="str">
        <f t="shared" si="28"/>
        <v>Белов Алексей КонстантиновичЕгорова Ирина Павловна</v>
      </c>
      <c r="K369" t="s">
        <v>21</v>
      </c>
      <c r="L369" t="s">
        <v>63</v>
      </c>
      <c r="M369" t="s">
        <v>269</v>
      </c>
      <c r="N369" t="str">
        <f t="shared" si="29"/>
        <v>Громова Мария ИльиничнаПетрова Вероника Александровна</v>
      </c>
      <c r="O369" t="s">
        <v>14</v>
      </c>
      <c r="P369" t="s">
        <v>23</v>
      </c>
      <c r="Q369" t="s">
        <v>354</v>
      </c>
    </row>
    <row r="370" spans="2:17" x14ac:dyDescent="0.3">
      <c r="B370" t="s">
        <v>45</v>
      </c>
      <c r="C370" t="s">
        <v>152</v>
      </c>
      <c r="D370" s="22" t="str">
        <f t="shared" si="25"/>
        <v>2023-11-20</v>
      </c>
      <c r="E370" s="22" t="str">
        <f t="shared" si="26"/>
        <v>2023-12-18</v>
      </c>
      <c r="F370" s="22">
        <f t="shared" si="27"/>
        <v>28</v>
      </c>
      <c r="J370" t="str">
        <f t="shared" si="28"/>
        <v>Петров Владимир КирилловичНовиков Георгий Романович</v>
      </c>
      <c r="K370" t="s">
        <v>50</v>
      </c>
      <c r="L370" t="s">
        <v>270</v>
      </c>
      <c r="M370" t="s">
        <v>269</v>
      </c>
      <c r="N370" t="str">
        <f t="shared" si="29"/>
        <v>Громова Мария ИльиничнаИванов Александр Павлович</v>
      </c>
      <c r="O370" t="s">
        <v>14</v>
      </c>
      <c r="P370" t="s">
        <v>37</v>
      </c>
      <c r="Q370" t="s">
        <v>354</v>
      </c>
    </row>
    <row r="371" spans="2:17" x14ac:dyDescent="0.3">
      <c r="B371" t="s">
        <v>45</v>
      </c>
      <c r="C371" t="s">
        <v>222</v>
      </c>
      <c r="D371" s="22" t="str">
        <f t="shared" si="25"/>
        <v>2023-12-27</v>
      </c>
      <c r="E371" s="22" t="str">
        <f t="shared" si="26"/>
        <v>2023-12-27</v>
      </c>
      <c r="F371" s="22">
        <f t="shared" si="27"/>
        <v>0</v>
      </c>
      <c r="J371" t="str">
        <f t="shared" si="28"/>
        <v>Кузнецов Дмитрий ЛьвовичФедорова Ольга Викторовна</v>
      </c>
      <c r="K371" t="s">
        <v>10</v>
      </c>
      <c r="L371" t="s">
        <v>87</v>
      </c>
      <c r="M371" t="s">
        <v>269</v>
      </c>
      <c r="N371" t="str">
        <f t="shared" si="29"/>
        <v>Яковлев Артем ИгоревичВасильев Михаил Павлович</v>
      </c>
      <c r="O371" t="s">
        <v>8</v>
      </c>
      <c r="P371" t="s">
        <v>200</v>
      </c>
      <c r="Q371" t="s">
        <v>353</v>
      </c>
    </row>
    <row r="372" spans="2:17" x14ac:dyDescent="0.3">
      <c r="B372" t="s">
        <v>45</v>
      </c>
      <c r="C372" t="s">
        <v>54</v>
      </c>
      <c r="D372" s="22" t="str">
        <f t="shared" si="25"/>
        <v>2023-12-06</v>
      </c>
      <c r="E372" s="22" t="str">
        <f t="shared" si="26"/>
        <v>2024-06-13</v>
      </c>
      <c r="F372" s="22">
        <f t="shared" si="27"/>
        <v>190</v>
      </c>
      <c r="J372" t="str">
        <f t="shared" si="28"/>
        <v>Фролов Сергей ВикторовичПавлова Екатерина Егоровна</v>
      </c>
      <c r="K372" t="s">
        <v>40</v>
      </c>
      <c r="L372" t="s">
        <v>141</v>
      </c>
      <c r="M372" t="s">
        <v>271</v>
      </c>
      <c r="N372" t="str">
        <f t="shared" si="29"/>
        <v>Петров Владимир КирилловичНовиков Дмитрий Станиславович</v>
      </c>
      <c r="O372" t="s">
        <v>50</v>
      </c>
      <c r="P372" t="s">
        <v>205</v>
      </c>
      <c r="Q372" t="s">
        <v>353</v>
      </c>
    </row>
    <row r="373" spans="2:17" x14ac:dyDescent="0.3">
      <c r="B373" t="s">
        <v>45</v>
      </c>
      <c r="C373" t="s">
        <v>214</v>
      </c>
      <c r="D373" s="22" t="str">
        <f t="shared" si="25"/>
        <v>2023-11-23</v>
      </c>
      <c r="E373" s="22" t="str">
        <f t="shared" si="26"/>
        <v>2023-11-23</v>
      </c>
      <c r="F373" s="22">
        <f t="shared" si="27"/>
        <v>0</v>
      </c>
      <c r="J373" t="str">
        <f t="shared" si="28"/>
        <v>Кузнецов Дмитрий ЛьвовичОрлов Михаил Никитич</v>
      </c>
      <c r="K373" t="s">
        <v>10</v>
      </c>
      <c r="L373" t="s">
        <v>60</v>
      </c>
      <c r="M373" t="s">
        <v>271</v>
      </c>
      <c r="N373" t="str">
        <f t="shared" si="29"/>
        <v>Сидорова Елена ВасильевнаМорозов Андрей Никитич</v>
      </c>
      <c r="O373" t="s">
        <v>18</v>
      </c>
      <c r="P373" t="s">
        <v>147</v>
      </c>
      <c r="Q373" t="s">
        <v>352</v>
      </c>
    </row>
    <row r="374" spans="2:17" x14ac:dyDescent="0.3">
      <c r="B374" t="s">
        <v>45</v>
      </c>
      <c r="C374" t="s">
        <v>59</v>
      </c>
      <c r="D374" s="22" t="str">
        <f t="shared" si="25"/>
        <v>2024-07-22</v>
      </c>
      <c r="E374" s="22" t="str">
        <f t="shared" si="26"/>
        <v>2024-07-22</v>
      </c>
      <c r="F374" s="22">
        <f t="shared" si="27"/>
        <v>0</v>
      </c>
      <c r="J374" t="str">
        <f t="shared" si="28"/>
        <v>Новикова Ольга ПетровнаОрлов Александр Иванович</v>
      </c>
      <c r="K374" t="s">
        <v>47</v>
      </c>
      <c r="L374" t="s">
        <v>69</v>
      </c>
      <c r="M374" t="s">
        <v>271</v>
      </c>
      <c r="N374" t="str">
        <f t="shared" si="29"/>
        <v>Иванова Анна СергеевнаЛебедев Артем Кириллович</v>
      </c>
      <c r="O374" t="s">
        <v>28</v>
      </c>
      <c r="P374" t="s">
        <v>49</v>
      </c>
      <c r="Q374" t="s">
        <v>352</v>
      </c>
    </row>
    <row r="375" spans="2:17" x14ac:dyDescent="0.3">
      <c r="B375" t="s">
        <v>45</v>
      </c>
      <c r="C375" t="s">
        <v>156</v>
      </c>
      <c r="D375" s="22" t="str">
        <f t="shared" si="25"/>
        <v>2024-04-01</v>
      </c>
      <c r="E375" s="22" t="str">
        <f t="shared" si="26"/>
        <v>2024-04-01</v>
      </c>
      <c r="F375" s="22">
        <f t="shared" si="27"/>
        <v>0</v>
      </c>
      <c r="J375" t="str">
        <f t="shared" si="28"/>
        <v>Громова Мария ИльиничнаЕгоров Никита Ильич</v>
      </c>
      <c r="K375" t="s">
        <v>14</v>
      </c>
      <c r="L375" t="s">
        <v>112</v>
      </c>
      <c r="M375" t="s">
        <v>271</v>
      </c>
      <c r="N375" t="str">
        <f t="shared" si="29"/>
        <v>Ткаченко Андрей ОлеговичМорозов Артем Александрович</v>
      </c>
      <c r="O375" t="s">
        <v>5</v>
      </c>
      <c r="P375" t="s">
        <v>289</v>
      </c>
      <c r="Q375" t="s">
        <v>352</v>
      </c>
    </row>
    <row r="376" spans="2:17" x14ac:dyDescent="0.3">
      <c r="B376" t="s">
        <v>45</v>
      </c>
      <c r="C376" t="s">
        <v>48</v>
      </c>
      <c r="D376" s="22" t="str">
        <f t="shared" si="25"/>
        <v>2023-10-25</v>
      </c>
      <c r="E376" s="22" t="str">
        <f t="shared" si="26"/>
        <v>2024-08-20</v>
      </c>
      <c r="F376" s="22">
        <f t="shared" si="27"/>
        <v>300</v>
      </c>
      <c r="J376" t="str">
        <f t="shared" si="28"/>
        <v>Орлов Павел ДенисовичПопова Юлия Дмитриевна</v>
      </c>
      <c r="K376" t="s">
        <v>45</v>
      </c>
      <c r="L376" t="s">
        <v>268</v>
      </c>
      <c r="M376" t="s">
        <v>271</v>
      </c>
      <c r="N376" t="str">
        <f t="shared" si="29"/>
        <v>Петров Владимир КирилловичПопов Алексей Кириллович</v>
      </c>
      <c r="O376" t="s">
        <v>50</v>
      </c>
      <c r="P376" t="s">
        <v>92</v>
      </c>
      <c r="Q376" t="s">
        <v>352</v>
      </c>
    </row>
    <row r="377" spans="2:17" x14ac:dyDescent="0.3">
      <c r="B377" t="s">
        <v>45</v>
      </c>
      <c r="C377" t="s">
        <v>19</v>
      </c>
      <c r="D377" s="22" t="str">
        <f t="shared" si="25"/>
        <v>2024-05-13</v>
      </c>
      <c r="E377" s="22" t="str">
        <f t="shared" si="26"/>
        <v>2024-05-13</v>
      </c>
      <c r="F377" s="22">
        <f t="shared" si="27"/>
        <v>0</v>
      </c>
      <c r="J377" t="str">
        <f t="shared" si="28"/>
        <v>Яковлев Артем ИгоревичПетров Иван Егорович</v>
      </c>
      <c r="K377" t="s">
        <v>8</v>
      </c>
      <c r="L377" t="s">
        <v>149</v>
      </c>
      <c r="M377" t="s">
        <v>271</v>
      </c>
      <c r="N377" t="str">
        <f t="shared" si="29"/>
        <v>Иванова Анна СергеевнаФедоров Дмитрий Михайлович</v>
      </c>
      <c r="O377" t="s">
        <v>28</v>
      </c>
      <c r="P377" t="s">
        <v>100</v>
      </c>
      <c r="Q377" t="s">
        <v>352</v>
      </c>
    </row>
    <row r="378" spans="2:17" x14ac:dyDescent="0.3">
      <c r="B378" t="s">
        <v>45</v>
      </c>
      <c r="C378" t="s">
        <v>52</v>
      </c>
      <c r="D378" s="22" t="str">
        <f t="shared" si="25"/>
        <v>2024-05-20</v>
      </c>
      <c r="E378" s="22" t="str">
        <f t="shared" si="26"/>
        <v>2024-05-20</v>
      </c>
      <c r="F378" s="22">
        <f t="shared" si="27"/>
        <v>0</v>
      </c>
      <c r="J378" t="str">
        <f t="shared" si="28"/>
        <v>Семенова Ирина ВалерьевнаНиколаев Роман Ильич</v>
      </c>
      <c r="K378" t="s">
        <v>12</v>
      </c>
      <c r="L378" t="s">
        <v>202</v>
      </c>
      <c r="M378" t="s">
        <v>271</v>
      </c>
      <c r="N378" t="str">
        <f t="shared" si="29"/>
        <v>Ткаченко Андрей ОлеговичКузнецов Илья Артемович</v>
      </c>
      <c r="O378" t="s">
        <v>5</v>
      </c>
      <c r="P378" t="s">
        <v>185</v>
      </c>
      <c r="Q378" t="s">
        <v>352</v>
      </c>
    </row>
    <row r="379" spans="2:17" x14ac:dyDescent="0.3">
      <c r="B379" t="s">
        <v>45</v>
      </c>
      <c r="C379" t="s">
        <v>46</v>
      </c>
      <c r="D379" s="22" t="str">
        <f t="shared" si="25"/>
        <v>2023-09-11</v>
      </c>
      <c r="E379" s="22" t="str">
        <f t="shared" si="26"/>
        <v>2024-01-08</v>
      </c>
      <c r="F379" s="22">
        <f t="shared" si="27"/>
        <v>119</v>
      </c>
      <c r="J379" t="str">
        <f t="shared" si="28"/>
        <v>Фролов Сергей ВикторовичМорозов Андрей Никитич</v>
      </c>
      <c r="K379" t="s">
        <v>40</v>
      </c>
      <c r="L379" t="s">
        <v>147</v>
      </c>
      <c r="M379" t="s">
        <v>271</v>
      </c>
      <c r="N379" t="str">
        <f t="shared" si="29"/>
        <v>Сидорова Елена ВасильевнаИванов Дмитрий Павлович</v>
      </c>
      <c r="O379" t="s">
        <v>18</v>
      </c>
      <c r="P379" t="s">
        <v>124</v>
      </c>
      <c r="Q379" t="s">
        <v>352</v>
      </c>
    </row>
    <row r="380" spans="2:17" x14ac:dyDescent="0.3">
      <c r="B380" t="s">
        <v>45</v>
      </c>
      <c r="C380" t="s">
        <v>174</v>
      </c>
      <c r="D380" s="22" t="str">
        <f t="shared" si="25"/>
        <v>2023-11-06</v>
      </c>
      <c r="E380" s="22" t="str">
        <f t="shared" si="26"/>
        <v>2023-11-06</v>
      </c>
      <c r="F380" s="22">
        <f t="shared" si="27"/>
        <v>0</v>
      </c>
      <c r="J380" t="str">
        <f t="shared" si="28"/>
        <v>Белов Алексей КонстантиновичВолков Александр Юрьевич</v>
      </c>
      <c r="K380" t="s">
        <v>21</v>
      </c>
      <c r="L380" t="s">
        <v>103</v>
      </c>
      <c r="M380" t="s">
        <v>271</v>
      </c>
      <c r="N380" t="str">
        <f t="shared" si="29"/>
        <v>Сидорова Елена ВасильевнаМорозова Валерия Ильинична</v>
      </c>
      <c r="O380" t="s">
        <v>18</v>
      </c>
      <c r="P380" t="s">
        <v>174</v>
      </c>
      <c r="Q380" t="s">
        <v>352</v>
      </c>
    </row>
    <row r="381" spans="2:17" x14ac:dyDescent="0.3">
      <c r="B381" t="s">
        <v>45</v>
      </c>
      <c r="C381" t="s">
        <v>107</v>
      </c>
      <c r="D381" s="22" t="str">
        <f t="shared" si="25"/>
        <v>2023-11-24</v>
      </c>
      <c r="E381" s="22" t="str">
        <f t="shared" si="26"/>
        <v>2023-11-24</v>
      </c>
      <c r="F381" s="22">
        <f t="shared" si="27"/>
        <v>0</v>
      </c>
      <c r="J381" t="str">
        <f t="shared" si="28"/>
        <v>Яковлев Артем ИгоревичСидорова Елена Кирилловна</v>
      </c>
      <c r="K381" t="s">
        <v>8</v>
      </c>
      <c r="L381" t="s">
        <v>180</v>
      </c>
      <c r="M381" t="s">
        <v>271</v>
      </c>
      <c r="N381" t="str">
        <f t="shared" si="29"/>
        <v>Петров Владимир КирилловичЛебедев Дмитрий Викторович</v>
      </c>
      <c r="O381" t="s">
        <v>50</v>
      </c>
      <c r="P381" t="s">
        <v>85</v>
      </c>
      <c r="Q381" t="s">
        <v>352</v>
      </c>
    </row>
    <row r="382" spans="2:17" x14ac:dyDescent="0.3">
      <c r="B382" t="s">
        <v>45</v>
      </c>
      <c r="C382" t="s">
        <v>227</v>
      </c>
      <c r="D382" s="22" t="str">
        <f t="shared" si="25"/>
        <v>2024-03-28</v>
      </c>
      <c r="E382" s="22" t="str">
        <f t="shared" si="26"/>
        <v>2024-03-28</v>
      </c>
      <c r="F382" s="22">
        <f t="shared" si="27"/>
        <v>0</v>
      </c>
      <c r="J382" t="str">
        <f t="shared" si="28"/>
        <v>Сидорова Елена ВасильевнаСеменов Матвей Александрович</v>
      </c>
      <c r="K382" t="s">
        <v>18</v>
      </c>
      <c r="L382" t="s">
        <v>58</v>
      </c>
      <c r="M382" t="s">
        <v>271</v>
      </c>
      <c r="N382" t="str">
        <f t="shared" si="29"/>
        <v>Орлов Павел ДенисовичПопова Юлия Дмитриевна</v>
      </c>
      <c r="O382" t="s">
        <v>45</v>
      </c>
      <c r="P382" t="s">
        <v>268</v>
      </c>
      <c r="Q382" t="s">
        <v>352</v>
      </c>
    </row>
    <row r="383" spans="2:17" x14ac:dyDescent="0.3">
      <c r="B383" t="s">
        <v>45</v>
      </c>
      <c r="C383" t="s">
        <v>126</v>
      </c>
      <c r="D383" s="22" t="str">
        <f t="shared" si="25"/>
        <v>2023-10-09</v>
      </c>
      <c r="E383" s="22" t="str">
        <f t="shared" si="26"/>
        <v>2024-04-15</v>
      </c>
      <c r="F383" s="22">
        <f t="shared" si="27"/>
        <v>189</v>
      </c>
      <c r="J383" t="str">
        <f t="shared" si="28"/>
        <v>Новикова Ольга ПетровнаМорозов Максим Андреевич</v>
      </c>
      <c r="K383" t="s">
        <v>47</v>
      </c>
      <c r="L383" t="s">
        <v>52</v>
      </c>
      <c r="M383" t="s">
        <v>271</v>
      </c>
      <c r="N383" t="str">
        <f t="shared" si="29"/>
        <v>Орлов Павел ДенисовичНиколаева Юлия Егоровна</v>
      </c>
      <c r="O383" t="s">
        <v>45</v>
      </c>
      <c r="P383" t="s">
        <v>126</v>
      </c>
      <c r="Q383" t="s">
        <v>352</v>
      </c>
    </row>
    <row r="384" spans="2:17" x14ac:dyDescent="0.3">
      <c r="B384" t="s">
        <v>45</v>
      </c>
      <c r="C384" t="s">
        <v>205</v>
      </c>
      <c r="D384" s="22" t="str">
        <f t="shared" si="25"/>
        <v>2023-12-05</v>
      </c>
      <c r="E384" s="22" t="str">
        <f t="shared" si="26"/>
        <v>2023-12-05</v>
      </c>
      <c r="F384" s="22">
        <f t="shared" si="27"/>
        <v>0</v>
      </c>
      <c r="J384" t="str">
        <f t="shared" si="28"/>
        <v>Новикова Ольга ПетровнаКузнецова Полина Романовна</v>
      </c>
      <c r="K384" t="s">
        <v>47</v>
      </c>
      <c r="L384" t="s">
        <v>17</v>
      </c>
      <c r="M384" t="s">
        <v>271</v>
      </c>
      <c r="N384" t="str">
        <f t="shared" si="29"/>
        <v>Белов Алексей КонстантиновичПопов Иван Михайлович</v>
      </c>
      <c r="O384" t="s">
        <v>21</v>
      </c>
      <c r="P384" t="s">
        <v>109</v>
      </c>
      <c r="Q384" t="s">
        <v>352</v>
      </c>
    </row>
    <row r="385" spans="2:17" x14ac:dyDescent="0.3">
      <c r="B385" t="s">
        <v>45</v>
      </c>
      <c r="C385" t="s">
        <v>36</v>
      </c>
      <c r="D385" s="22" t="str">
        <f t="shared" si="25"/>
        <v>2024-03-19</v>
      </c>
      <c r="E385" s="22" t="str">
        <f t="shared" si="26"/>
        <v>2024-08-19</v>
      </c>
      <c r="F385" s="22">
        <f t="shared" si="27"/>
        <v>153</v>
      </c>
      <c r="J385" t="str">
        <f t="shared" si="28"/>
        <v>Сидорова Елена ВасильевнаКузнецова Полина Романовна</v>
      </c>
      <c r="K385" t="s">
        <v>18</v>
      </c>
      <c r="L385" t="s">
        <v>17</v>
      </c>
      <c r="M385" t="s">
        <v>271</v>
      </c>
      <c r="N385" t="str">
        <f t="shared" si="29"/>
        <v>Белов Алексей КонстантиновичПопова Виктория Геннадьевна</v>
      </c>
      <c r="O385" t="s">
        <v>21</v>
      </c>
      <c r="P385" t="s">
        <v>167</v>
      </c>
      <c r="Q385" t="s">
        <v>351</v>
      </c>
    </row>
    <row r="386" spans="2:17" x14ac:dyDescent="0.3">
      <c r="B386" t="s">
        <v>45</v>
      </c>
      <c r="C386" t="s">
        <v>97</v>
      </c>
      <c r="D386" s="22" t="str">
        <f t="shared" si="25"/>
        <v>2023-09-25</v>
      </c>
      <c r="E386" s="22" t="str">
        <f t="shared" si="26"/>
        <v>2023-09-25</v>
      </c>
      <c r="F386" s="22">
        <f t="shared" si="27"/>
        <v>0</v>
      </c>
      <c r="J386" t="str">
        <f t="shared" si="28"/>
        <v>Белов Алексей КонстантиновичМорозова Валерия Ильинична</v>
      </c>
      <c r="K386" t="s">
        <v>21</v>
      </c>
      <c r="L386" t="s">
        <v>174</v>
      </c>
      <c r="M386" t="s">
        <v>272</v>
      </c>
      <c r="N386" t="str">
        <f t="shared" si="29"/>
        <v>Ткаченко Андрей ОлеговичАлексеева Елена Кирилловна</v>
      </c>
      <c r="O386" t="s">
        <v>5</v>
      </c>
      <c r="P386" t="s">
        <v>176</v>
      </c>
      <c r="Q386" t="s">
        <v>351</v>
      </c>
    </row>
    <row r="387" spans="2:17" x14ac:dyDescent="0.3">
      <c r="B387" t="s">
        <v>45</v>
      </c>
      <c r="C387" t="s">
        <v>11</v>
      </c>
      <c r="D387" s="22" t="str">
        <f t="shared" ref="D387:D450" si="30">VLOOKUP(B387&amp;C387,J:M,4,0)</f>
        <v>2024-05-17</v>
      </c>
      <c r="E387" s="22" t="str">
        <f t="shared" ref="E387:E450" si="31">VLOOKUP(B387&amp;C387,N:Q,4,0)</f>
        <v>2024-05-17</v>
      </c>
      <c r="F387" s="22">
        <f t="shared" ref="F387:F450" si="32">E387-D387</f>
        <v>0</v>
      </c>
      <c r="J387" t="str">
        <f t="shared" ref="J387:J450" si="33">K387&amp;L387</f>
        <v>Громова Мария ИльиничнаСеменов Максим Геннадьевич</v>
      </c>
      <c r="K387" t="s">
        <v>14</v>
      </c>
      <c r="L387" t="s">
        <v>111</v>
      </c>
      <c r="M387" t="s">
        <v>272</v>
      </c>
      <c r="N387" t="str">
        <f t="shared" ref="N387:N450" si="34">O387&amp;P387</f>
        <v>Новикова Ольга ПетровнаПопов Алексей Кириллович</v>
      </c>
      <c r="O387" t="s">
        <v>47</v>
      </c>
      <c r="P387" t="s">
        <v>92</v>
      </c>
      <c r="Q387" t="s">
        <v>350</v>
      </c>
    </row>
    <row r="388" spans="2:17" x14ac:dyDescent="0.3">
      <c r="B388" t="s">
        <v>45</v>
      </c>
      <c r="C388" t="s">
        <v>181</v>
      </c>
      <c r="D388" s="22" t="str">
        <f t="shared" si="30"/>
        <v>2023-12-05</v>
      </c>
      <c r="E388" s="22" t="str">
        <f t="shared" si="31"/>
        <v>2023-12-05</v>
      </c>
      <c r="F388" s="22">
        <f t="shared" si="32"/>
        <v>0</v>
      </c>
      <c r="J388" t="str">
        <f t="shared" si="33"/>
        <v>Белов Алексей КонстантиновичПавлов Роман Владимирович</v>
      </c>
      <c r="K388" t="s">
        <v>21</v>
      </c>
      <c r="L388" t="s">
        <v>169</v>
      </c>
      <c r="M388" t="s">
        <v>272</v>
      </c>
      <c r="N388" t="str">
        <f t="shared" si="34"/>
        <v>Семенова Ирина ВалерьевнаВасильев Павел Егорович</v>
      </c>
      <c r="O388" t="s">
        <v>12</v>
      </c>
      <c r="P388" t="s">
        <v>173</v>
      </c>
      <c r="Q388" t="s">
        <v>350</v>
      </c>
    </row>
    <row r="389" spans="2:17" x14ac:dyDescent="0.3">
      <c r="B389" t="s">
        <v>45</v>
      </c>
      <c r="C389" t="s">
        <v>105</v>
      </c>
      <c r="D389" s="22" t="str">
        <f t="shared" si="30"/>
        <v>2023-09-28</v>
      </c>
      <c r="E389" s="22" t="str">
        <f t="shared" si="31"/>
        <v>2024-01-24</v>
      </c>
      <c r="F389" s="22">
        <f t="shared" si="32"/>
        <v>118</v>
      </c>
      <c r="J389" t="str">
        <f t="shared" si="33"/>
        <v>Громова Мария ИльиничнаСеменова Наталья Павловна</v>
      </c>
      <c r="K389" t="s">
        <v>14</v>
      </c>
      <c r="L389" t="s">
        <v>194</v>
      </c>
      <c r="M389" t="s">
        <v>272</v>
      </c>
      <c r="N389" t="str">
        <f t="shared" si="34"/>
        <v>Кузнецов Дмитрий ЛьвовичВасильева Ирина Павловна</v>
      </c>
      <c r="O389" t="s">
        <v>10</v>
      </c>
      <c r="P389" t="s">
        <v>130</v>
      </c>
      <c r="Q389" t="s">
        <v>350</v>
      </c>
    </row>
    <row r="390" spans="2:17" x14ac:dyDescent="0.3">
      <c r="B390" t="s">
        <v>45</v>
      </c>
      <c r="C390" t="s">
        <v>247</v>
      </c>
      <c r="D390" s="22" t="str">
        <f t="shared" si="30"/>
        <v>2024-08-12</v>
      </c>
      <c r="E390" s="22" t="str">
        <f t="shared" si="31"/>
        <v>2024-08-12</v>
      </c>
      <c r="F390" s="22">
        <f t="shared" si="32"/>
        <v>0</v>
      </c>
      <c r="J390" t="str">
        <f t="shared" si="33"/>
        <v>Яковлев Артем ИгоревичПавлов Георгий Александрович</v>
      </c>
      <c r="K390" t="s">
        <v>8</v>
      </c>
      <c r="L390" t="s">
        <v>273</v>
      </c>
      <c r="M390" t="s">
        <v>272</v>
      </c>
      <c r="N390" t="str">
        <f t="shared" si="34"/>
        <v>Орлов Павел ДенисовичОрлова Валерия Юрьевна</v>
      </c>
      <c r="O390" t="s">
        <v>45</v>
      </c>
      <c r="P390" t="s">
        <v>258</v>
      </c>
      <c r="Q390" t="s">
        <v>349</v>
      </c>
    </row>
    <row r="391" spans="2:17" x14ac:dyDescent="0.3">
      <c r="B391" t="s">
        <v>45</v>
      </c>
      <c r="C391" t="s">
        <v>69</v>
      </c>
      <c r="D391" s="22" t="str">
        <f t="shared" si="30"/>
        <v>2023-10-30</v>
      </c>
      <c r="E391" s="22" t="str">
        <f t="shared" si="31"/>
        <v>2023-10-30</v>
      </c>
      <c r="F391" s="22">
        <f t="shared" si="32"/>
        <v>0</v>
      </c>
      <c r="J391" t="str">
        <f t="shared" si="33"/>
        <v>Иванова Анна СергеевнаПетров Павел Кириллович</v>
      </c>
      <c r="K391" t="s">
        <v>28</v>
      </c>
      <c r="L391" t="s">
        <v>78</v>
      </c>
      <c r="M391" t="s">
        <v>274</v>
      </c>
      <c r="N391" t="str">
        <f t="shared" si="34"/>
        <v>Кузнецов Дмитрий ЛьвовичЕгорова Наталья Дмитриевна</v>
      </c>
      <c r="O391" t="s">
        <v>10</v>
      </c>
      <c r="P391" t="s">
        <v>251</v>
      </c>
      <c r="Q391" t="s">
        <v>349</v>
      </c>
    </row>
    <row r="392" spans="2:17" x14ac:dyDescent="0.3">
      <c r="B392" t="s">
        <v>45</v>
      </c>
      <c r="C392" t="s">
        <v>30</v>
      </c>
      <c r="D392" s="22" t="str">
        <f t="shared" si="30"/>
        <v>2023-09-18</v>
      </c>
      <c r="E392" s="22" t="str">
        <f t="shared" si="31"/>
        <v>2023-10-23</v>
      </c>
      <c r="F392" s="22">
        <f t="shared" si="32"/>
        <v>35</v>
      </c>
      <c r="J392" t="str">
        <f t="shared" si="33"/>
        <v>Иванова Анна СергеевнаМорозова Мария Дмитриевна</v>
      </c>
      <c r="K392" t="s">
        <v>28</v>
      </c>
      <c r="L392" t="s">
        <v>84</v>
      </c>
      <c r="M392" t="s">
        <v>275</v>
      </c>
      <c r="N392" t="str">
        <f t="shared" si="34"/>
        <v>Петров Владимир КирилловичСидорова Ксения Дмитриевна</v>
      </c>
      <c r="O392" t="s">
        <v>50</v>
      </c>
      <c r="P392" t="s">
        <v>99</v>
      </c>
      <c r="Q392" t="s">
        <v>349</v>
      </c>
    </row>
    <row r="393" spans="2:17" x14ac:dyDescent="0.3">
      <c r="B393" t="s">
        <v>45</v>
      </c>
      <c r="C393" t="s">
        <v>116</v>
      </c>
      <c r="D393" s="22" t="str">
        <f t="shared" si="30"/>
        <v>2023-10-02</v>
      </c>
      <c r="E393" s="22" t="str">
        <f t="shared" si="31"/>
        <v>2024-01-03</v>
      </c>
      <c r="F393" s="22">
        <f t="shared" si="32"/>
        <v>93</v>
      </c>
      <c r="J393" t="str">
        <f t="shared" si="33"/>
        <v>Белов Алексей КонстантиновичКузнецова Ирина Владимировна</v>
      </c>
      <c r="K393" t="s">
        <v>21</v>
      </c>
      <c r="L393" t="s">
        <v>276</v>
      </c>
      <c r="M393" t="s">
        <v>275</v>
      </c>
      <c r="N393" t="str">
        <f t="shared" si="34"/>
        <v>Яковлев Артем ИгоревичВолков Александр Юрьевич</v>
      </c>
      <c r="O393" t="s">
        <v>8</v>
      </c>
      <c r="P393" t="s">
        <v>103</v>
      </c>
      <c r="Q393" t="s">
        <v>349</v>
      </c>
    </row>
    <row r="394" spans="2:17" x14ac:dyDescent="0.3">
      <c r="B394" t="s">
        <v>45</v>
      </c>
      <c r="C394" t="s">
        <v>60</v>
      </c>
      <c r="D394" s="22" t="str">
        <f t="shared" si="30"/>
        <v>2023-09-12</v>
      </c>
      <c r="E394" s="22" t="str">
        <f t="shared" si="31"/>
        <v>2023-09-12</v>
      </c>
      <c r="F394" s="22">
        <f t="shared" si="32"/>
        <v>0</v>
      </c>
      <c r="J394" t="str">
        <f t="shared" si="33"/>
        <v>Белов Алексей КонстантиновичНиколаев Егор Романович</v>
      </c>
      <c r="K394" t="s">
        <v>21</v>
      </c>
      <c r="L394" t="s">
        <v>277</v>
      </c>
      <c r="M394" t="s">
        <v>275</v>
      </c>
      <c r="N394" t="str">
        <f t="shared" si="34"/>
        <v>Белов Алексей КонстантиновичКузнецова Дарья Дмитриевна</v>
      </c>
      <c r="O394" t="s">
        <v>21</v>
      </c>
      <c r="P394" t="s">
        <v>43</v>
      </c>
      <c r="Q394" t="s">
        <v>348</v>
      </c>
    </row>
    <row r="395" spans="2:17" x14ac:dyDescent="0.3">
      <c r="B395" t="s">
        <v>45</v>
      </c>
      <c r="C395" t="s">
        <v>258</v>
      </c>
      <c r="D395" s="22" t="str">
        <f t="shared" si="30"/>
        <v>2024-04-09</v>
      </c>
      <c r="E395" s="22" t="str">
        <f t="shared" si="31"/>
        <v>2024-04-09</v>
      </c>
      <c r="F395" s="22">
        <f t="shared" si="32"/>
        <v>0</v>
      </c>
      <c r="J395" t="str">
        <f t="shared" si="33"/>
        <v>Петров Владимир КирилловичСтепанова Юлия Андреевна</v>
      </c>
      <c r="K395" t="s">
        <v>50</v>
      </c>
      <c r="L395" t="s">
        <v>217</v>
      </c>
      <c r="M395" t="s">
        <v>275</v>
      </c>
      <c r="N395" t="str">
        <f t="shared" si="34"/>
        <v>Новикова Ольга ПетровнаКузнецова Полина Романовна</v>
      </c>
      <c r="O395" t="s">
        <v>47</v>
      </c>
      <c r="P395" t="s">
        <v>17</v>
      </c>
      <c r="Q395" t="s">
        <v>348</v>
      </c>
    </row>
    <row r="396" spans="2:17" x14ac:dyDescent="0.3">
      <c r="B396" t="s">
        <v>45</v>
      </c>
      <c r="C396" t="s">
        <v>101</v>
      </c>
      <c r="D396" s="22" t="str">
        <f t="shared" si="30"/>
        <v>2024-01-29</v>
      </c>
      <c r="E396" s="22" t="str">
        <f t="shared" si="31"/>
        <v>2024-01-29</v>
      </c>
      <c r="F396" s="22">
        <f t="shared" si="32"/>
        <v>0</v>
      </c>
      <c r="J396" t="str">
        <f t="shared" si="33"/>
        <v>Фролов Сергей ВикторовичФедоров Михаил Кириллович</v>
      </c>
      <c r="K396" t="s">
        <v>40</v>
      </c>
      <c r="L396" t="s">
        <v>76</v>
      </c>
      <c r="M396" t="s">
        <v>275</v>
      </c>
      <c r="N396" t="str">
        <f t="shared" si="34"/>
        <v>Громова Мария ИльиничнаПетров Алексей Сергеевич</v>
      </c>
      <c r="O396" t="s">
        <v>14</v>
      </c>
      <c r="P396" t="s">
        <v>66</v>
      </c>
      <c r="Q396" t="s">
        <v>348</v>
      </c>
    </row>
    <row r="397" spans="2:17" x14ac:dyDescent="0.3">
      <c r="B397" t="s">
        <v>45</v>
      </c>
      <c r="C397" t="s">
        <v>171</v>
      </c>
      <c r="D397" s="22" t="str">
        <f t="shared" si="30"/>
        <v>2023-11-01</v>
      </c>
      <c r="E397" s="22" t="str">
        <f t="shared" si="31"/>
        <v>2023-11-01</v>
      </c>
      <c r="F397" s="22">
        <f t="shared" si="32"/>
        <v>0</v>
      </c>
      <c r="J397" t="str">
        <f t="shared" si="33"/>
        <v>Яковлев Артем ИгоревичВолков Александр Юрьевич</v>
      </c>
      <c r="K397" t="s">
        <v>8</v>
      </c>
      <c r="L397" t="s">
        <v>103</v>
      </c>
      <c r="M397" t="s">
        <v>278</v>
      </c>
      <c r="N397" t="str">
        <f t="shared" si="34"/>
        <v>Сидорова Елена ВасильевнаСтепанов Александр Станиславович</v>
      </c>
      <c r="O397" t="s">
        <v>18</v>
      </c>
      <c r="P397" t="s">
        <v>122</v>
      </c>
      <c r="Q397" t="s">
        <v>348</v>
      </c>
    </row>
    <row r="398" spans="2:17" x14ac:dyDescent="0.3">
      <c r="B398" t="s">
        <v>45</v>
      </c>
      <c r="C398" t="s">
        <v>324</v>
      </c>
      <c r="D398" s="22" t="str">
        <f t="shared" si="30"/>
        <v>2024-05-21</v>
      </c>
      <c r="E398" s="22" t="str">
        <f t="shared" si="31"/>
        <v>2024-05-21</v>
      </c>
      <c r="F398" s="22">
        <f t="shared" si="32"/>
        <v>0</v>
      </c>
      <c r="J398" t="str">
        <f t="shared" si="33"/>
        <v>Петров Владимир КирилловичКозлов Роман Владимирович</v>
      </c>
      <c r="K398" t="s">
        <v>50</v>
      </c>
      <c r="L398" t="s">
        <v>279</v>
      </c>
      <c r="M398" t="s">
        <v>278</v>
      </c>
      <c r="N398" t="str">
        <f t="shared" si="34"/>
        <v>Фролов Сергей ВикторовичПавлов Илья Никитич</v>
      </c>
      <c r="O398" t="s">
        <v>40</v>
      </c>
      <c r="P398" t="s">
        <v>324</v>
      </c>
      <c r="Q398" t="s">
        <v>348</v>
      </c>
    </row>
    <row r="399" spans="2:17" x14ac:dyDescent="0.3">
      <c r="B399" t="s">
        <v>45</v>
      </c>
      <c r="C399" t="s">
        <v>154</v>
      </c>
      <c r="D399" s="22" t="str">
        <f t="shared" si="30"/>
        <v>2024-07-01</v>
      </c>
      <c r="E399" s="22" t="str">
        <f t="shared" si="31"/>
        <v>2024-07-01</v>
      </c>
      <c r="F399" s="22">
        <f t="shared" si="32"/>
        <v>0</v>
      </c>
      <c r="J399" t="str">
        <f t="shared" si="33"/>
        <v>Ткаченко Андрей ОлеговичМорозова Ольга Дмитриевна</v>
      </c>
      <c r="K399" t="s">
        <v>5</v>
      </c>
      <c r="L399" t="s">
        <v>280</v>
      </c>
      <c r="M399" t="s">
        <v>278</v>
      </c>
      <c r="N399" t="str">
        <f t="shared" si="34"/>
        <v>Семенова Ирина ВалерьевнаВасильев Константин Геннадьевич</v>
      </c>
      <c r="O399" t="s">
        <v>12</v>
      </c>
      <c r="P399" t="s">
        <v>221</v>
      </c>
      <c r="Q399" t="s">
        <v>348</v>
      </c>
    </row>
    <row r="400" spans="2:17" x14ac:dyDescent="0.3">
      <c r="B400" t="s">
        <v>45</v>
      </c>
      <c r="C400" t="s">
        <v>380</v>
      </c>
      <c r="D400" s="22" t="str">
        <f t="shared" si="30"/>
        <v>2024-08-29</v>
      </c>
      <c r="E400" s="22" t="str">
        <f t="shared" si="31"/>
        <v>2024-08-29</v>
      </c>
      <c r="F400" s="22">
        <f t="shared" si="32"/>
        <v>0</v>
      </c>
      <c r="J400" t="str">
        <f t="shared" si="33"/>
        <v>Сидорова Елена ВасильевнаСмирнов Михаил Никитич</v>
      </c>
      <c r="K400" t="s">
        <v>18</v>
      </c>
      <c r="L400" t="s">
        <v>231</v>
      </c>
      <c r="M400" t="s">
        <v>278</v>
      </c>
      <c r="N400" t="str">
        <f t="shared" si="34"/>
        <v>Новикова Ольга ПетровнаКузнецов Иван Ильич</v>
      </c>
      <c r="O400" t="s">
        <v>47</v>
      </c>
      <c r="P400" t="s">
        <v>178</v>
      </c>
      <c r="Q400" t="s">
        <v>348</v>
      </c>
    </row>
    <row r="401" spans="2:17" x14ac:dyDescent="0.3">
      <c r="B401" t="s">
        <v>45</v>
      </c>
      <c r="C401" t="s">
        <v>169</v>
      </c>
      <c r="D401" s="22" t="str">
        <f t="shared" si="30"/>
        <v>2024-04-03</v>
      </c>
      <c r="E401" s="22" t="str">
        <f t="shared" si="31"/>
        <v>2024-04-03</v>
      </c>
      <c r="F401" s="22">
        <f t="shared" si="32"/>
        <v>0</v>
      </c>
      <c r="J401" t="str">
        <f t="shared" si="33"/>
        <v>Сидорова Елена ВасильевнаСидоров Дмитрий Кириллович</v>
      </c>
      <c r="K401" t="s">
        <v>18</v>
      </c>
      <c r="L401" t="s">
        <v>166</v>
      </c>
      <c r="M401" t="s">
        <v>278</v>
      </c>
      <c r="N401" t="str">
        <f t="shared" si="34"/>
        <v>Кузнецов Дмитрий ЛьвовичЛебедева Юлия Олеговна</v>
      </c>
      <c r="O401" t="s">
        <v>10</v>
      </c>
      <c r="P401" t="s">
        <v>312</v>
      </c>
      <c r="Q401" t="s">
        <v>348</v>
      </c>
    </row>
    <row r="402" spans="2:17" x14ac:dyDescent="0.3">
      <c r="B402" t="s">
        <v>45</v>
      </c>
      <c r="C402" t="s">
        <v>141</v>
      </c>
      <c r="D402" s="22" t="str">
        <f t="shared" si="30"/>
        <v>2024-06-24</v>
      </c>
      <c r="E402" s="22" t="str">
        <f t="shared" si="31"/>
        <v>2024-06-24</v>
      </c>
      <c r="F402" s="22">
        <f t="shared" si="32"/>
        <v>0</v>
      </c>
      <c r="J402" t="str">
        <f t="shared" si="33"/>
        <v>Яковлев Артем ИгоревичПопова Алиса Ильинична</v>
      </c>
      <c r="K402" t="s">
        <v>8</v>
      </c>
      <c r="L402" t="s">
        <v>90</v>
      </c>
      <c r="M402" t="s">
        <v>281</v>
      </c>
      <c r="N402" t="str">
        <f t="shared" si="34"/>
        <v>Яковлев Артем ИгоревичКозлова Татьяна Михайловна</v>
      </c>
      <c r="O402" t="s">
        <v>8</v>
      </c>
      <c r="P402" t="s">
        <v>61</v>
      </c>
      <c r="Q402" t="s">
        <v>348</v>
      </c>
    </row>
    <row r="403" spans="2:17" x14ac:dyDescent="0.3">
      <c r="B403" t="s">
        <v>45</v>
      </c>
      <c r="C403" t="s">
        <v>149</v>
      </c>
      <c r="D403" s="22" t="str">
        <f t="shared" si="30"/>
        <v>2024-06-28</v>
      </c>
      <c r="E403" s="22" t="str">
        <f t="shared" si="31"/>
        <v>2024-06-28</v>
      </c>
      <c r="F403" s="22">
        <f t="shared" si="32"/>
        <v>0</v>
      </c>
      <c r="J403" t="str">
        <f t="shared" si="33"/>
        <v>Петров Владимир КирилловичПопов Егор Викторович</v>
      </c>
      <c r="K403" t="s">
        <v>50</v>
      </c>
      <c r="L403" t="s">
        <v>234</v>
      </c>
      <c r="M403" t="s">
        <v>281</v>
      </c>
      <c r="N403" t="str">
        <f t="shared" si="34"/>
        <v>Громова Мария ИльиничнаПетров Иван Артемович</v>
      </c>
      <c r="O403" t="s">
        <v>14</v>
      </c>
      <c r="P403" t="s">
        <v>39</v>
      </c>
      <c r="Q403" t="s">
        <v>347</v>
      </c>
    </row>
    <row r="404" spans="2:17" x14ac:dyDescent="0.3">
      <c r="B404" t="s">
        <v>45</v>
      </c>
      <c r="C404" t="s">
        <v>70</v>
      </c>
      <c r="D404" s="22" t="str">
        <f t="shared" si="30"/>
        <v>2023-12-25</v>
      </c>
      <c r="E404" s="22" t="str">
        <f t="shared" si="31"/>
        <v>2023-12-25</v>
      </c>
      <c r="F404" s="22">
        <f t="shared" si="32"/>
        <v>0</v>
      </c>
      <c r="J404" t="str">
        <f t="shared" si="33"/>
        <v>Семенова Ирина ВалерьевнаКузнецов Георгий Алексеевич</v>
      </c>
      <c r="K404" t="s">
        <v>12</v>
      </c>
      <c r="L404" t="s">
        <v>244</v>
      </c>
      <c r="M404" t="s">
        <v>281</v>
      </c>
      <c r="N404" t="str">
        <f t="shared" si="34"/>
        <v>Белов Алексей КонстантиновичСеменов Матвей Александрович</v>
      </c>
      <c r="O404" t="s">
        <v>21</v>
      </c>
      <c r="P404" t="s">
        <v>58</v>
      </c>
      <c r="Q404" t="s">
        <v>347</v>
      </c>
    </row>
    <row r="405" spans="2:17" x14ac:dyDescent="0.3">
      <c r="B405" t="s">
        <v>45</v>
      </c>
      <c r="C405" t="s">
        <v>15</v>
      </c>
      <c r="D405" s="22" t="str">
        <f t="shared" si="30"/>
        <v>2024-07-18</v>
      </c>
      <c r="E405" s="22" t="str">
        <f t="shared" si="31"/>
        <v>2024-07-18</v>
      </c>
      <c r="F405" s="22">
        <f t="shared" si="32"/>
        <v>0</v>
      </c>
      <c r="J405" t="str">
        <f t="shared" si="33"/>
        <v>Фролов Сергей ВикторовичФедоров Илья Егорович</v>
      </c>
      <c r="K405" t="s">
        <v>40</v>
      </c>
      <c r="L405" t="s">
        <v>151</v>
      </c>
      <c r="M405" t="s">
        <v>281</v>
      </c>
      <c r="N405" t="str">
        <f t="shared" si="34"/>
        <v>Громова Мария ИльиничнаЕгоров Артем Никитич</v>
      </c>
      <c r="O405" t="s">
        <v>14</v>
      </c>
      <c r="P405" t="s">
        <v>25</v>
      </c>
      <c r="Q405" t="s">
        <v>347</v>
      </c>
    </row>
    <row r="406" spans="2:17" x14ac:dyDescent="0.3">
      <c r="B406" t="s">
        <v>45</v>
      </c>
      <c r="C406" t="s">
        <v>92</v>
      </c>
      <c r="D406" s="22" t="str">
        <f t="shared" si="30"/>
        <v>2024-08-14</v>
      </c>
      <c r="E406" s="22" t="str">
        <f t="shared" si="31"/>
        <v>2024-08-14</v>
      </c>
      <c r="F406" s="22">
        <f t="shared" si="32"/>
        <v>0</v>
      </c>
      <c r="J406" t="str">
        <f t="shared" si="33"/>
        <v>Белов Алексей КонстантиновичМорозов Никита Сергеевич</v>
      </c>
      <c r="K406" t="s">
        <v>21</v>
      </c>
      <c r="L406" t="s">
        <v>282</v>
      </c>
      <c r="M406" t="s">
        <v>281</v>
      </c>
      <c r="N406" t="str">
        <f t="shared" si="34"/>
        <v>Яковлев Артем ИгоревичПетров Илья Андреевич</v>
      </c>
      <c r="O406" t="s">
        <v>8</v>
      </c>
      <c r="P406" t="s">
        <v>70</v>
      </c>
      <c r="Q406" t="s">
        <v>347</v>
      </c>
    </row>
    <row r="407" spans="2:17" x14ac:dyDescent="0.3">
      <c r="B407" t="s">
        <v>45</v>
      </c>
      <c r="C407" t="s">
        <v>109</v>
      </c>
      <c r="D407" s="22" t="str">
        <f t="shared" si="30"/>
        <v>2023-10-16</v>
      </c>
      <c r="E407" s="22" t="str">
        <f t="shared" si="31"/>
        <v>2023-10-16</v>
      </c>
      <c r="F407" s="22">
        <f t="shared" si="32"/>
        <v>0</v>
      </c>
      <c r="J407" t="str">
        <f t="shared" si="33"/>
        <v>Громова Мария ИльиничнаМорозов Максим Андреевич</v>
      </c>
      <c r="K407" t="s">
        <v>14</v>
      </c>
      <c r="L407" t="s">
        <v>52</v>
      </c>
      <c r="M407" t="s">
        <v>281</v>
      </c>
      <c r="N407" t="str">
        <f t="shared" si="34"/>
        <v>Орлов Павел ДенисовичПопова Полина Алексеевна</v>
      </c>
      <c r="O407" t="s">
        <v>45</v>
      </c>
      <c r="P407" t="s">
        <v>256</v>
      </c>
      <c r="Q407" t="s">
        <v>346</v>
      </c>
    </row>
    <row r="408" spans="2:17" x14ac:dyDescent="0.3">
      <c r="B408" t="s">
        <v>45</v>
      </c>
      <c r="C408" t="s">
        <v>256</v>
      </c>
      <c r="D408" s="22" t="str">
        <f t="shared" si="30"/>
        <v>2024-01-01</v>
      </c>
      <c r="E408" s="22" t="str">
        <f t="shared" si="31"/>
        <v>2024-04-04</v>
      </c>
      <c r="F408" s="22">
        <f t="shared" si="32"/>
        <v>94</v>
      </c>
      <c r="J408" t="str">
        <f t="shared" si="33"/>
        <v>Громова Мария ИльиничнаСидоров Роман Кириллович</v>
      </c>
      <c r="K408" t="s">
        <v>14</v>
      </c>
      <c r="L408" t="s">
        <v>110</v>
      </c>
      <c r="M408" t="s">
        <v>281</v>
      </c>
      <c r="N408" t="str">
        <f t="shared" si="34"/>
        <v>Семенова Ирина ВалерьевнаИванов Илья Артемович</v>
      </c>
      <c r="O408" t="s">
        <v>12</v>
      </c>
      <c r="P408" t="s">
        <v>83</v>
      </c>
      <c r="Q408" t="s">
        <v>345</v>
      </c>
    </row>
    <row r="409" spans="2:17" x14ac:dyDescent="0.3">
      <c r="B409" t="s">
        <v>45</v>
      </c>
      <c r="C409" t="s">
        <v>268</v>
      </c>
      <c r="D409" s="22" t="str">
        <f t="shared" si="30"/>
        <v>2024-01-15</v>
      </c>
      <c r="E409" s="22" t="str">
        <f t="shared" si="31"/>
        <v>2024-04-15</v>
      </c>
      <c r="F409" s="22">
        <f t="shared" si="32"/>
        <v>91</v>
      </c>
      <c r="J409" t="str">
        <f t="shared" si="33"/>
        <v>Громова Мария ИльиничнаЛебедев Дмитрий Викторович</v>
      </c>
      <c r="K409" t="s">
        <v>14</v>
      </c>
      <c r="L409" t="s">
        <v>85</v>
      </c>
      <c r="M409" t="s">
        <v>281</v>
      </c>
      <c r="N409" t="str">
        <f t="shared" si="34"/>
        <v>Орлов Павел ДенисовичПавлов Роман Владимирович</v>
      </c>
      <c r="O409" t="s">
        <v>45</v>
      </c>
      <c r="P409" t="s">
        <v>169</v>
      </c>
      <c r="Q409" t="s">
        <v>345</v>
      </c>
    </row>
    <row r="410" spans="2:17" x14ac:dyDescent="0.3">
      <c r="B410" t="s">
        <v>45</v>
      </c>
      <c r="C410" t="s">
        <v>111</v>
      </c>
      <c r="D410" s="22" t="str">
        <f t="shared" si="30"/>
        <v>2023-09-29</v>
      </c>
      <c r="E410" s="22" t="str">
        <f t="shared" si="31"/>
        <v>2024-06-10</v>
      </c>
      <c r="F410" s="22">
        <f t="shared" si="32"/>
        <v>255</v>
      </c>
      <c r="J410" t="str">
        <f t="shared" si="33"/>
        <v>Иванова Анна СергеевнаВасильев Матвей Андреевич</v>
      </c>
      <c r="K410" t="s">
        <v>28</v>
      </c>
      <c r="L410" t="s">
        <v>95</v>
      </c>
      <c r="M410" t="s">
        <v>281</v>
      </c>
      <c r="N410" t="str">
        <f t="shared" si="34"/>
        <v>Сидорова Елена ВасильевнаПетров Илья Андреевич</v>
      </c>
      <c r="O410" t="s">
        <v>18</v>
      </c>
      <c r="P410" t="s">
        <v>70</v>
      </c>
      <c r="Q410" t="s">
        <v>345</v>
      </c>
    </row>
    <row r="411" spans="2:17" x14ac:dyDescent="0.3">
      <c r="B411" t="s">
        <v>45</v>
      </c>
      <c r="C411" t="s">
        <v>194</v>
      </c>
      <c r="D411" s="22" t="str">
        <f t="shared" si="30"/>
        <v>2024-07-01</v>
      </c>
      <c r="E411" s="22" t="str">
        <f t="shared" si="31"/>
        <v>2024-07-01</v>
      </c>
      <c r="F411" s="22">
        <f t="shared" si="32"/>
        <v>0</v>
      </c>
      <c r="J411" t="str">
        <f t="shared" si="33"/>
        <v>Петров Владимир КирилловичКузнецов Илья Артемович</v>
      </c>
      <c r="K411" t="s">
        <v>50</v>
      </c>
      <c r="L411" t="s">
        <v>185</v>
      </c>
      <c r="M411" t="s">
        <v>281</v>
      </c>
      <c r="N411" t="str">
        <f t="shared" si="34"/>
        <v>Белов Алексей КонстантиновичЛебедев Дмитрий Викторович</v>
      </c>
      <c r="O411" t="s">
        <v>21</v>
      </c>
      <c r="P411" t="s">
        <v>85</v>
      </c>
      <c r="Q411" t="s">
        <v>344</v>
      </c>
    </row>
    <row r="412" spans="2:17" x14ac:dyDescent="0.3">
      <c r="B412" t="s">
        <v>45</v>
      </c>
      <c r="C412" t="s">
        <v>77</v>
      </c>
      <c r="D412" s="22" t="str">
        <f t="shared" si="30"/>
        <v>2024-06-03</v>
      </c>
      <c r="E412" s="22" t="str">
        <f t="shared" si="31"/>
        <v>2024-06-03</v>
      </c>
      <c r="F412" s="22">
        <f t="shared" si="32"/>
        <v>0</v>
      </c>
      <c r="J412" t="str">
        <f t="shared" si="33"/>
        <v>Сидорова Елена ВасильевнаОрлова Полина Олеговна</v>
      </c>
      <c r="K412" t="s">
        <v>18</v>
      </c>
      <c r="L412" t="s">
        <v>101</v>
      </c>
      <c r="M412" t="s">
        <v>283</v>
      </c>
      <c r="N412" t="str">
        <f t="shared" si="34"/>
        <v>Семенова Ирина ВалерьевнаНовиков Иван Андреевич</v>
      </c>
      <c r="O412" t="s">
        <v>12</v>
      </c>
      <c r="P412" t="s">
        <v>81</v>
      </c>
      <c r="Q412" t="s">
        <v>344</v>
      </c>
    </row>
    <row r="413" spans="2:17" x14ac:dyDescent="0.3">
      <c r="B413" t="s">
        <v>45</v>
      </c>
      <c r="C413" t="s">
        <v>135</v>
      </c>
      <c r="D413" s="22" t="str">
        <f t="shared" si="30"/>
        <v>2024-07-24</v>
      </c>
      <c r="E413" s="22" t="str">
        <f t="shared" si="31"/>
        <v>2024-07-24</v>
      </c>
      <c r="F413" s="22">
        <f t="shared" si="32"/>
        <v>0</v>
      </c>
      <c r="J413" t="str">
        <f t="shared" si="33"/>
        <v>Орлов Павел ДенисовичФедорова Людмила Кирилловна</v>
      </c>
      <c r="K413" t="s">
        <v>45</v>
      </c>
      <c r="L413" t="s">
        <v>199</v>
      </c>
      <c r="M413" t="s">
        <v>283</v>
      </c>
      <c r="N413" t="str">
        <f t="shared" si="34"/>
        <v>Яковлев Артем ИгоревичМорозов Сергей Олегович</v>
      </c>
      <c r="O413" t="s">
        <v>8</v>
      </c>
      <c r="P413" t="s">
        <v>46</v>
      </c>
      <c r="Q413" t="s">
        <v>344</v>
      </c>
    </row>
    <row r="414" spans="2:17" x14ac:dyDescent="0.3">
      <c r="B414" t="s">
        <v>45</v>
      </c>
      <c r="C414" t="s">
        <v>180</v>
      </c>
      <c r="D414" s="22" t="str">
        <f t="shared" si="30"/>
        <v>2024-07-10</v>
      </c>
      <c r="E414" s="22" t="str">
        <f t="shared" si="31"/>
        <v>2024-07-10</v>
      </c>
      <c r="F414" s="22">
        <f t="shared" si="32"/>
        <v>0</v>
      </c>
      <c r="J414" t="str">
        <f t="shared" si="33"/>
        <v>Петров Владимир КирилловичИванов Константин Никитич</v>
      </c>
      <c r="K414" t="s">
        <v>50</v>
      </c>
      <c r="L414" t="s">
        <v>284</v>
      </c>
      <c r="M414" t="s">
        <v>283</v>
      </c>
      <c r="N414" t="str">
        <f t="shared" si="34"/>
        <v>Яковлев Артем ИгоревичСеменов Максим Геннадьевич</v>
      </c>
      <c r="O414" t="s">
        <v>8</v>
      </c>
      <c r="P414" t="s">
        <v>111</v>
      </c>
      <c r="Q414" t="s">
        <v>344</v>
      </c>
    </row>
    <row r="415" spans="2:17" x14ac:dyDescent="0.3">
      <c r="B415" t="s">
        <v>45</v>
      </c>
      <c r="C415" t="s">
        <v>99</v>
      </c>
      <c r="D415" s="22" t="str">
        <f t="shared" si="30"/>
        <v>2023-12-28</v>
      </c>
      <c r="E415" s="22" t="str">
        <f t="shared" si="31"/>
        <v>2023-12-28</v>
      </c>
      <c r="F415" s="22">
        <f t="shared" si="32"/>
        <v>0</v>
      </c>
      <c r="J415" t="str">
        <f t="shared" si="33"/>
        <v>Семенова Ирина ВалерьевнаИванов Илья Артемович</v>
      </c>
      <c r="K415" t="s">
        <v>12</v>
      </c>
      <c r="L415" t="s">
        <v>83</v>
      </c>
      <c r="M415" t="s">
        <v>285</v>
      </c>
      <c r="N415" t="str">
        <f t="shared" si="34"/>
        <v>Сидорова Елена ВасильевнаНовиков Георгий Романович</v>
      </c>
      <c r="O415" t="s">
        <v>18</v>
      </c>
      <c r="P415" t="s">
        <v>270</v>
      </c>
      <c r="Q415" t="s">
        <v>343</v>
      </c>
    </row>
    <row r="416" spans="2:17" x14ac:dyDescent="0.3">
      <c r="B416" t="s">
        <v>45</v>
      </c>
      <c r="C416" t="s">
        <v>318</v>
      </c>
      <c r="D416" s="22" t="str">
        <f t="shared" si="30"/>
        <v>2024-07-15</v>
      </c>
      <c r="E416" s="22" t="str">
        <f t="shared" si="31"/>
        <v>2024-07-17</v>
      </c>
      <c r="F416" s="22">
        <f t="shared" si="32"/>
        <v>2</v>
      </c>
      <c r="J416" t="str">
        <f t="shared" si="33"/>
        <v>Кузнецов Дмитрий ЛьвовичКузнецов Михаил Артемович</v>
      </c>
      <c r="K416" t="s">
        <v>10</v>
      </c>
      <c r="L416" t="s">
        <v>67</v>
      </c>
      <c r="M416" t="s">
        <v>285</v>
      </c>
      <c r="N416" t="str">
        <f t="shared" si="34"/>
        <v>Кузнецов Дмитрий ЛьвовичПетров Александр Александрович</v>
      </c>
      <c r="O416" t="s">
        <v>10</v>
      </c>
      <c r="P416" t="s">
        <v>208</v>
      </c>
      <c r="Q416" t="s">
        <v>343</v>
      </c>
    </row>
    <row r="417" spans="2:17" x14ac:dyDescent="0.3">
      <c r="B417" t="s">
        <v>45</v>
      </c>
      <c r="C417" t="s">
        <v>165</v>
      </c>
      <c r="D417" s="22" t="str">
        <f t="shared" si="30"/>
        <v>2024-05-28</v>
      </c>
      <c r="E417" s="22" t="str">
        <f t="shared" si="31"/>
        <v>2024-08-02</v>
      </c>
      <c r="F417" s="22">
        <f t="shared" si="32"/>
        <v>66</v>
      </c>
      <c r="J417" t="str">
        <f t="shared" si="33"/>
        <v>Орлов Павел ДенисовичНовикова Ирина Геннадьевна</v>
      </c>
      <c r="K417" t="s">
        <v>45</v>
      </c>
      <c r="L417" t="s">
        <v>105</v>
      </c>
      <c r="M417" t="s">
        <v>285</v>
      </c>
      <c r="N417" t="str">
        <f t="shared" si="34"/>
        <v>Орлов Павел ДенисовичЛебедев Никита Сергеевич</v>
      </c>
      <c r="O417" t="s">
        <v>45</v>
      </c>
      <c r="P417" t="s">
        <v>156</v>
      </c>
      <c r="Q417" t="s">
        <v>343</v>
      </c>
    </row>
    <row r="418" spans="2:17" x14ac:dyDescent="0.3">
      <c r="B418" t="s">
        <v>45</v>
      </c>
      <c r="C418" t="s">
        <v>332</v>
      </c>
      <c r="D418" s="22" t="str">
        <f t="shared" si="30"/>
        <v>2024-03-18</v>
      </c>
      <c r="E418" s="22" t="str">
        <f t="shared" si="31"/>
        <v>2024-03-18</v>
      </c>
      <c r="F418" s="22">
        <f t="shared" si="32"/>
        <v>0</v>
      </c>
      <c r="J418" t="str">
        <f t="shared" si="33"/>
        <v>Петров Владимир КирилловичКозлов Роман Сергеевич</v>
      </c>
      <c r="K418" t="s">
        <v>50</v>
      </c>
      <c r="L418" t="s">
        <v>209</v>
      </c>
      <c r="M418" t="s">
        <v>286</v>
      </c>
      <c r="N418" t="str">
        <f t="shared" si="34"/>
        <v>Яковлев Артем ИгоревичСтепанов Александр Станиславович</v>
      </c>
      <c r="O418" t="s">
        <v>8</v>
      </c>
      <c r="P418" t="s">
        <v>122</v>
      </c>
      <c r="Q418" t="s">
        <v>343</v>
      </c>
    </row>
    <row r="419" spans="2:17" x14ac:dyDescent="0.3">
      <c r="B419" t="s">
        <v>45</v>
      </c>
      <c r="C419" t="s">
        <v>117</v>
      </c>
      <c r="D419" s="22" t="str">
        <f t="shared" si="30"/>
        <v>2023-11-10</v>
      </c>
      <c r="E419" s="22" t="str">
        <f t="shared" si="31"/>
        <v>2023-11-10</v>
      </c>
      <c r="F419" s="22">
        <f t="shared" si="32"/>
        <v>0</v>
      </c>
      <c r="J419" t="str">
        <f t="shared" si="33"/>
        <v>Петров Владимир КирилловичВасильев Никита Павлович</v>
      </c>
      <c r="K419" t="s">
        <v>50</v>
      </c>
      <c r="L419" t="s">
        <v>89</v>
      </c>
      <c r="M419" t="s">
        <v>286</v>
      </c>
      <c r="N419" t="str">
        <f t="shared" si="34"/>
        <v>Яковлев Артем ИгоревичСеменова Полина Артемовна</v>
      </c>
      <c r="O419" t="s">
        <v>8</v>
      </c>
      <c r="P419" t="s">
        <v>119</v>
      </c>
      <c r="Q419" t="s">
        <v>343</v>
      </c>
    </row>
    <row r="420" spans="2:17" x14ac:dyDescent="0.3">
      <c r="B420" t="s">
        <v>45</v>
      </c>
      <c r="C420" t="s">
        <v>122</v>
      </c>
      <c r="D420" s="22" t="str">
        <f t="shared" si="30"/>
        <v>2024-06-10</v>
      </c>
      <c r="E420" s="22" t="str">
        <f t="shared" si="31"/>
        <v>2024-06-10</v>
      </c>
      <c r="F420" s="22">
        <f t="shared" si="32"/>
        <v>0</v>
      </c>
      <c r="J420" t="str">
        <f t="shared" si="33"/>
        <v>Кузнецов Дмитрий ЛьвовичНовиков Иван Андреевич</v>
      </c>
      <c r="K420" t="s">
        <v>10</v>
      </c>
      <c r="L420" t="s">
        <v>81</v>
      </c>
      <c r="M420" t="s">
        <v>287</v>
      </c>
      <c r="N420" t="str">
        <f t="shared" si="34"/>
        <v>Кузнецов Дмитрий ЛьвовичКузнецова Мария Юрьевна</v>
      </c>
      <c r="O420" t="s">
        <v>10</v>
      </c>
      <c r="P420" t="s">
        <v>22</v>
      </c>
      <c r="Q420" t="s">
        <v>343</v>
      </c>
    </row>
    <row r="421" spans="2:17" x14ac:dyDescent="0.3">
      <c r="B421" t="s">
        <v>45</v>
      </c>
      <c r="C421" t="s">
        <v>311</v>
      </c>
      <c r="D421" s="22" t="str">
        <f t="shared" si="30"/>
        <v>2024-02-19</v>
      </c>
      <c r="E421" s="22" t="str">
        <f t="shared" si="31"/>
        <v>2024-02-19</v>
      </c>
      <c r="F421" s="22">
        <f t="shared" si="32"/>
        <v>0</v>
      </c>
      <c r="J421" t="str">
        <f t="shared" si="33"/>
        <v>Белов Алексей КонстантиновичПопова Полина Алексеевна</v>
      </c>
      <c r="K421" t="s">
        <v>21</v>
      </c>
      <c r="L421" t="s">
        <v>256</v>
      </c>
      <c r="M421" t="s">
        <v>288</v>
      </c>
      <c r="N421" t="str">
        <f t="shared" si="34"/>
        <v>Новикова Ольга ПетровнаНиколаева Юлия Егоровна</v>
      </c>
      <c r="O421" t="s">
        <v>47</v>
      </c>
      <c r="P421" t="s">
        <v>126</v>
      </c>
      <c r="Q421" t="s">
        <v>343</v>
      </c>
    </row>
    <row r="422" spans="2:17" x14ac:dyDescent="0.3">
      <c r="B422" t="s">
        <v>45</v>
      </c>
      <c r="C422" t="s">
        <v>35</v>
      </c>
      <c r="D422" s="22" t="str">
        <f t="shared" si="30"/>
        <v>2024-06-03</v>
      </c>
      <c r="E422" s="22" t="str">
        <f t="shared" si="31"/>
        <v>2024-06-03</v>
      </c>
      <c r="F422" s="22">
        <f t="shared" si="32"/>
        <v>0</v>
      </c>
      <c r="J422" t="str">
        <f t="shared" si="33"/>
        <v>Петров Владимир КирилловичЛебедев Дмитрий Викторович</v>
      </c>
      <c r="K422" t="s">
        <v>50</v>
      </c>
      <c r="L422" t="s">
        <v>85</v>
      </c>
      <c r="M422" t="s">
        <v>288</v>
      </c>
      <c r="N422" t="str">
        <f t="shared" si="34"/>
        <v>Белов Алексей КонстантиновичСмирнов Павел Геннадьевич</v>
      </c>
      <c r="O422" t="s">
        <v>21</v>
      </c>
      <c r="P422" t="s">
        <v>56</v>
      </c>
      <c r="Q422" t="s">
        <v>343</v>
      </c>
    </row>
    <row r="423" spans="2:17" x14ac:dyDescent="0.3">
      <c r="B423" t="s">
        <v>45</v>
      </c>
      <c r="C423" t="s">
        <v>217</v>
      </c>
      <c r="D423" s="22" t="str">
        <f t="shared" si="30"/>
        <v>2023-11-27</v>
      </c>
      <c r="E423" s="22" t="str">
        <f t="shared" si="31"/>
        <v>2023-11-27</v>
      </c>
      <c r="F423" s="22">
        <f t="shared" si="32"/>
        <v>0</v>
      </c>
      <c r="J423" t="str">
        <f t="shared" si="33"/>
        <v>Громова Мария ИльиничнаМорозов Артем Александрович</v>
      </c>
      <c r="K423" t="s">
        <v>14</v>
      </c>
      <c r="L423" t="s">
        <v>289</v>
      </c>
      <c r="M423" t="s">
        <v>288</v>
      </c>
      <c r="N423" t="str">
        <f t="shared" si="34"/>
        <v>Петров Владимир КирилловичЛебедева Полина Ивановна</v>
      </c>
      <c r="O423" t="s">
        <v>50</v>
      </c>
      <c r="P423" t="s">
        <v>19</v>
      </c>
      <c r="Q423" t="s">
        <v>343</v>
      </c>
    </row>
    <row r="424" spans="2:17" x14ac:dyDescent="0.3">
      <c r="B424" t="s">
        <v>45</v>
      </c>
      <c r="C424" t="s">
        <v>100</v>
      </c>
      <c r="D424" s="22" t="str">
        <f t="shared" si="30"/>
        <v>2024-04-17</v>
      </c>
      <c r="E424" s="22" t="str">
        <f t="shared" si="31"/>
        <v>2024-04-17</v>
      </c>
      <c r="F424" s="22">
        <f t="shared" si="32"/>
        <v>0</v>
      </c>
      <c r="J424" t="str">
        <f t="shared" si="33"/>
        <v>Ткаченко Андрей ОлеговичОрлов Матвей Алексеевич</v>
      </c>
      <c r="K424" t="s">
        <v>5</v>
      </c>
      <c r="L424" t="s">
        <v>116</v>
      </c>
      <c r="M424" t="s">
        <v>288</v>
      </c>
      <c r="N424" t="str">
        <f t="shared" si="34"/>
        <v>Петров Владимир КирилловичЕгорова Ирина Павловна</v>
      </c>
      <c r="O424" t="s">
        <v>50</v>
      </c>
      <c r="P424" t="s">
        <v>63</v>
      </c>
      <c r="Q424" t="s">
        <v>343</v>
      </c>
    </row>
    <row r="425" spans="2:17" x14ac:dyDescent="0.3">
      <c r="B425" t="s">
        <v>45</v>
      </c>
      <c r="C425" t="s">
        <v>192</v>
      </c>
      <c r="D425" s="22" t="str">
        <f t="shared" si="30"/>
        <v>2024-06-04</v>
      </c>
      <c r="E425" s="22" t="str">
        <f t="shared" si="31"/>
        <v>2024-06-04</v>
      </c>
      <c r="F425" s="22">
        <f t="shared" si="32"/>
        <v>0</v>
      </c>
      <c r="J425" t="str">
        <f t="shared" si="33"/>
        <v>Орлов Павел ДенисовичОрлова Полина Олеговна</v>
      </c>
      <c r="K425" t="s">
        <v>45</v>
      </c>
      <c r="L425" t="s">
        <v>101</v>
      </c>
      <c r="M425" t="s">
        <v>288</v>
      </c>
      <c r="N425" t="str">
        <f t="shared" si="34"/>
        <v>Кузнецов Дмитрий ЛьвовичМорозова Валерия Ильинична</v>
      </c>
      <c r="O425" t="s">
        <v>10</v>
      </c>
      <c r="P425" t="s">
        <v>174</v>
      </c>
      <c r="Q425" t="s">
        <v>343</v>
      </c>
    </row>
    <row r="426" spans="2:17" x14ac:dyDescent="0.3">
      <c r="B426" t="s">
        <v>45</v>
      </c>
      <c r="C426" t="s">
        <v>199</v>
      </c>
      <c r="D426" s="22" t="str">
        <f t="shared" si="30"/>
        <v>2024-01-23</v>
      </c>
      <c r="E426" s="22" t="str">
        <f t="shared" si="31"/>
        <v>2024-06-05</v>
      </c>
      <c r="F426" s="22">
        <f t="shared" si="32"/>
        <v>134</v>
      </c>
      <c r="J426" t="str">
        <f t="shared" si="33"/>
        <v>Петров Владимир КирилловичОрлова Дарья Кирилловна</v>
      </c>
      <c r="K426" t="s">
        <v>50</v>
      </c>
      <c r="L426" t="s">
        <v>290</v>
      </c>
      <c r="M426" t="s">
        <v>288</v>
      </c>
      <c r="N426" t="str">
        <f t="shared" si="34"/>
        <v>Иванова Анна СергеевнаНиколаева София Геннадьевна</v>
      </c>
      <c r="O426" t="s">
        <v>28</v>
      </c>
      <c r="P426" t="s">
        <v>315</v>
      </c>
      <c r="Q426" t="s">
        <v>342</v>
      </c>
    </row>
    <row r="427" spans="2:17" x14ac:dyDescent="0.3">
      <c r="B427" t="s">
        <v>45</v>
      </c>
      <c r="C427" t="s">
        <v>87</v>
      </c>
      <c r="D427" s="22" t="str">
        <f t="shared" si="30"/>
        <v>2023-09-21</v>
      </c>
      <c r="E427" s="22" t="str">
        <f t="shared" si="31"/>
        <v>2023-09-21</v>
      </c>
      <c r="F427" s="22">
        <f t="shared" si="32"/>
        <v>0</v>
      </c>
      <c r="J427" t="str">
        <f t="shared" si="33"/>
        <v>Новикова Ольга ПетровнаКозлов Роман Владимирович</v>
      </c>
      <c r="K427" t="s">
        <v>47</v>
      </c>
      <c r="L427" t="s">
        <v>279</v>
      </c>
      <c r="M427" t="s">
        <v>288</v>
      </c>
      <c r="N427" t="str">
        <f t="shared" si="34"/>
        <v>Ткаченко Андрей ОлеговичКузнецов Иван Ильич</v>
      </c>
      <c r="O427" t="s">
        <v>5</v>
      </c>
      <c r="P427" t="s">
        <v>178</v>
      </c>
      <c r="Q427" t="s">
        <v>341</v>
      </c>
    </row>
    <row r="428" spans="2:17" x14ac:dyDescent="0.3">
      <c r="B428" t="s">
        <v>50</v>
      </c>
      <c r="C428" t="s">
        <v>305</v>
      </c>
      <c r="D428" s="22" t="str">
        <f t="shared" si="30"/>
        <v>2024-06-17</v>
      </c>
      <c r="E428" s="22" t="str">
        <f t="shared" si="31"/>
        <v>2024-06-17</v>
      </c>
      <c r="F428" s="22">
        <f t="shared" si="32"/>
        <v>0</v>
      </c>
      <c r="J428" t="str">
        <f t="shared" si="33"/>
        <v>Сидорова Елена ВасильевнаВасильев Константин Геннадьевич</v>
      </c>
      <c r="K428" t="s">
        <v>18</v>
      </c>
      <c r="L428" t="s">
        <v>221</v>
      </c>
      <c r="M428" t="s">
        <v>288</v>
      </c>
      <c r="N428" t="str">
        <f t="shared" si="34"/>
        <v>Петров Владимир КирилловичАлексеева Светлана Станиславовна</v>
      </c>
      <c r="O428" t="s">
        <v>50</v>
      </c>
      <c r="P428" t="s">
        <v>71</v>
      </c>
      <c r="Q428" t="s">
        <v>341</v>
      </c>
    </row>
    <row r="429" spans="2:17" x14ac:dyDescent="0.3">
      <c r="B429" t="s">
        <v>50</v>
      </c>
      <c r="C429" t="s">
        <v>71</v>
      </c>
      <c r="D429" s="22" t="str">
        <f t="shared" si="30"/>
        <v>2024-03-28</v>
      </c>
      <c r="E429" s="22" t="str">
        <f t="shared" si="31"/>
        <v>2024-03-28</v>
      </c>
      <c r="F429" s="22">
        <f t="shared" si="32"/>
        <v>0</v>
      </c>
      <c r="J429" t="str">
        <f t="shared" si="33"/>
        <v>Новикова Ольга ПетровнаСтепанов Егор Павлович</v>
      </c>
      <c r="K429" t="s">
        <v>47</v>
      </c>
      <c r="L429" t="s">
        <v>291</v>
      </c>
      <c r="M429" t="s">
        <v>288</v>
      </c>
      <c r="N429" t="str">
        <f t="shared" si="34"/>
        <v>Фролов Сергей ВикторовичИванов Дмитрий Павлович</v>
      </c>
      <c r="O429" t="s">
        <v>40</v>
      </c>
      <c r="P429" t="s">
        <v>124</v>
      </c>
      <c r="Q429" t="s">
        <v>341</v>
      </c>
    </row>
    <row r="430" spans="2:17" x14ac:dyDescent="0.3">
      <c r="B430" t="s">
        <v>50</v>
      </c>
      <c r="C430" t="s">
        <v>89</v>
      </c>
      <c r="D430" s="22" t="str">
        <f t="shared" si="30"/>
        <v>2024-01-25</v>
      </c>
      <c r="E430" s="22" t="str">
        <f t="shared" si="31"/>
        <v>2024-01-25</v>
      </c>
      <c r="F430" s="22">
        <f t="shared" si="32"/>
        <v>0</v>
      </c>
      <c r="J430" t="str">
        <f t="shared" si="33"/>
        <v>Фролов Сергей ВикторовичВолков Александр Юрьевич</v>
      </c>
      <c r="K430" t="s">
        <v>40</v>
      </c>
      <c r="L430" t="s">
        <v>103</v>
      </c>
      <c r="M430" t="s">
        <v>292</v>
      </c>
      <c r="N430" t="str">
        <f t="shared" si="34"/>
        <v>Орлов Павел ДенисовичНиколаев Роман Викторович</v>
      </c>
      <c r="O430" t="s">
        <v>45</v>
      </c>
      <c r="P430" t="s">
        <v>227</v>
      </c>
      <c r="Q430" t="s">
        <v>341</v>
      </c>
    </row>
    <row r="431" spans="2:17" x14ac:dyDescent="0.3">
      <c r="B431" t="s">
        <v>50</v>
      </c>
      <c r="C431" t="s">
        <v>412</v>
      </c>
      <c r="D431" s="22" t="str">
        <f t="shared" si="30"/>
        <v>2024-06-26</v>
      </c>
      <c r="E431" s="22" t="str">
        <f t="shared" si="31"/>
        <v>2024-06-26</v>
      </c>
      <c r="F431" s="22">
        <f t="shared" si="32"/>
        <v>0</v>
      </c>
      <c r="J431" t="str">
        <f t="shared" si="33"/>
        <v>Громова Мария ИльиничнаКузнецов Дмитрий Павлович</v>
      </c>
      <c r="K431" t="s">
        <v>14</v>
      </c>
      <c r="L431" t="s">
        <v>186</v>
      </c>
      <c r="M431" t="s">
        <v>292</v>
      </c>
      <c r="N431" t="str">
        <f t="shared" si="34"/>
        <v>Сидорова Елена ВасильевнаСмирнова Алиса Сергеевна</v>
      </c>
      <c r="O431" t="s">
        <v>18</v>
      </c>
      <c r="P431" t="s">
        <v>117</v>
      </c>
      <c r="Q431" t="s">
        <v>341</v>
      </c>
    </row>
    <row r="432" spans="2:17" x14ac:dyDescent="0.3">
      <c r="B432" t="s">
        <v>50</v>
      </c>
      <c r="C432" t="s">
        <v>103</v>
      </c>
      <c r="D432" s="22" t="str">
        <f t="shared" si="30"/>
        <v>2024-07-22</v>
      </c>
      <c r="E432" s="22" t="str">
        <f t="shared" si="31"/>
        <v>2024-07-22</v>
      </c>
      <c r="F432" s="22">
        <f t="shared" si="32"/>
        <v>0</v>
      </c>
      <c r="J432" t="str">
        <f t="shared" si="33"/>
        <v>Ткаченко Андрей ОлеговичСидорова Мария Павловна</v>
      </c>
      <c r="K432" t="s">
        <v>5</v>
      </c>
      <c r="L432" t="s">
        <v>65</v>
      </c>
      <c r="M432" t="s">
        <v>292</v>
      </c>
      <c r="N432" t="str">
        <f t="shared" si="34"/>
        <v>Белов Алексей КонстантиновичСеменов Дмитрий Олегович</v>
      </c>
      <c r="O432" t="s">
        <v>21</v>
      </c>
      <c r="P432" t="s">
        <v>9</v>
      </c>
      <c r="Q432" t="s">
        <v>340</v>
      </c>
    </row>
    <row r="433" spans="2:17" x14ac:dyDescent="0.3">
      <c r="B433" t="s">
        <v>50</v>
      </c>
      <c r="C433" t="s">
        <v>300</v>
      </c>
      <c r="D433" s="22" t="str">
        <f t="shared" si="30"/>
        <v>2024-02-07</v>
      </c>
      <c r="E433" s="22" t="str">
        <f t="shared" si="31"/>
        <v>2024-02-07</v>
      </c>
      <c r="F433" s="22">
        <f t="shared" si="32"/>
        <v>0</v>
      </c>
      <c r="J433" t="str">
        <f t="shared" si="33"/>
        <v>Семенова Ирина ВалерьевнаЛебедева Полина Ивановна</v>
      </c>
      <c r="K433" t="s">
        <v>12</v>
      </c>
      <c r="L433" t="s">
        <v>19</v>
      </c>
      <c r="M433" t="s">
        <v>292</v>
      </c>
      <c r="N433" t="str">
        <f t="shared" si="34"/>
        <v>Яковлев Артем ИгоревичЕгоров Артем Никитич</v>
      </c>
      <c r="O433" t="s">
        <v>8</v>
      </c>
      <c r="P433" t="s">
        <v>25</v>
      </c>
      <c r="Q433" t="s">
        <v>339</v>
      </c>
    </row>
    <row r="434" spans="2:17" x14ac:dyDescent="0.3">
      <c r="B434" t="s">
        <v>50</v>
      </c>
      <c r="C434" t="s">
        <v>150</v>
      </c>
      <c r="D434" s="22" t="str">
        <f t="shared" si="30"/>
        <v>2023-12-01</v>
      </c>
      <c r="E434" s="22" t="str">
        <f t="shared" si="31"/>
        <v>2024-05-17</v>
      </c>
      <c r="F434" s="22">
        <f t="shared" si="32"/>
        <v>168</v>
      </c>
      <c r="J434" t="str">
        <f t="shared" si="33"/>
        <v>Громова Мария ИльиничнаНиколаев Роман Викторович</v>
      </c>
      <c r="K434" t="s">
        <v>14</v>
      </c>
      <c r="L434" t="s">
        <v>227</v>
      </c>
      <c r="M434" t="s">
        <v>293</v>
      </c>
      <c r="N434" t="str">
        <f t="shared" si="34"/>
        <v>Иванова Анна СергеевнаЛебедева Юлия Олеговна</v>
      </c>
      <c r="O434" t="s">
        <v>28</v>
      </c>
      <c r="P434" t="s">
        <v>312</v>
      </c>
      <c r="Q434" t="s">
        <v>339</v>
      </c>
    </row>
    <row r="435" spans="2:17" x14ac:dyDescent="0.3">
      <c r="B435" t="s">
        <v>50</v>
      </c>
      <c r="C435" t="s">
        <v>238</v>
      </c>
      <c r="D435" s="22" t="str">
        <f t="shared" si="30"/>
        <v>2024-08-02</v>
      </c>
      <c r="E435" s="22" t="str">
        <f t="shared" si="31"/>
        <v>2024-08-02</v>
      </c>
      <c r="F435" s="22">
        <f t="shared" si="32"/>
        <v>0</v>
      </c>
      <c r="J435" t="str">
        <f t="shared" si="33"/>
        <v>Громова Мария ИльиничнаОрлова Юлия Алексеевна</v>
      </c>
      <c r="K435" t="s">
        <v>14</v>
      </c>
      <c r="L435" t="s">
        <v>171</v>
      </c>
      <c r="M435" t="s">
        <v>293</v>
      </c>
      <c r="N435" t="str">
        <f t="shared" si="34"/>
        <v>Фролов Сергей ВикторовичПавлов Алексей Геннадьевич</v>
      </c>
      <c r="O435" t="s">
        <v>40</v>
      </c>
      <c r="P435" t="s">
        <v>191</v>
      </c>
      <c r="Q435" t="s">
        <v>339</v>
      </c>
    </row>
    <row r="436" spans="2:17" x14ac:dyDescent="0.3">
      <c r="B436" t="s">
        <v>50</v>
      </c>
      <c r="C436" t="s">
        <v>63</v>
      </c>
      <c r="D436" s="22" t="str">
        <f t="shared" si="30"/>
        <v>2024-04-01</v>
      </c>
      <c r="E436" s="22" t="str">
        <f t="shared" si="31"/>
        <v>2024-04-01</v>
      </c>
      <c r="F436" s="22">
        <f t="shared" si="32"/>
        <v>0</v>
      </c>
      <c r="J436" t="str">
        <f t="shared" si="33"/>
        <v>Семенова Ирина ВалерьевнаНовикова Ирина Геннадьевна</v>
      </c>
      <c r="K436" t="s">
        <v>12</v>
      </c>
      <c r="L436" t="s">
        <v>105</v>
      </c>
      <c r="M436" t="s">
        <v>293</v>
      </c>
      <c r="N436" t="str">
        <f t="shared" si="34"/>
        <v>Яковлев Артем ИгоревичМорозов Андрей Никитич</v>
      </c>
      <c r="O436" t="s">
        <v>8</v>
      </c>
      <c r="P436" t="s">
        <v>147</v>
      </c>
      <c r="Q436" t="s">
        <v>337</v>
      </c>
    </row>
    <row r="437" spans="2:17" x14ac:dyDescent="0.3">
      <c r="B437" t="s">
        <v>50</v>
      </c>
      <c r="C437" t="s">
        <v>251</v>
      </c>
      <c r="D437" s="22" t="str">
        <f t="shared" si="30"/>
        <v>2023-12-25</v>
      </c>
      <c r="E437" s="22" t="str">
        <f t="shared" si="31"/>
        <v>2023-12-25</v>
      </c>
      <c r="F437" s="22">
        <f t="shared" si="32"/>
        <v>0</v>
      </c>
      <c r="J437" t="str">
        <f t="shared" si="33"/>
        <v>Яковлев Артем ИгоревичНиколаева Полина Егоровна</v>
      </c>
      <c r="K437" t="s">
        <v>8</v>
      </c>
      <c r="L437" t="s">
        <v>193</v>
      </c>
      <c r="M437" t="s">
        <v>293</v>
      </c>
      <c r="N437" t="str">
        <f t="shared" si="34"/>
        <v>Громова Мария ИльиничнаАлексеева Елена Кирилловна</v>
      </c>
      <c r="O437" t="s">
        <v>14</v>
      </c>
      <c r="P437" t="s">
        <v>176</v>
      </c>
      <c r="Q437" t="s">
        <v>337</v>
      </c>
    </row>
    <row r="438" spans="2:17" x14ac:dyDescent="0.3">
      <c r="B438" t="s">
        <v>50</v>
      </c>
      <c r="C438" t="s">
        <v>13</v>
      </c>
      <c r="D438" s="22" t="str">
        <f t="shared" si="30"/>
        <v>2024-02-26</v>
      </c>
      <c r="E438" s="22" t="str">
        <f t="shared" si="31"/>
        <v>2024-08-19</v>
      </c>
      <c r="F438" s="22">
        <f t="shared" si="32"/>
        <v>175</v>
      </c>
      <c r="J438" t="str">
        <f t="shared" si="33"/>
        <v>Сидорова Елена ВасильевнаВасильев Константин Геннадьевич</v>
      </c>
      <c r="K438" t="s">
        <v>18</v>
      </c>
      <c r="L438" t="s">
        <v>221</v>
      </c>
      <c r="M438" t="s">
        <v>294</v>
      </c>
      <c r="N438" t="str">
        <f t="shared" si="34"/>
        <v>Кузнецов Дмитрий ЛьвовичКузнецова Полина Романовна</v>
      </c>
      <c r="O438" t="s">
        <v>10</v>
      </c>
      <c r="P438" t="s">
        <v>17</v>
      </c>
      <c r="Q438" t="s">
        <v>337</v>
      </c>
    </row>
    <row r="439" spans="2:17" x14ac:dyDescent="0.3">
      <c r="B439" t="s">
        <v>50</v>
      </c>
      <c r="C439" t="s">
        <v>37</v>
      </c>
      <c r="D439" s="22" t="str">
        <f t="shared" si="30"/>
        <v>2023-10-13</v>
      </c>
      <c r="E439" s="22" t="str">
        <f t="shared" si="31"/>
        <v>2023-10-13</v>
      </c>
      <c r="F439" s="22">
        <f t="shared" si="32"/>
        <v>0</v>
      </c>
      <c r="J439" t="str">
        <f t="shared" si="33"/>
        <v>Белов Алексей КонстантиновичЕгорова Наталья Дмитриевна</v>
      </c>
      <c r="K439" t="s">
        <v>21</v>
      </c>
      <c r="L439" t="s">
        <v>251</v>
      </c>
      <c r="M439" t="s">
        <v>294</v>
      </c>
      <c r="N439" t="str">
        <f t="shared" si="34"/>
        <v>Сидорова Елена ВасильевнаСтепанова Полина Артемовна</v>
      </c>
      <c r="O439" t="s">
        <v>18</v>
      </c>
      <c r="P439" t="s">
        <v>35</v>
      </c>
      <c r="Q439" t="s">
        <v>337</v>
      </c>
    </row>
    <row r="440" spans="2:17" x14ac:dyDescent="0.3">
      <c r="B440" t="s">
        <v>50</v>
      </c>
      <c r="C440" t="s">
        <v>124</v>
      </c>
      <c r="D440" s="22" t="str">
        <f t="shared" si="30"/>
        <v>2024-02-15</v>
      </c>
      <c r="E440" s="22" t="str">
        <f t="shared" si="31"/>
        <v>2024-07-03</v>
      </c>
      <c r="F440" s="22">
        <f t="shared" si="32"/>
        <v>139</v>
      </c>
      <c r="J440" t="str">
        <f t="shared" si="33"/>
        <v>Семенова Ирина ВалерьевнаЛебедев Артем Кириллович</v>
      </c>
      <c r="K440" t="s">
        <v>12</v>
      </c>
      <c r="L440" t="s">
        <v>49</v>
      </c>
      <c r="M440" t="s">
        <v>294</v>
      </c>
      <c r="N440" t="str">
        <f t="shared" si="34"/>
        <v>Громова Мария ИльиничнаЕгоров Константин Ильич</v>
      </c>
      <c r="O440" t="s">
        <v>14</v>
      </c>
      <c r="P440" t="s">
        <v>136</v>
      </c>
      <c r="Q440" t="s">
        <v>337</v>
      </c>
    </row>
    <row r="441" spans="2:17" x14ac:dyDescent="0.3">
      <c r="B441" t="s">
        <v>50</v>
      </c>
      <c r="C441" t="s">
        <v>83</v>
      </c>
      <c r="D441" s="22" t="str">
        <f t="shared" si="30"/>
        <v>2023-11-21</v>
      </c>
      <c r="E441" s="22" t="str">
        <f t="shared" si="31"/>
        <v>2023-11-21</v>
      </c>
      <c r="F441" s="22">
        <f t="shared" si="32"/>
        <v>0</v>
      </c>
      <c r="J441" t="str">
        <f t="shared" si="33"/>
        <v>Семенова Ирина ВалерьевнаСмирнов Георгий Ильич</v>
      </c>
      <c r="K441" t="s">
        <v>12</v>
      </c>
      <c r="L441" t="s">
        <v>162</v>
      </c>
      <c r="M441" t="s">
        <v>294</v>
      </c>
      <c r="N441" t="str">
        <f t="shared" si="34"/>
        <v>Петров Владимир КирилловичСтепанова Мария Ильинична</v>
      </c>
      <c r="O441" t="s">
        <v>50</v>
      </c>
      <c r="P441" t="s">
        <v>338</v>
      </c>
      <c r="Q441" t="s">
        <v>337</v>
      </c>
    </row>
    <row r="442" spans="2:17" x14ac:dyDescent="0.3">
      <c r="B442" t="s">
        <v>50</v>
      </c>
      <c r="C442" t="s">
        <v>284</v>
      </c>
      <c r="D442" s="22" t="str">
        <f t="shared" si="30"/>
        <v>2024-01-23</v>
      </c>
      <c r="E442" s="22" t="str">
        <f t="shared" si="31"/>
        <v>2024-01-23</v>
      </c>
      <c r="F442" s="22">
        <f t="shared" si="32"/>
        <v>0</v>
      </c>
      <c r="J442" t="str">
        <f t="shared" si="33"/>
        <v>Новикова Ольга ПетровнаПетров Павел Кириллович</v>
      </c>
      <c r="K442" t="s">
        <v>47</v>
      </c>
      <c r="L442" t="s">
        <v>78</v>
      </c>
      <c r="M442" t="s">
        <v>294</v>
      </c>
      <c r="N442" t="str">
        <f t="shared" si="34"/>
        <v>Сидорова Елена ВасильевнаКузнецов Илья Артемович</v>
      </c>
      <c r="O442" t="s">
        <v>18</v>
      </c>
      <c r="P442" t="s">
        <v>185</v>
      </c>
      <c r="Q442" t="s">
        <v>337</v>
      </c>
    </row>
    <row r="443" spans="2:17" x14ac:dyDescent="0.3">
      <c r="B443" t="s">
        <v>50</v>
      </c>
      <c r="C443" t="s">
        <v>74</v>
      </c>
      <c r="D443" s="22" t="str">
        <f t="shared" si="30"/>
        <v>2024-08-27</v>
      </c>
      <c r="E443" s="22" t="str">
        <f t="shared" si="31"/>
        <v>2024-08-27</v>
      </c>
      <c r="F443" s="22">
        <f t="shared" si="32"/>
        <v>0</v>
      </c>
      <c r="J443" t="str">
        <f t="shared" si="33"/>
        <v>Сидорова Елена ВасильевнаСтепанова Полина Артемовна</v>
      </c>
      <c r="K443" t="s">
        <v>18</v>
      </c>
      <c r="L443" t="s">
        <v>35</v>
      </c>
      <c r="M443" t="s">
        <v>295</v>
      </c>
      <c r="N443" t="str">
        <f t="shared" si="34"/>
        <v>Фролов Сергей ВикторовичСтепанов Михаил Александрович</v>
      </c>
      <c r="O443" t="s">
        <v>40</v>
      </c>
      <c r="P443" t="s">
        <v>311</v>
      </c>
      <c r="Q443" t="s">
        <v>336</v>
      </c>
    </row>
    <row r="444" spans="2:17" x14ac:dyDescent="0.3">
      <c r="B444" t="s">
        <v>50</v>
      </c>
      <c r="C444" t="s">
        <v>279</v>
      </c>
      <c r="D444" s="22" t="str">
        <f t="shared" si="30"/>
        <v>2024-01-19</v>
      </c>
      <c r="E444" s="22" t="str">
        <f t="shared" si="31"/>
        <v>2024-01-19</v>
      </c>
      <c r="F444" s="22">
        <f t="shared" si="32"/>
        <v>0</v>
      </c>
      <c r="J444" t="str">
        <f t="shared" si="33"/>
        <v>Фролов Сергей ВикторовичОрлов Матвей Алексеевич</v>
      </c>
      <c r="K444" t="s">
        <v>40</v>
      </c>
      <c r="L444" t="s">
        <v>116</v>
      </c>
      <c r="M444" t="s">
        <v>295</v>
      </c>
      <c r="N444" t="str">
        <f t="shared" si="34"/>
        <v>Фролов Сергей ВикторовичФедорова Ольга Викторовна</v>
      </c>
      <c r="O444" t="s">
        <v>40</v>
      </c>
      <c r="P444" t="s">
        <v>87</v>
      </c>
      <c r="Q444" t="s">
        <v>336</v>
      </c>
    </row>
    <row r="445" spans="2:17" x14ac:dyDescent="0.3">
      <c r="B445" t="s">
        <v>50</v>
      </c>
      <c r="C445" t="s">
        <v>209</v>
      </c>
      <c r="D445" s="22" t="str">
        <f t="shared" si="30"/>
        <v>2024-01-25</v>
      </c>
      <c r="E445" s="22" t="str">
        <f t="shared" si="31"/>
        <v>2024-01-25</v>
      </c>
      <c r="F445" s="22">
        <f t="shared" si="32"/>
        <v>0</v>
      </c>
      <c r="J445" t="str">
        <f t="shared" si="33"/>
        <v>Кузнецов Дмитрий ЛьвовичНовикова Ирина Геннадьевна</v>
      </c>
      <c r="K445" t="s">
        <v>10</v>
      </c>
      <c r="L445" t="s">
        <v>105</v>
      </c>
      <c r="M445" t="s">
        <v>295</v>
      </c>
      <c r="N445" t="str">
        <f t="shared" si="34"/>
        <v>Новикова Ольга ПетровнаВасильев Михаил Павлович</v>
      </c>
      <c r="O445" t="s">
        <v>47</v>
      </c>
      <c r="P445" t="s">
        <v>200</v>
      </c>
      <c r="Q445" t="s">
        <v>335</v>
      </c>
    </row>
    <row r="446" spans="2:17" x14ac:dyDescent="0.3">
      <c r="B446" t="s">
        <v>50</v>
      </c>
      <c r="C446" t="s">
        <v>54</v>
      </c>
      <c r="D446" s="22" t="str">
        <f t="shared" si="30"/>
        <v>2024-06-27</v>
      </c>
      <c r="E446" s="22" t="str">
        <f t="shared" si="31"/>
        <v>2024-06-27</v>
      </c>
      <c r="F446" s="22">
        <f t="shared" si="32"/>
        <v>0</v>
      </c>
      <c r="J446" t="str">
        <f t="shared" si="33"/>
        <v>Петров Владимир КирилловичСеменов Дмитрий Олегович</v>
      </c>
      <c r="K446" t="s">
        <v>50</v>
      </c>
      <c r="L446" t="s">
        <v>9</v>
      </c>
      <c r="M446" t="s">
        <v>296</v>
      </c>
      <c r="N446" t="str">
        <f t="shared" si="34"/>
        <v>Яковлев Артем ИгоревичСидоров Дмитрий Кириллович</v>
      </c>
      <c r="O446" t="s">
        <v>8</v>
      </c>
      <c r="P446" t="s">
        <v>166</v>
      </c>
      <c r="Q446" t="s">
        <v>335</v>
      </c>
    </row>
    <row r="447" spans="2:17" x14ac:dyDescent="0.3">
      <c r="B447" t="s">
        <v>50</v>
      </c>
      <c r="C447" t="s">
        <v>244</v>
      </c>
      <c r="D447" s="22" t="str">
        <f t="shared" si="30"/>
        <v>2023-12-20</v>
      </c>
      <c r="E447" s="22" t="str">
        <f t="shared" si="31"/>
        <v>2023-12-20</v>
      </c>
      <c r="F447" s="22">
        <f t="shared" si="32"/>
        <v>0</v>
      </c>
      <c r="J447" t="str">
        <f t="shared" si="33"/>
        <v>Ткаченко Андрей ОлеговичСеменов Максим Геннадьевич</v>
      </c>
      <c r="K447" t="s">
        <v>5</v>
      </c>
      <c r="L447" t="s">
        <v>111</v>
      </c>
      <c r="M447" t="s">
        <v>296</v>
      </c>
      <c r="N447" t="str">
        <f t="shared" si="34"/>
        <v>Яковлев Артем ИгоревичОрлова Валерия Юрьевна</v>
      </c>
      <c r="O447" t="s">
        <v>8</v>
      </c>
      <c r="P447" t="s">
        <v>258</v>
      </c>
      <c r="Q447" t="s">
        <v>335</v>
      </c>
    </row>
    <row r="448" spans="2:17" x14ac:dyDescent="0.3">
      <c r="B448" t="s">
        <v>50</v>
      </c>
      <c r="C448" t="s">
        <v>252</v>
      </c>
      <c r="D448" s="22" t="str">
        <f t="shared" si="30"/>
        <v>2024-08-02</v>
      </c>
      <c r="E448" s="22" t="str">
        <f t="shared" si="31"/>
        <v>2024-08-02</v>
      </c>
      <c r="F448" s="22">
        <f t="shared" si="32"/>
        <v>0</v>
      </c>
      <c r="J448" t="str">
        <f t="shared" si="33"/>
        <v>Иванова Анна СергеевнаСидорова Елена Кирилловна</v>
      </c>
      <c r="K448" t="s">
        <v>28</v>
      </c>
      <c r="L448" t="s">
        <v>180</v>
      </c>
      <c r="M448" t="s">
        <v>296</v>
      </c>
      <c r="N448" t="str">
        <f t="shared" si="34"/>
        <v>Иванова Анна СергеевнаНиколаева Полина Егоровна</v>
      </c>
      <c r="O448" t="s">
        <v>28</v>
      </c>
      <c r="P448" t="s">
        <v>193</v>
      </c>
      <c r="Q448" t="s">
        <v>334</v>
      </c>
    </row>
    <row r="449" spans="2:17" x14ac:dyDescent="0.3">
      <c r="B449" t="s">
        <v>50</v>
      </c>
      <c r="C449" t="s">
        <v>185</v>
      </c>
      <c r="D449" s="22" t="str">
        <f t="shared" si="30"/>
        <v>2024-01-22</v>
      </c>
      <c r="E449" s="22" t="str">
        <f t="shared" si="31"/>
        <v>2024-01-22</v>
      </c>
      <c r="F449" s="22">
        <f t="shared" si="32"/>
        <v>0</v>
      </c>
      <c r="J449" t="str">
        <f t="shared" si="33"/>
        <v>Новикова Ольга ПетровнаВасильева Людмила Ивановна</v>
      </c>
      <c r="K449" t="s">
        <v>47</v>
      </c>
      <c r="L449" t="s">
        <v>140</v>
      </c>
      <c r="M449" t="s">
        <v>296</v>
      </c>
      <c r="N449" t="str">
        <f t="shared" si="34"/>
        <v>Фролов Сергей ВикторовичЛебедев Иван Павлович</v>
      </c>
      <c r="O449" t="s">
        <v>40</v>
      </c>
      <c r="P449" t="s">
        <v>262</v>
      </c>
      <c r="Q449" t="s">
        <v>334</v>
      </c>
    </row>
    <row r="450" spans="2:17" x14ac:dyDescent="0.3">
      <c r="B450" t="s">
        <v>50</v>
      </c>
      <c r="C450" t="s">
        <v>225</v>
      </c>
      <c r="D450" s="22" t="str">
        <f t="shared" si="30"/>
        <v>2023-12-04</v>
      </c>
      <c r="E450" s="22" t="str">
        <f t="shared" si="31"/>
        <v>2023-12-04</v>
      </c>
      <c r="F450" s="22">
        <f t="shared" si="32"/>
        <v>0</v>
      </c>
      <c r="J450" t="str">
        <f t="shared" si="33"/>
        <v>Белов Алексей КонстантиновичПопов Алексей Кириллович</v>
      </c>
      <c r="K450" t="s">
        <v>21</v>
      </c>
      <c r="L450" t="s">
        <v>92</v>
      </c>
      <c r="M450" t="s">
        <v>296</v>
      </c>
      <c r="N450" t="str">
        <f t="shared" si="34"/>
        <v>Орлов Павел ДенисовичНовиков Михаил Владимирович</v>
      </c>
      <c r="O450" t="s">
        <v>45</v>
      </c>
      <c r="P450" t="s">
        <v>36</v>
      </c>
      <c r="Q450" t="s">
        <v>333</v>
      </c>
    </row>
    <row r="451" spans="2:17" x14ac:dyDescent="0.3">
      <c r="B451" t="s">
        <v>50</v>
      </c>
      <c r="C451" t="s">
        <v>43</v>
      </c>
      <c r="D451" s="22" t="str">
        <f t="shared" ref="D451:D514" si="35">VLOOKUP(B451&amp;C451,J:M,4,0)</f>
        <v>2023-09-26</v>
      </c>
      <c r="E451" s="22" t="str">
        <f t="shared" ref="E451:E514" si="36">VLOOKUP(B451&amp;C451,N:Q,4,0)</f>
        <v>2023-09-26</v>
      </c>
      <c r="F451" s="22">
        <f t="shared" ref="F451:F514" si="37">E451-D451</f>
        <v>0</v>
      </c>
      <c r="J451" t="str">
        <f t="shared" ref="J451:J514" si="38">K451&amp;L451</f>
        <v>Кузнецов Дмитрий ЛьвовичЛебедева Виктория Дмитриевна</v>
      </c>
      <c r="K451" t="s">
        <v>10</v>
      </c>
      <c r="L451" t="s">
        <v>6</v>
      </c>
      <c r="M451" t="s">
        <v>296</v>
      </c>
      <c r="N451" t="str">
        <f t="shared" ref="N451:N514" si="39">O451&amp;P451</f>
        <v>Фролов Сергей ВикторовичЛебедев Илья Станиславович</v>
      </c>
      <c r="O451" t="s">
        <v>40</v>
      </c>
      <c r="P451" t="s">
        <v>51</v>
      </c>
      <c r="Q451" t="s">
        <v>333</v>
      </c>
    </row>
    <row r="452" spans="2:17" x14ac:dyDescent="0.3">
      <c r="B452" t="s">
        <v>50</v>
      </c>
      <c r="C452" t="s">
        <v>276</v>
      </c>
      <c r="D452" s="22" t="str">
        <f t="shared" si="35"/>
        <v>2024-05-13</v>
      </c>
      <c r="E452" s="22" t="str">
        <f t="shared" si="36"/>
        <v>2024-05-13</v>
      </c>
      <c r="F452" s="22">
        <f t="shared" si="37"/>
        <v>0</v>
      </c>
      <c r="J452" t="str">
        <f t="shared" si="38"/>
        <v>Фролов Сергей ВикторовичНовикова Мария Викторовна</v>
      </c>
      <c r="K452" t="s">
        <v>40</v>
      </c>
      <c r="L452" t="s">
        <v>247</v>
      </c>
      <c r="M452" t="s">
        <v>296</v>
      </c>
      <c r="N452" t="str">
        <f t="shared" si="39"/>
        <v>Иванова Анна СергеевнаЛебедев Артем Кириллович</v>
      </c>
      <c r="O452" t="s">
        <v>28</v>
      </c>
      <c r="P452" t="s">
        <v>49</v>
      </c>
      <c r="Q452" t="s">
        <v>331</v>
      </c>
    </row>
    <row r="453" spans="2:17" x14ac:dyDescent="0.3">
      <c r="B453" t="s">
        <v>50</v>
      </c>
      <c r="C453" t="s">
        <v>302</v>
      </c>
      <c r="D453" s="22" t="str">
        <f t="shared" si="35"/>
        <v>2024-04-29</v>
      </c>
      <c r="E453" s="22" t="str">
        <f t="shared" si="36"/>
        <v>2024-04-29</v>
      </c>
      <c r="F453" s="22">
        <f t="shared" si="37"/>
        <v>0</v>
      </c>
      <c r="J453" t="str">
        <f t="shared" si="38"/>
        <v>Громова Мария ИльиничнаВасильев Илья Александрович</v>
      </c>
      <c r="K453" t="s">
        <v>14</v>
      </c>
      <c r="L453" t="s">
        <v>297</v>
      </c>
      <c r="M453" t="s">
        <v>296</v>
      </c>
      <c r="N453" t="str">
        <f t="shared" si="39"/>
        <v>Фролов Сергей ВикторовичПетров Алексей Олегович</v>
      </c>
      <c r="O453" t="s">
        <v>40</v>
      </c>
      <c r="P453" t="s">
        <v>190</v>
      </c>
      <c r="Q453" t="s">
        <v>331</v>
      </c>
    </row>
    <row r="454" spans="2:17" x14ac:dyDescent="0.3">
      <c r="B454" t="s">
        <v>50</v>
      </c>
      <c r="C454" t="s">
        <v>49</v>
      </c>
      <c r="D454" s="22" t="str">
        <f t="shared" si="35"/>
        <v>2024-02-09</v>
      </c>
      <c r="E454" s="22" t="str">
        <f t="shared" si="36"/>
        <v>2024-02-09</v>
      </c>
      <c r="F454" s="22">
        <f t="shared" si="37"/>
        <v>0</v>
      </c>
      <c r="J454" t="str">
        <f t="shared" si="38"/>
        <v>Кузнецов Дмитрий ЛьвовичНиколаева Полина Егоровна</v>
      </c>
      <c r="K454" t="s">
        <v>10</v>
      </c>
      <c r="L454" t="s">
        <v>193</v>
      </c>
      <c r="M454" t="s">
        <v>296</v>
      </c>
      <c r="N454" t="str">
        <f t="shared" si="39"/>
        <v>Громова Мария ИльиничнаВолкова Татьяна Кирилловна</v>
      </c>
      <c r="O454" t="s">
        <v>14</v>
      </c>
      <c r="P454" t="s">
        <v>53</v>
      </c>
      <c r="Q454" t="s">
        <v>331</v>
      </c>
    </row>
    <row r="455" spans="2:17" x14ac:dyDescent="0.3">
      <c r="B455" t="s">
        <v>50</v>
      </c>
      <c r="C455" t="s">
        <v>85</v>
      </c>
      <c r="D455" s="22" t="str">
        <f t="shared" si="35"/>
        <v>2024-01-29</v>
      </c>
      <c r="E455" s="22" t="str">
        <f t="shared" si="36"/>
        <v>2024-05-06</v>
      </c>
      <c r="F455" s="22">
        <f t="shared" si="37"/>
        <v>98</v>
      </c>
      <c r="J455" t="str">
        <f t="shared" si="38"/>
        <v>Белов Алексей КонстантиновичСидорова Мария Павловна</v>
      </c>
      <c r="K455" t="s">
        <v>21</v>
      </c>
      <c r="L455" t="s">
        <v>65</v>
      </c>
      <c r="M455" t="s">
        <v>296</v>
      </c>
      <c r="N455" t="str">
        <f t="shared" si="39"/>
        <v>Орлов Павел ДенисовичСмирнова Алиса Кирилловна</v>
      </c>
      <c r="O455" t="s">
        <v>45</v>
      </c>
      <c r="P455" t="s">
        <v>332</v>
      </c>
      <c r="Q455" t="s">
        <v>331</v>
      </c>
    </row>
    <row r="456" spans="2:17" x14ac:dyDescent="0.3">
      <c r="B456" t="s">
        <v>50</v>
      </c>
      <c r="C456" t="s">
        <v>51</v>
      </c>
      <c r="D456" s="22" t="str">
        <f t="shared" si="35"/>
        <v>2023-09-11</v>
      </c>
      <c r="E456" s="22" t="str">
        <f t="shared" si="36"/>
        <v>2024-02-19</v>
      </c>
      <c r="F456" s="22">
        <f t="shared" si="37"/>
        <v>161</v>
      </c>
      <c r="J456" t="str">
        <f t="shared" si="38"/>
        <v>Иванова Анна СергеевнаСеменова Полина Артемовна</v>
      </c>
      <c r="K456" t="s">
        <v>28</v>
      </c>
      <c r="L456" t="s">
        <v>119</v>
      </c>
      <c r="M456" t="s">
        <v>296</v>
      </c>
      <c r="N456" t="str">
        <f t="shared" si="39"/>
        <v>Петров Владимир КирилловичПавлов Алексей Геннадьевич</v>
      </c>
      <c r="O456" t="s">
        <v>50</v>
      </c>
      <c r="P456" t="s">
        <v>191</v>
      </c>
      <c r="Q456" t="s">
        <v>331</v>
      </c>
    </row>
    <row r="457" spans="2:17" x14ac:dyDescent="0.3">
      <c r="B457" t="s">
        <v>50</v>
      </c>
      <c r="C457" t="s">
        <v>156</v>
      </c>
      <c r="D457" s="22" t="str">
        <f t="shared" si="35"/>
        <v>2024-06-17</v>
      </c>
      <c r="E457" s="22" t="str">
        <f t="shared" si="36"/>
        <v>2024-06-17</v>
      </c>
      <c r="F457" s="22">
        <f t="shared" si="37"/>
        <v>0</v>
      </c>
      <c r="J457" t="str">
        <f t="shared" si="38"/>
        <v>Кузнецов Дмитрий ЛьвовичВасильев Константин Геннадьевич</v>
      </c>
      <c r="K457" t="s">
        <v>10</v>
      </c>
      <c r="L457" t="s">
        <v>221</v>
      </c>
      <c r="M457" t="s">
        <v>298</v>
      </c>
      <c r="N457" t="str">
        <f t="shared" si="39"/>
        <v>Фролов Сергей ВикторовичФедоров Дмитрий Михайлович</v>
      </c>
      <c r="O457" t="s">
        <v>40</v>
      </c>
      <c r="P457" t="s">
        <v>100</v>
      </c>
      <c r="Q457" t="s">
        <v>331</v>
      </c>
    </row>
    <row r="458" spans="2:17" x14ac:dyDescent="0.3">
      <c r="B458" t="s">
        <v>50</v>
      </c>
      <c r="C458" t="s">
        <v>131</v>
      </c>
      <c r="D458" s="22" t="str">
        <f t="shared" si="35"/>
        <v>2023-10-12</v>
      </c>
      <c r="E458" s="22" t="str">
        <f t="shared" si="36"/>
        <v>2023-10-12</v>
      </c>
      <c r="F458" s="22">
        <f t="shared" si="37"/>
        <v>0</v>
      </c>
      <c r="J458" t="str">
        <f t="shared" si="38"/>
        <v>Фролов Сергей ВикторовичВасильев Константин Геннадьевич</v>
      </c>
      <c r="K458" t="s">
        <v>40</v>
      </c>
      <c r="L458" t="s">
        <v>221</v>
      </c>
      <c r="M458" t="s">
        <v>298</v>
      </c>
      <c r="N458" t="str">
        <f t="shared" si="39"/>
        <v>Громова Мария ИльиничнаМорозов Павел Ильич</v>
      </c>
      <c r="O458" t="s">
        <v>14</v>
      </c>
      <c r="P458" t="s">
        <v>146</v>
      </c>
      <c r="Q458" t="s">
        <v>331</v>
      </c>
    </row>
    <row r="459" spans="2:17" x14ac:dyDescent="0.3">
      <c r="B459" t="s">
        <v>50</v>
      </c>
      <c r="C459" t="s">
        <v>19</v>
      </c>
      <c r="D459" s="22" t="str">
        <f t="shared" si="35"/>
        <v>2024-04-01</v>
      </c>
      <c r="E459" s="22" t="str">
        <f t="shared" si="36"/>
        <v>2024-04-01</v>
      </c>
      <c r="F459" s="22">
        <f t="shared" si="37"/>
        <v>0</v>
      </c>
      <c r="J459" t="str">
        <f t="shared" si="38"/>
        <v>Яковлев Артем ИгоревичМорозов Артем Александрович</v>
      </c>
      <c r="K459" t="s">
        <v>8</v>
      </c>
      <c r="L459" t="s">
        <v>289</v>
      </c>
      <c r="M459" t="s">
        <v>299</v>
      </c>
      <c r="N459" t="str">
        <f t="shared" si="39"/>
        <v>Яковлев Артем ИгоревичМорозова Мария Дмитриевна</v>
      </c>
      <c r="O459" t="s">
        <v>8</v>
      </c>
      <c r="P459" t="s">
        <v>84</v>
      </c>
      <c r="Q459" t="s">
        <v>331</v>
      </c>
    </row>
    <row r="460" spans="2:17" x14ac:dyDescent="0.3">
      <c r="B460" t="s">
        <v>50</v>
      </c>
      <c r="C460" t="s">
        <v>146</v>
      </c>
      <c r="D460" s="22" t="str">
        <f t="shared" si="35"/>
        <v>2023-12-11</v>
      </c>
      <c r="E460" s="22" t="str">
        <f t="shared" si="36"/>
        <v>2023-12-11</v>
      </c>
      <c r="F460" s="22">
        <f t="shared" si="37"/>
        <v>0</v>
      </c>
      <c r="J460" t="str">
        <f t="shared" si="38"/>
        <v>Петров Владимир КирилловичВолков Роман Иванович</v>
      </c>
      <c r="K460" t="s">
        <v>50</v>
      </c>
      <c r="L460" t="s">
        <v>300</v>
      </c>
      <c r="M460" t="s">
        <v>299</v>
      </c>
      <c r="N460" t="str">
        <f t="shared" si="39"/>
        <v>Сидорова Елена ВасильевнаЛебедева Анна Викторовна</v>
      </c>
      <c r="O460" t="s">
        <v>18</v>
      </c>
      <c r="P460" t="s">
        <v>48</v>
      </c>
      <c r="Q460" t="s">
        <v>331</v>
      </c>
    </row>
    <row r="461" spans="2:17" x14ac:dyDescent="0.3">
      <c r="B461" t="s">
        <v>50</v>
      </c>
      <c r="C461" t="s">
        <v>174</v>
      </c>
      <c r="D461" s="22" t="str">
        <f t="shared" si="35"/>
        <v>2024-02-15</v>
      </c>
      <c r="E461" s="22" t="str">
        <f t="shared" si="36"/>
        <v>2024-02-15</v>
      </c>
      <c r="F461" s="22">
        <f t="shared" si="37"/>
        <v>0</v>
      </c>
      <c r="J461" t="str">
        <f t="shared" si="38"/>
        <v>Новикова Ольга ПетровнаИванов Александр Павлович</v>
      </c>
      <c r="K461" t="s">
        <v>47</v>
      </c>
      <c r="L461" t="s">
        <v>37</v>
      </c>
      <c r="M461" t="s">
        <v>299</v>
      </c>
      <c r="N461" t="str">
        <f t="shared" si="39"/>
        <v>Фролов Сергей ВикторовичВасильев Михаил Павлович</v>
      </c>
      <c r="O461" t="s">
        <v>40</v>
      </c>
      <c r="P461" t="s">
        <v>200</v>
      </c>
      <c r="Q461" t="s">
        <v>330</v>
      </c>
    </row>
    <row r="462" spans="2:17" x14ac:dyDescent="0.3">
      <c r="B462" t="s">
        <v>50</v>
      </c>
      <c r="C462" t="s">
        <v>84</v>
      </c>
      <c r="D462" s="22" t="str">
        <f t="shared" si="35"/>
        <v>2023-10-26</v>
      </c>
      <c r="E462" s="22" t="str">
        <f t="shared" si="36"/>
        <v>2023-10-26</v>
      </c>
      <c r="F462" s="22">
        <f t="shared" si="37"/>
        <v>0</v>
      </c>
      <c r="J462" t="str">
        <f t="shared" si="38"/>
        <v>Фролов Сергей ВикторовичЕгоров Артем Никитич</v>
      </c>
      <c r="K462" t="s">
        <v>40</v>
      </c>
      <c r="L462" t="s">
        <v>25</v>
      </c>
      <c r="M462" t="s">
        <v>301</v>
      </c>
      <c r="N462" t="str">
        <f t="shared" si="39"/>
        <v>Сидорова Елена ВасильевнаВасильева Людмила Ивановна</v>
      </c>
      <c r="O462" t="s">
        <v>18</v>
      </c>
      <c r="P462" t="s">
        <v>140</v>
      </c>
      <c r="Q462" t="s">
        <v>330</v>
      </c>
    </row>
    <row r="463" spans="2:17" x14ac:dyDescent="0.3">
      <c r="B463" t="s">
        <v>50</v>
      </c>
      <c r="C463" t="s">
        <v>270</v>
      </c>
      <c r="D463" s="22" t="str">
        <f t="shared" si="35"/>
        <v>2024-01-11</v>
      </c>
      <c r="E463" s="22" t="str">
        <f t="shared" si="36"/>
        <v>2024-01-11</v>
      </c>
      <c r="F463" s="22">
        <f t="shared" si="37"/>
        <v>0</v>
      </c>
      <c r="J463" t="str">
        <f t="shared" si="38"/>
        <v>Кузнецов Дмитрий ЛьвовичКузнецова Татьяна Егоровна</v>
      </c>
      <c r="K463" t="s">
        <v>10</v>
      </c>
      <c r="L463" t="s">
        <v>302</v>
      </c>
      <c r="M463" t="s">
        <v>301</v>
      </c>
      <c r="N463" t="str">
        <f t="shared" si="39"/>
        <v>Семенова Ирина ВалерьевнаПавлова Екатерина Егоровна</v>
      </c>
      <c r="O463" t="s">
        <v>12</v>
      </c>
      <c r="P463" t="s">
        <v>141</v>
      </c>
      <c r="Q463" t="s">
        <v>330</v>
      </c>
    </row>
    <row r="464" spans="2:17" x14ac:dyDescent="0.3">
      <c r="B464" t="s">
        <v>50</v>
      </c>
      <c r="C464" t="s">
        <v>205</v>
      </c>
      <c r="D464" s="22" t="str">
        <f t="shared" si="35"/>
        <v>2024-04-16</v>
      </c>
      <c r="E464" s="22" t="str">
        <f t="shared" si="36"/>
        <v>2024-04-16</v>
      </c>
      <c r="F464" s="22">
        <f t="shared" si="37"/>
        <v>0</v>
      </c>
      <c r="J464" t="str">
        <f t="shared" si="38"/>
        <v>Фролов Сергей ВикторовичИванов Александр Павлович</v>
      </c>
      <c r="K464" t="s">
        <v>40</v>
      </c>
      <c r="L464" t="s">
        <v>37</v>
      </c>
      <c r="M464" t="s">
        <v>301</v>
      </c>
      <c r="N464" t="str">
        <f t="shared" si="39"/>
        <v>Новикова Ольга ПетровнаИванов Илья Артемович</v>
      </c>
      <c r="O464" t="s">
        <v>47</v>
      </c>
      <c r="P464" t="s">
        <v>83</v>
      </c>
      <c r="Q464" t="s">
        <v>329</v>
      </c>
    </row>
    <row r="465" spans="2:17" x14ac:dyDescent="0.3">
      <c r="B465" t="s">
        <v>50</v>
      </c>
      <c r="C465" t="s">
        <v>36</v>
      </c>
      <c r="D465" s="22" t="str">
        <f t="shared" si="35"/>
        <v>2023-11-13</v>
      </c>
      <c r="E465" s="22" t="str">
        <f t="shared" si="36"/>
        <v>2024-06-18</v>
      </c>
      <c r="F465" s="22">
        <f t="shared" si="37"/>
        <v>218</v>
      </c>
      <c r="J465" t="str">
        <f t="shared" si="38"/>
        <v>Белов Алексей КонстантиновичСидоров Александр Артемович</v>
      </c>
      <c r="K465" t="s">
        <v>21</v>
      </c>
      <c r="L465" t="s">
        <v>77</v>
      </c>
      <c r="M465" t="s">
        <v>303</v>
      </c>
      <c r="N465" t="str">
        <f t="shared" si="39"/>
        <v>Громова Мария ИльиничнаКузнецов Никита Андреевич</v>
      </c>
      <c r="O465" t="s">
        <v>14</v>
      </c>
      <c r="P465" t="s">
        <v>20</v>
      </c>
      <c r="Q465" t="s">
        <v>329</v>
      </c>
    </row>
    <row r="466" spans="2:17" x14ac:dyDescent="0.3">
      <c r="B466" t="s">
        <v>50</v>
      </c>
      <c r="C466" t="s">
        <v>181</v>
      </c>
      <c r="D466" s="22" t="str">
        <f t="shared" si="35"/>
        <v>2024-04-17</v>
      </c>
      <c r="E466" s="22" t="str">
        <f t="shared" si="36"/>
        <v>2024-04-17</v>
      </c>
      <c r="F466" s="22">
        <f t="shared" si="37"/>
        <v>0</v>
      </c>
      <c r="J466" t="str">
        <f t="shared" si="38"/>
        <v>Сидорова Елена ВасильевнаМорозова Светлана Артемовна</v>
      </c>
      <c r="K466" t="s">
        <v>18</v>
      </c>
      <c r="L466" t="s">
        <v>107</v>
      </c>
      <c r="M466" t="s">
        <v>303</v>
      </c>
      <c r="N466" t="str">
        <f t="shared" si="39"/>
        <v>Яковлев Артем ИгоревичЕгоров Артур Владимирович</v>
      </c>
      <c r="O466" t="s">
        <v>8</v>
      </c>
      <c r="P466" t="s">
        <v>150</v>
      </c>
      <c r="Q466" t="s">
        <v>329</v>
      </c>
    </row>
    <row r="467" spans="2:17" x14ac:dyDescent="0.3">
      <c r="B467" t="s">
        <v>50</v>
      </c>
      <c r="C467" t="s">
        <v>105</v>
      </c>
      <c r="D467" s="22" t="str">
        <f t="shared" si="35"/>
        <v>2024-06-17</v>
      </c>
      <c r="E467" s="22" t="str">
        <f t="shared" si="36"/>
        <v>2024-06-17</v>
      </c>
      <c r="F467" s="22">
        <f t="shared" si="37"/>
        <v>0</v>
      </c>
      <c r="J467" t="str">
        <f t="shared" si="38"/>
        <v>Петров Владимир КирилловичЛебедев Артем Кириллович</v>
      </c>
      <c r="K467" t="s">
        <v>50</v>
      </c>
      <c r="L467" t="s">
        <v>49</v>
      </c>
      <c r="M467" t="s">
        <v>303</v>
      </c>
      <c r="N467" t="str">
        <f t="shared" si="39"/>
        <v>Кузнецов Дмитрий ЛьвовичНиколаева Юлия Егоровна</v>
      </c>
      <c r="O467" t="s">
        <v>10</v>
      </c>
      <c r="P467" t="s">
        <v>126</v>
      </c>
      <c r="Q467" t="s">
        <v>329</v>
      </c>
    </row>
    <row r="468" spans="2:17" x14ac:dyDescent="0.3">
      <c r="B468" t="s">
        <v>50</v>
      </c>
      <c r="C468" t="s">
        <v>69</v>
      </c>
      <c r="D468" s="22" t="str">
        <f t="shared" si="35"/>
        <v>2024-08-12</v>
      </c>
      <c r="E468" s="22" t="str">
        <f t="shared" si="36"/>
        <v>2024-08-12</v>
      </c>
      <c r="F468" s="22">
        <f t="shared" si="37"/>
        <v>0</v>
      </c>
      <c r="J468" t="str">
        <f t="shared" si="38"/>
        <v>Сидорова Елена ВасильевнаСтепанов Егор Павлович</v>
      </c>
      <c r="K468" t="s">
        <v>18</v>
      </c>
      <c r="L468" t="s">
        <v>291</v>
      </c>
      <c r="M468" t="s">
        <v>303</v>
      </c>
      <c r="N468" t="str">
        <f t="shared" si="39"/>
        <v>Новикова Ольга ПетровнаСеменов Артем Дмитриевич</v>
      </c>
      <c r="O468" t="s">
        <v>47</v>
      </c>
      <c r="P468" t="s">
        <v>232</v>
      </c>
      <c r="Q468" t="s">
        <v>329</v>
      </c>
    </row>
    <row r="469" spans="2:17" x14ac:dyDescent="0.3">
      <c r="B469" t="s">
        <v>50</v>
      </c>
      <c r="C469" t="s">
        <v>290</v>
      </c>
      <c r="D469" s="22" t="str">
        <f t="shared" si="35"/>
        <v>2024-01-29</v>
      </c>
      <c r="E469" s="22" t="str">
        <f t="shared" si="36"/>
        <v>2024-01-29</v>
      </c>
      <c r="F469" s="22">
        <f t="shared" si="37"/>
        <v>0</v>
      </c>
      <c r="J469" t="str">
        <f t="shared" si="38"/>
        <v>Ткаченко Андрей ОлеговичМорозов Максим Андреевич</v>
      </c>
      <c r="K469" t="s">
        <v>5</v>
      </c>
      <c r="L469" t="s">
        <v>52</v>
      </c>
      <c r="M469" t="s">
        <v>304</v>
      </c>
      <c r="N469" t="str">
        <f t="shared" si="39"/>
        <v>Иванова Анна СергеевнаОрлов Михаил Никитич</v>
      </c>
      <c r="O469" t="s">
        <v>28</v>
      </c>
      <c r="P469" t="s">
        <v>60</v>
      </c>
      <c r="Q469" t="s">
        <v>328</v>
      </c>
    </row>
    <row r="470" spans="2:17" x14ac:dyDescent="0.3">
      <c r="B470" t="s">
        <v>50</v>
      </c>
      <c r="C470" t="s">
        <v>27</v>
      </c>
      <c r="D470" s="22" t="str">
        <f t="shared" si="35"/>
        <v>2023-09-25</v>
      </c>
      <c r="E470" s="22" t="str">
        <f t="shared" si="36"/>
        <v>2023-09-25</v>
      </c>
      <c r="F470" s="22">
        <f t="shared" si="37"/>
        <v>0</v>
      </c>
      <c r="J470" t="str">
        <f t="shared" si="38"/>
        <v>Новикова Ольга ПетровнаФедоров Роман Дмитриевич</v>
      </c>
      <c r="K470" t="s">
        <v>47</v>
      </c>
      <c r="L470" t="s">
        <v>41</v>
      </c>
      <c r="M470" t="s">
        <v>304</v>
      </c>
      <c r="N470" t="str">
        <f t="shared" si="39"/>
        <v>Ткаченко Андрей ОлеговичОрлов Александр Иванович</v>
      </c>
      <c r="O470" t="s">
        <v>5</v>
      </c>
      <c r="P470" t="s">
        <v>69</v>
      </c>
      <c r="Q470" t="s">
        <v>327</v>
      </c>
    </row>
    <row r="471" spans="2:17" x14ac:dyDescent="0.3">
      <c r="B471" t="s">
        <v>50</v>
      </c>
      <c r="C471" t="s">
        <v>191</v>
      </c>
      <c r="D471" s="22" t="str">
        <f t="shared" si="35"/>
        <v>2023-12-27</v>
      </c>
      <c r="E471" s="22" t="str">
        <f t="shared" si="36"/>
        <v>2024-03-18</v>
      </c>
      <c r="F471" s="22">
        <f t="shared" si="37"/>
        <v>82</v>
      </c>
      <c r="J471" t="str">
        <f t="shared" si="38"/>
        <v>Семенова Ирина ВалерьевнаМорозова София Геннадьевна</v>
      </c>
      <c r="K471" t="s">
        <v>12</v>
      </c>
      <c r="L471" t="s">
        <v>115</v>
      </c>
      <c r="M471" t="s">
        <v>304</v>
      </c>
      <c r="N471" t="str">
        <f t="shared" si="39"/>
        <v>Фролов Сергей ВикторовичКузнецова Мария Юрьевна</v>
      </c>
      <c r="O471" t="s">
        <v>40</v>
      </c>
      <c r="P471" t="s">
        <v>22</v>
      </c>
      <c r="Q471" t="s">
        <v>327</v>
      </c>
    </row>
    <row r="472" spans="2:17" x14ac:dyDescent="0.3">
      <c r="B472" t="s">
        <v>50</v>
      </c>
      <c r="C472" t="s">
        <v>154</v>
      </c>
      <c r="D472" s="22" t="str">
        <f t="shared" si="35"/>
        <v>2023-11-20</v>
      </c>
      <c r="E472" s="22" t="str">
        <f t="shared" si="36"/>
        <v>2023-11-20</v>
      </c>
      <c r="F472" s="22">
        <f t="shared" si="37"/>
        <v>0</v>
      </c>
      <c r="J472" t="str">
        <f t="shared" si="38"/>
        <v>Громова Мария ИльиничнаСеменова Полина Артемовна</v>
      </c>
      <c r="K472" t="s">
        <v>14</v>
      </c>
      <c r="L472" t="s">
        <v>119</v>
      </c>
      <c r="M472" t="s">
        <v>304</v>
      </c>
      <c r="N472" t="str">
        <f t="shared" si="39"/>
        <v>Громова Мария ИльиничнаЕгорова Татьяна Александровна</v>
      </c>
      <c r="O472" t="s">
        <v>14</v>
      </c>
      <c r="P472" t="s">
        <v>168</v>
      </c>
      <c r="Q472" t="s">
        <v>327</v>
      </c>
    </row>
    <row r="473" spans="2:17" x14ac:dyDescent="0.3">
      <c r="B473" t="s">
        <v>50</v>
      </c>
      <c r="C473" t="s">
        <v>169</v>
      </c>
      <c r="D473" s="22" t="str">
        <f t="shared" si="35"/>
        <v>2023-11-24</v>
      </c>
      <c r="E473" s="22" t="str">
        <f t="shared" si="36"/>
        <v>2023-11-24</v>
      </c>
      <c r="F473" s="22">
        <f t="shared" si="37"/>
        <v>0</v>
      </c>
      <c r="J473" t="str">
        <f t="shared" si="38"/>
        <v>Иванова Анна СергеевнаОрлова Дарья Кирилловна</v>
      </c>
      <c r="K473" t="s">
        <v>28</v>
      </c>
      <c r="L473" t="s">
        <v>290</v>
      </c>
      <c r="M473" t="s">
        <v>304</v>
      </c>
      <c r="N473" t="str">
        <f t="shared" si="39"/>
        <v>Иванова Анна СергеевнаЛебедев Максим Михайлович</v>
      </c>
      <c r="O473" t="s">
        <v>28</v>
      </c>
      <c r="P473" t="s">
        <v>183</v>
      </c>
      <c r="Q473" t="s">
        <v>326</v>
      </c>
    </row>
    <row r="474" spans="2:17" x14ac:dyDescent="0.3">
      <c r="B474" t="s">
        <v>50</v>
      </c>
      <c r="C474" t="s">
        <v>190</v>
      </c>
      <c r="D474" s="22" t="str">
        <f t="shared" si="35"/>
        <v>2023-11-15</v>
      </c>
      <c r="E474" s="22" t="str">
        <f t="shared" si="36"/>
        <v>2024-04-22</v>
      </c>
      <c r="F474" s="22">
        <f t="shared" si="37"/>
        <v>159</v>
      </c>
      <c r="J474" t="str">
        <f t="shared" si="38"/>
        <v>Белов Алексей КонстантиновичАлексеев Матвей Александрович</v>
      </c>
      <c r="K474" t="s">
        <v>21</v>
      </c>
      <c r="L474" t="s">
        <v>305</v>
      </c>
      <c r="M474" t="s">
        <v>304</v>
      </c>
      <c r="N474" t="str">
        <f t="shared" si="39"/>
        <v>Сидорова Елена ВасильевнаЛебедев Владимир Сергеевич</v>
      </c>
      <c r="O474" t="s">
        <v>18</v>
      </c>
      <c r="P474" t="s">
        <v>55</v>
      </c>
      <c r="Q474" t="s">
        <v>326</v>
      </c>
    </row>
    <row r="475" spans="2:17" x14ac:dyDescent="0.3">
      <c r="B475" t="s">
        <v>50</v>
      </c>
      <c r="C475" t="s">
        <v>149</v>
      </c>
      <c r="D475" s="22" t="str">
        <f t="shared" si="35"/>
        <v>2024-06-10</v>
      </c>
      <c r="E475" s="22" t="str">
        <f t="shared" si="36"/>
        <v>2024-06-10</v>
      </c>
      <c r="F475" s="22">
        <f t="shared" si="37"/>
        <v>0</v>
      </c>
      <c r="J475" t="str">
        <f t="shared" si="38"/>
        <v>Кузнецов Дмитрий ЛьвовичПавлов Алексей Геннадьевич</v>
      </c>
      <c r="K475" t="s">
        <v>10</v>
      </c>
      <c r="L475" t="s">
        <v>191</v>
      </c>
      <c r="M475" t="s">
        <v>304</v>
      </c>
      <c r="N475" t="str">
        <f t="shared" si="39"/>
        <v>Яковлев Артем ИгоревичКузнецов Сергей Кириллович</v>
      </c>
      <c r="O475" t="s">
        <v>8</v>
      </c>
      <c r="P475" t="s">
        <v>225</v>
      </c>
      <c r="Q475" t="s">
        <v>325</v>
      </c>
    </row>
    <row r="476" spans="2:17" x14ac:dyDescent="0.3">
      <c r="B476" t="s">
        <v>50</v>
      </c>
      <c r="C476" t="s">
        <v>70</v>
      </c>
      <c r="D476" s="22" t="str">
        <f t="shared" si="35"/>
        <v>2023-09-14</v>
      </c>
      <c r="E476" s="22" t="str">
        <f t="shared" si="36"/>
        <v>2024-06-26</v>
      </c>
      <c r="F476" s="22">
        <f t="shared" si="37"/>
        <v>286</v>
      </c>
      <c r="J476" t="str">
        <f t="shared" si="38"/>
        <v>Иванова Анна СергеевнаПавлов Алексей Геннадьевич</v>
      </c>
      <c r="K476" t="s">
        <v>28</v>
      </c>
      <c r="L476" t="s">
        <v>191</v>
      </c>
      <c r="M476" t="s">
        <v>304</v>
      </c>
      <c r="N476" t="str">
        <f t="shared" si="39"/>
        <v>Громова Мария ИльиничнаПетрова Вероника Александровна</v>
      </c>
      <c r="O476" t="s">
        <v>14</v>
      </c>
      <c r="P476" t="s">
        <v>23</v>
      </c>
      <c r="Q476" t="s">
        <v>322</v>
      </c>
    </row>
    <row r="477" spans="2:17" x14ac:dyDescent="0.3">
      <c r="B477" t="s">
        <v>50</v>
      </c>
      <c r="C477" t="s">
        <v>78</v>
      </c>
      <c r="D477" s="22" t="str">
        <f t="shared" si="35"/>
        <v>2024-02-26</v>
      </c>
      <c r="E477" s="22" t="str">
        <f t="shared" si="36"/>
        <v>2024-02-26</v>
      </c>
      <c r="F477" s="22">
        <f t="shared" si="37"/>
        <v>0</v>
      </c>
      <c r="J477" t="str">
        <f t="shared" si="38"/>
        <v>Белов Алексей КонстантиновичНовикова Екатерина Ивановна</v>
      </c>
      <c r="K477" t="s">
        <v>21</v>
      </c>
      <c r="L477" t="s">
        <v>11</v>
      </c>
      <c r="M477" t="s">
        <v>306</v>
      </c>
      <c r="N477" t="str">
        <f t="shared" si="39"/>
        <v>Сидорова Елена ВасильевнаКузнецова Мария Юрьевна</v>
      </c>
      <c r="O477" t="s">
        <v>18</v>
      </c>
      <c r="P477" t="s">
        <v>22</v>
      </c>
      <c r="Q477" t="s">
        <v>322</v>
      </c>
    </row>
    <row r="478" spans="2:17" x14ac:dyDescent="0.3">
      <c r="B478" t="s">
        <v>50</v>
      </c>
      <c r="C478" t="s">
        <v>92</v>
      </c>
      <c r="D478" s="22" t="str">
        <f t="shared" si="35"/>
        <v>2024-04-15</v>
      </c>
      <c r="E478" s="22" t="str">
        <f t="shared" si="36"/>
        <v>2024-04-15</v>
      </c>
      <c r="F478" s="22">
        <f t="shared" si="37"/>
        <v>0</v>
      </c>
      <c r="J478" t="str">
        <f t="shared" si="38"/>
        <v>Кузнецов Дмитрий ЛьвовичКозлова Татьяна Михайловна</v>
      </c>
      <c r="K478" t="s">
        <v>10</v>
      </c>
      <c r="L478" t="s">
        <v>61</v>
      </c>
      <c r="M478" t="s">
        <v>307</v>
      </c>
      <c r="N478" t="str">
        <f t="shared" si="39"/>
        <v>Фролов Сергей ВикторовичЛебедев Константин Алексеевич</v>
      </c>
      <c r="O478" t="s">
        <v>40</v>
      </c>
      <c r="P478" t="s">
        <v>323</v>
      </c>
      <c r="Q478" t="s">
        <v>322</v>
      </c>
    </row>
    <row r="479" spans="2:17" x14ac:dyDescent="0.3">
      <c r="B479" t="s">
        <v>50</v>
      </c>
      <c r="C479" t="s">
        <v>234</v>
      </c>
      <c r="D479" s="22" t="str">
        <f t="shared" si="35"/>
        <v>2024-01-22</v>
      </c>
      <c r="E479" s="22" t="str">
        <f t="shared" si="36"/>
        <v>2024-01-22</v>
      </c>
      <c r="F479" s="22">
        <f t="shared" si="37"/>
        <v>0</v>
      </c>
      <c r="J479" t="str">
        <f t="shared" si="38"/>
        <v>Кузнецов Дмитрий ЛьвовичНовикова Ирина Геннадьевна</v>
      </c>
      <c r="K479" t="s">
        <v>10</v>
      </c>
      <c r="L479" t="s">
        <v>105</v>
      </c>
      <c r="M479" t="s">
        <v>307</v>
      </c>
      <c r="N479" t="str">
        <f t="shared" si="39"/>
        <v>Яковлев Артем ИгоревичСтепанова Юлия Андреевна</v>
      </c>
      <c r="O479" t="s">
        <v>8</v>
      </c>
      <c r="P479" t="s">
        <v>217</v>
      </c>
      <c r="Q479" t="s">
        <v>322</v>
      </c>
    </row>
    <row r="480" spans="2:17" x14ac:dyDescent="0.3">
      <c r="B480" t="s">
        <v>50</v>
      </c>
      <c r="C480" t="s">
        <v>167</v>
      </c>
      <c r="D480" s="22" t="str">
        <f t="shared" si="35"/>
        <v>2024-07-29</v>
      </c>
      <c r="E480" s="22" t="str">
        <f t="shared" si="36"/>
        <v>2024-07-29</v>
      </c>
      <c r="F480" s="22">
        <f t="shared" si="37"/>
        <v>0</v>
      </c>
      <c r="J480" t="str">
        <f t="shared" si="38"/>
        <v>Фролов Сергей ВикторовичЕгоров Никита Ильич</v>
      </c>
      <c r="K480" t="s">
        <v>40</v>
      </c>
      <c r="L480" t="s">
        <v>112</v>
      </c>
      <c r="M480" t="s">
        <v>308</v>
      </c>
      <c r="N480" t="str">
        <f t="shared" si="39"/>
        <v>Ткаченко Андрей ОлеговичЛебедева Юлия Олеговна</v>
      </c>
      <c r="O480" t="s">
        <v>5</v>
      </c>
      <c r="P480" t="s">
        <v>312</v>
      </c>
      <c r="Q480" t="s">
        <v>322</v>
      </c>
    </row>
    <row r="481" spans="2:17" x14ac:dyDescent="0.3">
      <c r="B481" t="s">
        <v>50</v>
      </c>
      <c r="C481" t="s">
        <v>268</v>
      </c>
      <c r="D481" s="22" t="str">
        <f t="shared" si="35"/>
        <v>2024-07-01</v>
      </c>
      <c r="E481" s="22" t="str">
        <f t="shared" si="36"/>
        <v>2024-07-01</v>
      </c>
      <c r="F481" s="22">
        <f t="shared" si="37"/>
        <v>0</v>
      </c>
      <c r="J481" t="str">
        <f t="shared" si="38"/>
        <v>Иванова Анна СергеевнаНовиков Дмитрий Станиславович</v>
      </c>
      <c r="K481" t="s">
        <v>28</v>
      </c>
      <c r="L481" t="s">
        <v>205</v>
      </c>
      <c r="M481" t="s">
        <v>308</v>
      </c>
      <c r="N481" t="str">
        <f t="shared" si="39"/>
        <v>Громова Мария ИльиничнаПавлов Илья Никитич</v>
      </c>
      <c r="O481" t="s">
        <v>14</v>
      </c>
      <c r="P481" t="s">
        <v>324</v>
      </c>
      <c r="Q481" t="s">
        <v>322</v>
      </c>
    </row>
    <row r="482" spans="2:17" x14ac:dyDescent="0.3">
      <c r="B482" t="s">
        <v>50</v>
      </c>
      <c r="C482" t="s">
        <v>245</v>
      </c>
      <c r="D482" s="22" t="str">
        <f t="shared" si="35"/>
        <v>2024-02-29</v>
      </c>
      <c r="E482" s="22" t="str">
        <f t="shared" si="36"/>
        <v>2024-02-29</v>
      </c>
      <c r="F482" s="22">
        <f t="shared" si="37"/>
        <v>0</v>
      </c>
      <c r="J482" t="str">
        <f t="shared" si="38"/>
        <v>Петров Владимир КирилловичМорозова Валерия Ильинична</v>
      </c>
      <c r="K482" t="s">
        <v>50</v>
      </c>
      <c r="L482" t="s">
        <v>174</v>
      </c>
      <c r="M482" t="s">
        <v>308</v>
      </c>
      <c r="N482" t="str">
        <f t="shared" si="39"/>
        <v>Кузнецов Дмитрий ЛьвовичОрлов Александр Иванович</v>
      </c>
      <c r="O482" t="s">
        <v>10</v>
      </c>
      <c r="P482" t="s">
        <v>69</v>
      </c>
      <c r="Q482" t="s">
        <v>321</v>
      </c>
    </row>
    <row r="483" spans="2:17" x14ac:dyDescent="0.3">
      <c r="B483" t="s">
        <v>50</v>
      </c>
      <c r="C483" t="s">
        <v>9</v>
      </c>
      <c r="D483" s="22" t="str">
        <f t="shared" si="35"/>
        <v>2024-02-05</v>
      </c>
      <c r="E483" s="22" t="str">
        <f t="shared" si="36"/>
        <v>2024-02-05</v>
      </c>
      <c r="F483" s="22">
        <f t="shared" si="37"/>
        <v>0</v>
      </c>
      <c r="J483" t="str">
        <f t="shared" si="38"/>
        <v>Петров Владимир КирилловичИванов Дмитрий Павлович</v>
      </c>
      <c r="K483" t="s">
        <v>50</v>
      </c>
      <c r="L483" t="s">
        <v>124</v>
      </c>
      <c r="M483" t="s">
        <v>308</v>
      </c>
      <c r="N483" t="str">
        <f t="shared" si="39"/>
        <v>Кузнецов Дмитрий ЛьвовичПетров Алексей Олегович</v>
      </c>
      <c r="O483" t="s">
        <v>10</v>
      </c>
      <c r="P483" t="s">
        <v>190</v>
      </c>
      <c r="Q483" t="s">
        <v>321</v>
      </c>
    </row>
    <row r="484" spans="2:17" x14ac:dyDescent="0.3">
      <c r="B484" t="s">
        <v>50</v>
      </c>
      <c r="C484" t="s">
        <v>77</v>
      </c>
      <c r="D484" s="22" t="str">
        <f t="shared" si="35"/>
        <v>2024-07-22</v>
      </c>
      <c r="E484" s="22" t="str">
        <f t="shared" si="36"/>
        <v>2024-07-22</v>
      </c>
      <c r="F484" s="22">
        <f t="shared" si="37"/>
        <v>0</v>
      </c>
      <c r="J484" t="str">
        <f t="shared" si="38"/>
        <v>Орлов Павел ДенисовичВолков Роман Иванович</v>
      </c>
      <c r="K484" t="s">
        <v>45</v>
      </c>
      <c r="L484" t="s">
        <v>300</v>
      </c>
      <c r="M484" t="s">
        <v>309</v>
      </c>
      <c r="N484" t="str">
        <f t="shared" si="39"/>
        <v>Петров Владимир КирилловичСеменов Артур Михайлович</v>
      </c>
      <c r="O484" t="s">
        <v>50</v>
      </c>
      <c r="P484" t="s">
        <v>245</v>
      </c>
      <c r="Q484" t="s">
        <v>321</v>
      </c>
    </row>
    <row r="485" spans="2:17" x14ac:dyDescent="0.3">
      <c r="B485" t="s">
        <v>50</v>
      </c>
      <c r="C485" t="s">
        <v>110</v>
      </c>
      <c r="D485" s="22" t="str">
        <f t="shared" si="35"/>
        <v>2024-05-27</v>
      </c>
      <c r="E485" s="22" t="str">
        <f t="shared" si="36"/>
        <v>2024-05-27</v>
      </c>
      <c r="F485" s="22">
        <f t="shared" si="37"/>
        <v>0</v>
      </c>
      <c r="J485" t="str">
        <f t="shared" si="38"/>
        <v>Белов Алексей КонстантиновичВасильев Матвей Романович</v>
      </c>
      <c r="K485" t="s">
        <v>21</v>
      </c>
      <c r="L485" t="s">
        <v>24</v>
      </c>
      <c r="M485" t="s">
        <v>309</v>
      </c>
      <c r="N485" t="str">
        <f t="shared" si="39"/>
        <v>Громова Мария ИльиничнаФедорова Людмила Кирилловна</v>
      </c>
      <c r="O485" t="s">
        <v>14</v>
      </c>
      <c r="P485" t="s">
        <v>199</v>
      </c>
      <c r="Q485" t="s">
        <v>321</v>
      </c>
    </row>
    <row r="486" spans="2:17" x14ac:dyDescent="0.3">
      <c r="B486" t="s">
        <v>50</v>
      </c>
      <c r="C486" t="s">
        <v>99</v>
      </c>
      <c r="D486" s="22" t="str">
        <f t="shared" si="35"/>
        <v>2023-09-26</v>
      </c>
      <c r="E486" s="22" t="str">
        <f t="shared" si="36"/>
        <v>2024-04-09</v>
      </c>
      <c r="F486" s="22">
        <f t="shared" si="37"/>
        <v>196</v>
      </c>
      <c r="J486" t="str">
        <f t="shared" si="38"/>
        <v>Петров Владимир КирилловичЛебедев Илья Станиславович</v>
      </c>
      <c r="K486" t="s">
        <v>50</v>
      </c>
      <c r="L486" t="s">
        <v>51</v>
      </c>
      <c r="M486" t="s">
        <v>310</v>
      </c>
      <c r="N486" t="str">
        <f t="shared" si="39"/>
        <v>Фролов Сергей ВикторовичСидорова Ксения Дмитриевна</v>
      </c>
      <c r="O486" t="s">
        <v>40</v>
      </c>
      <c r="P486" t="s">
        <v>99</v>
      </c>
      <c r="Q486" t="s">
        <v>320</v>
      </c>
    </row>
    <row r="487" spans="2:17" x14ac:dyDescent="0.3">
      <c r="B487" t="s">
        <v>50</v>
      </c>
      <c r="C487" t="s">
        <v>318</v>
      </c>
      <c r="D487" s="22" t="str">
        <f t="shared" si="35"/>
        <v>2024-02-26</v>
      </c>
      <c r="E487" s="22" t="str">
        <f t="shared" si="36"/>
        <v>2024-02-26</v>
      </c>
      <c r="F487" s="22">
        <f t="shared" si="37"/>
        <v>0</v>
      </c>
      <c r="J487" t="str">
        <f t="shared" si="38"/>
        <v>Орлов Павел ДенисовичСтепанов Михаил Александрович</v>
      </c>
      <c r="K487" t="s">
        <v>45</v>
      </c>
      <c r="L487" t="s">
        <v>311</v>
      </c>
      <c r="M487" t="s">
        <v>310</v>
      </c>
      <c r="N487" t="str">
        <f t="shared" si="39"/>
        <v>Сидорова Елена ВасильевнаНиколаева София Геннадьевна</v>
      </c>
      <c r="O487" t="s">
        <v>18</v>
      </c>
      <c r="P487" t="s">
        <v>315</v>
      </c>
      <c r="Q487" t="s">
        <v>320</v>
      </c>
    </row>
    <row r="488" spans="2:17" x14ac:dyDescent="0.3">
      <c r="B488" t="s">
        <v>50</v>
      </c>
      <c r="C488" t="s">
        <v>127</v>
      </c>
      <c r="D488" s="22" t="str">
        <f t="shared" si="35"/>
        <v>2023-11-23</v>
      </c>
      <c r="E488" s="22" t="str">
        <f t="shared" si="36"/>
        <v>2023-11-23</v>
      </c>
      <c r="F488" s="22">
        <f t="shared" si="37"/>
        <v>0</v>
      </c>
      <c r="J488" t="str">
        <f t="shared" si="38"/>
        <v>Яковлев Артем ИгоревичВасильев Матвей Андреевич</v>
      </c>
      <c r="K488" t="s">
        <v>8</v>
      </c>
      <c r="L488" t="s">
        <v>95</v>
      </c>
      <c r="M488" t="s">
        <v>310</v>
      </c>
      <c r="N488" t="str">
        <f t="shared" si="39"/>
        <v>Кузнецов Дмитрий ЛьвовичПетрова Валерия Павловна</v>
      </c>
      <c r="O488" t="s">
        <v>10</v>
      </c>
      <c r="P488" t="s">
        <v>32</v>
      </c>
      <c r="Q488" t="s">
        <v>319</v>
      </c>
    </row>
    <row r="489" spans="2:17" x14ac:dyDescent="0.3">
      <c r="B489" t="s">
        <v>50</v>
      </c>
      <c r="C489" t="s">
        <v>165</v>
      </c>
      <c r="D489" s="22" t="str">
        <f t="shared" si="35"/>
        <v>2023-10-30</v>
      </c>
      <c r="E489" s="22" t="str">
        <f t="shared" si="36"/>
        <v>2023-10-30</v>
      </c>
      <c r="F489" s="22">
        <f t="shared" si="37"/>
        <v>0</v>
      </c>
      <c r="J489" t="str">
        <f t="shared" si="38"/>
        <v>Громова Мария ИльиничнаСтепанова Юлия Андреевна</v>
      </c>
      <c r="K489" t="s">
        <v>14</v>
      </c>
      <c r="L489" t="s">
        <v>217</v>
      </c>
      <c r="M489" t="s">
        <v>310</v>
      </c>
      <c r="N489" t="str">
        <f t="shared" si="39"/>
        <v>Белов Алексей КонстантиновичМорозов Павел Ильич</v>
      </c>
      <c r="O489" t="s">
        <v>21</v>
      </c>
      <c r="P489" t="s">
        <v>146</v>
      </c>
      <c r="Q489" t="s">
        <v>319</v>
      </c>
    </row>
    <row r="490" spans="2:17" x14ac:dyDescent="0.3">
      <c r="B490" t="s">
        <v>50</v>
      </c>
      <c r="C490" t="s">
        <v>207</v>
      </c>
      <c r="D490" s="22" t="str">
        <f t="shared" si="35"/>
        <v>2023-11-20</v>
      </c>
      <c r="E490" s="22" t="str">
        <f t="shared" si="36"/>
        <v>2023-11-20</v>
      </c>
      <c r="F490" s="22">
        <f t="shared" si="37"/>
        <v>0</v>
      </c>
      <c r="J490" t="str">
        <f t="shared" si="38"/>
        <v>Орлов Павел ДенисовичИванов Дмитрий Павлович</v>
      </c>
      <c r="K490" t="s">
        <v>45</v>
      </c>
      <c r="L490" t="s">
        <v>124</v>
      </c>
      <c r="M490" t="s">
        <v>310</v>
      </c>
      <c r="N490" t="str">
        <f t="shared" si="39"/>
        <v>Семенова Ирина ВалерьевнаМорозов Павел Ильич</v>
      </c>
      <c r="O490" t="s">
        <v>12</v>
      </c>
      <c r="P490" t="s">
        <v>146</v>
      </c>
      <c r="Q490" t="s">
        <v>317</v>
      </c>
    </row>
    <row r="491" spans="2:17" x14ac:dyDescent="0.3">
      <c r="B491" t="s">
        <v>50</v>
      </c>
      <c r="C491" t="s">
        <v>182</v>
      </c>
      <c r="D491" s="22" t="str">
        <f t="shared" si="35"/>
        <v>2023-11-06</v>
      </c>
      <c r="E491" s="22" t="str">
        <f t="shared" si="36"/>
        <v>2023-11-06</v>
      </c>
      <c r="F491" s="22">
        <f t="shared" si="37"/>
        <v>0</v>
      </c>
      <c r="J491" t="str">
        <f t="shared" si="38"/>
        <v>Орлов Павел ДенисовичКозлова София Станиславовна</v>
      </c>
      <c r="K491" t="s">
        <v>45</v>
      </c>
      <c r="L491" t="s">
        <v>54</v>
      </c>
      <c r="M491" t="s">
        <v>310</v>
      </c>
      <c r="N491" t="str">
        <f t="shared" si="39"/>
        <v>Семенова Ирина ВалерьевнаПавлов Алексей Геннадьевич</v>
      </c>
      <c r="O491" t="s">
        <v>12</v>
      </c>
      <c r="P491" t="s">
        <v>191</v>
      </c>
      <c r="Q491" t="s">
        <v>317</v>
      </c>
    </row>
    <row r="492" spans="2:17" x14ac:dyDescent="0.3">
      <c r="B492" t="s">
        <v>50</v>
      </c>
      <c r="C492" t="s">
        <v>338</v>
      </c>
      <c r="D492" s="22" t="str">
        <f t="shared" si="35"/>
        <v>2024-03-25</v>
      </c>
      <c r="E492" s="22" t="str">
        <f t="shared" si="36"/>
        <v>2024-03-25</v>
      </c>
      <c r="F492" s="22">
        <f t="shared" si="37"/>
        <v>0</v>
      </c>
      <c r="J492" t="str">
        <f t="shared" si="38"/>
        <v>Новикова Ольга ПетровнаИванов Кирилл Владимирович</v>
      </c>
      <c r="K492" t="s">
        <v>47</v>
      </c>
      <c r="L492" t="s">
        <v>152</v>
      </c>
      <c r="M492" t="s">
        <v>310</v>
      </c>
      <c r="N492" t="str">
        <f t="shared" si="39"/>
        <v>Семенова Ирина ВалерьевнаСмирнов Михаил Никитич</v>
      </c>
      <c r="O492" t="s">
        <v>12</v>
      </c>
      <c r="P492" t="s">
        <v>231</v>
      </c>
      <c r="Q492" t="s">
        <v>317</v>
      </c>
    </row>
    <row r="493" spans="2:17" x14ac:dyDescent="0.3">
      <c r="B493" t="s">
        <v>50</v>
      </c>
      <c r="C493" t="s">
        <v>217</v>
      </c>
      <c r="D493" s="22" t="str">
        <f t="shared" si="35"/>
        <v>2024-01-18</v>
      </c>
      <c r="E493" s="22" t="str">
        <f t="shared" si="36"/>
        <v>2024-01-18</v>
      </c>
      <c r="F493" s="22">
        <f t="shared" si="37"/>
        <v>0</v>
      </c>
      <c r="J493" t="str">
        <f t="shared" si="38"/>
        <v>Фролов Сергей ВикторовичВолков Александр Юрьевич</v>
      </c>
      <c r="K493" t="s">
        <v>40</v>
      </c>
      <c r="L493" t="s">
        <v>103</v>
      </c>
      <c r="M493" t="s">
        <v>310</v>
      </c>
      <c r="N493" t="str">
        <f t="shared" si="39"/>
        <v>Семенова Ирина ВалерьевнаПопов Алексей Кириллович</v>
      </c>
      <c r="O493" t="s">
        <v>12</v>
      </c>
      <c r="P493" t="s">
        <v>92</v>
      </c>
      <c r="Q493" t="s">
        <v>317</v>
      </c>
    </row>
    <row r="494" spans="2:17" x14ac:dyDescent="0.3">
      <c r="B494" t="s">
        <v>50</v>
      </c>
      <c r="C494" t="s">
        <v>88</v>
      </c>
      <c r="D494" s="22" t="str">
        <f t="shared" si="35"/>
        <v>2023-09-21</v>
      </c>
      <c r="E494" s="22" t="str">
        <f t="shared" si="36"/>
        <v>2023-09-21</v>
      </c>
      <c r="F494" s="22">
        <f t="shared" si="37"/>
        <v>0</v>
      </c>
      <c r="J494" t="str">
        <f t="shared" si="38"/>
        <v>Фролов Сергей ВикторовичЛебедева Юлия Олеговна</v>
      </c>
      <c r="K494" t="s">
        <v>40</v>
      </c>
      <c r="L494" t="s">
        <v>312</v>
      </c>
      <c r="M494" t="s">
        <v>310</v>
      </c>
      <c r="N494" t="str">
        <f t="shared" si="39"/>
        <v>Петров Владимир КирилловичПетров Павел Кириллович</v>
      </c>
      <c r="O494" t="s">
        <v>50</v>
      </c>
      <c r="P494" t="s">
        <v>78</v>
      </c>
      <c r="Q494" t="s">
        <v>317</v>
      </c>
    </row>
    <row r="495" spans="2:17" x14ac:dyDescent="0.3">
      <c r="B495" t="s">
        <v>50</v>
      </c>
      <c r="C495" t="s">
        <v>100</v>
      </c>
      <c r="D495" s="22" t="str">
        <f t="shared" si="35"/>
        <v>2023-10-06</v>
      </c>
      <c r="E495" s="22" t="str">
        <f t="shared" si="36"/>
        <v>2023-10-06</v>
      </c>
      <c r="F495" s="22">
        <f t="shared" si="37"/>
        <v>0</v>
      </c>
      <c r="J495" t="str">
        <f t="shared" si="38"/>
        <v>Семенова Ирина ВалерьевнаКозлов Роман Сергеевич</v>
      </c>
      <c r="K495" t="s">
        <v>12</v>
      </c>
      <c r="L495" t="s">
        <v>209</v>
      </c>
      <c r="M495" t="s">
        <v>313</v>
      </c>
      <c r="N495" t="str">
        <f t="shared" si="39"/>
        <v>Иванова Анна СергеевнаНовиков Иван Андреевич</v>
      </c>
      <c r="O495" t="s">
        <v>28</v>
      </c>
      <c r="P495" t="s">
        <v>81</v>
      </c>
      <c r="Q495" t="s">
        <v>317</v>
      </c>
    </row>
    <row r="496" spans="2:17" x14ac:dyDescent="0.3">
      <c r="B496" t="s">
        <v>50</v>
      </c>
      <c r="C496" t="s">
        <v>34</v>
      </c>
      <c r="D496" s="22" t="str">
        <f t="shared" si="35"/>
        <v>2023-11-27</v>
      </c>
      <c r="E496" s="22" t="str">
        <f t="shared" si="36"/>
        <v>2023-11-27</v>
      </c>
      <c r="F496" s="22">
        <f t="shared" si="37"/>
        <v>0</v>
      </c>
      <c r="J496" t="str">
        <f t="shared" si="38"/>
        <v>Новикова Ольга ПетровнаПавлов Георгий Андреевич</v>
      </c>
      <c r="K496" t="s">
        <v>47</v>
      </c>
      <c r="L496" t="s">
        <v>72</v>
      </c>
      <c r="M496" t="s">
        <v>313</v>
      </c>
      <c r="N496" t="str">
        <f t="shared" si="39"/>
        <v>Яковлев Артем ИгоревичОрлов Матвей Алексеевич</v>
      </c>
      <c r="O496" t="s">
        <v>8</v>
      </c>
      <c r="P496" t="s">
        <v>116</v>
      </c>
      <c r="Q496" t="s">
        <v>317</v>
      </c>
    </row>
    <row r="497" spans="2:17" x14ac:dyDescent="0.3">
      <c r="B497" t="s">
        <v>50</v>
      </c>
      <c r="C497" t="s">
        <v>41</v>
      </c>
      <c r="D497" s="22" t="str">
        <f t="shared" si="35"/>
        <v>2024-05-22</v>
      </c>
      <c r="E497" s="22" t="str">
        <f t="shared" si="36"/>
        <v>2024-05-22</v>
      </c>
      <c r="F497" s="22">
        <f t="shared" si="37"/>
        <v>0</v>
      </c>
      <c r="J497" t="str">
        <f t="shared" si="38"/>
        <v>Сидорова Елена ВасильевнаАлексеева Светлана Станиславовна</v>
      </c>
      <c r="K497" t="s">
        <v>18</v>
      </c>
      <c r="L497" t="s">
        <v>71</v>
      </c>
      <c r="M497" t="s">
        <v>313</v>
      </c>
      <c r="N497" t="str">
        <f t="shared" si="39"/>
        <v>Громова Мария ИльиничнаСтепанов Александр Станиславович</v>
      </c>
      <c r="O497" t="s">
        <v>14</v>
      </c>
      <c r="P497" t="s">
        <v>122</v>
      </c>
      <c r="Q497" t="s">
        <v>317</v>
      </c>
    </row>
    <row r="498" spans="2:17" x14ac:dyDescent="0.3">
      <c r="B498" t="s">
        <v>50</v>
      </c>
      <c r="C498" t="s">
        <v>199</v>
      </c>
      <c r="D498" s="22" t="str">
        <f t="shared" si="35"/>
        <v>2024-07-08</v>
      </c>
      <c r="E498" s="22" t="str">
        <f t="shared" si="36"/>
        <v>2024-07-08</v>
      </c>
      <c r="F498" s="22">
        <f t="shared" si="37"/>
        <v>0</v>
      </c>
      <c r="J498" t="str">
        <f t="shared" si="38"/>
        <v>Новикова Ольга ПетровнаСтепанова Юлия Андреевна</v>
      </c>
      <c r="K498" t="s">
        <v>47</v>
      </c>
      <c r="L498" t="s">
        <v>217</v>
      </c>
      <c r="M498" t="s">
        <v>313</v>
      </c>
      <c r="N498" t="str">
        <f t="shared" si="39"/>
        <v>Петров Владимир КирилловичСмирнов Андрей Алексеевич</v>
      </c>
      <c r="O498" t="s">
        <v>50</v>
      </c>
      <c r="P498" t="s">
        <v>318</v>
      </c>
      <c r="Q498" t="s">
        <v>317</v>
      </c>
    </row>
    <row r="499" spans="2:17" x14ac:dyDescent="0.3">
      <c r="B499" t="s">
        <v>50</v>
      </c>
      <c r="C499" t="s">
        <v>87</v>
      </c>
      <c r="D499" s="22" t="str">
        <f t="shared" si="35"/>
        <v>2023-12-22</v>
      </c>
      <c r="E499" s="22" t="str">
        <f t="shared" si="36"/>
        <v>2023-12-22</v>
      </c>
      <c r="F499" s="22">
        <f t="shared" si="37"/>
        <v>0</v>
      </c>
      <c r="J499" t="str">
        <f t="shared" si="38"/>
        <v>Новикова Ольга ПетровнаМорозов Павел Ильич</v>
      </c>
      <c r="K499" t="s">
        <v>47</v>
      </c>
      <c r="L499" t="s">
        <v>146</v>
      </c>
      <c r="M499" t="s">
        <v>313</v>
      </c>
      <c r="N499" t="str">
        <f t="shared" si="39"/>
        <v>Петров Владимир КирилловичЕгорова Юлия Алексеевна</v>
      </c>
      <c r="O499" t="s">
        <v>50</v>
      </c>
      <c r="P499" t="s">
        <v>13</v>
      </c>
      <c r="Q499" t="s">
        <v>317</v>
      </c>
    </row>
    <row r="500" spans="2:17" x14ac:dyDescent="0.3">
      <c r="B500" t="s">
        <v>12</v>
      </c>
      <c r="C500" t="s">
        <v>176</v>
      </c>
      <c r="D500" s="22" t="str">
        <f t="shared" si="35"/>
        <v>2024-07-08</v>
      </c>
      <c r="E500" s="22" t="str">
        <f t="shared" si="36"/>
        <v>2024-08-30</v>
      </c>
      <c r="F500" s="22">
        <f t="shared" si="37"/>
        <v>53</v>
      </c>
      <c r="J500" t="str">
        <f t="shared" si="38"/>
        <v>Яковлев Артем ИгоревичПетров Алексей Сергеевич</v>
      </c>
      <c r="K500" t="s">
        <v>8</v>
      </c>
      <c r="L500" t="s">
        <v>66</v>
      </c>
      <c r="M500" t="s">
        <v>313</v>
      </c>
      <c r="N500" t="str">
        <f t="shared" si="39"/>
        <v>Кузнецов Дмитрий ЛьвовичНиколаева София Геннадьевна</v>
      </c>
      <c r="O500" t="s">
        <v>10</v>
      </c>
      <c r="P500" t="s">
        <v>315</v>
      </c>
      <c r="Q500" t="s">
        <v>316</v>
      </c>
    </row>
    <row r="501" spans="2:17" x14ac:dyDescent="0.3">
      <c r="B501" t="s">
        <v>12</v>
      </c>
      <c r="C501" t="s">
        <v>71</v>
      </c>
      <c r="D501" s="22" t="str">
        <f t="shared" si="35"/>
        <v>2023-12-25</v>
      </c>
      <c r="E501" s="22" t="str">
        <f t="shared" si="36"/>
        <v>2024-04-29</v>
      </c>
      <c r="F501" s="22">
        <f t="shared" si="37"/>
        <v>126</v>
      </c>
      <c r="J501" t="str">
        <f t="shared" si="38"/>
        <v>Сидорова Елена ВасильевнаСмирнов Артем Егорович</v>
      </c>
      <c r="K501" t="s">
        <v>18</v>
      </c>
      <c r="L501" t="s">
        <v>127</v>
      </c>
      <c r="M501" t="s">
        <v>314</v>
      </c>
      <c r="N501" t="str">
        <f t="shared" si="39"/>
        <v>Сидорова Елена ВасильевнаСмирнов Артем Егорович</v>
      </c>
      <c r="O501" t="s">
        <v>18</v>
      </c>
      <c r="P501" t="s">
        <v>127</v>
      </c>
      <c r="Q501" t="s">
        <v>314</v>
      </c>
    </row>
    <row r="502" spans="2:17" x14ac:dyDescent="0.3">
      <c r="B502" t="s">
        <v>12</v>
      </c>
      <c r="C502" t="s">
        <v>263</v>
      </c>
      <c r="D502" s="22" t="str">
        <f t="shared" si="35"/>
        <v>2024-01-05</v>
      </c>
      <c r="E502" s="22" t="str">
        <f t="shared" si="36"/>
        <v>2024-01-05</v>
      </c>
      <c r="F502" s="22">
        <f t="shared" si="37"/>
        <v>0</v>
      </c>
      <c r="J502" t="str">
        <f t="shared" si="38"/>
        <v>Новикова Ольга ПетровнаПетров Илья Андреевич</v>
      </c>
      <c r="K502" t="s">
        <v>47</v>
      </c>
      <c r="L502" t="s">
        <v>70</v>
      </c>
      <c r="M502" t="s">
        <v>314</v>
      </c>
      <c r="N502" t="str">
        <f t="shared" si="39"/>
        <v>Новикова Ольга ПетровнаПетров Илья Андреевич</v>
      </c>
      <c r="O502" t="s">
        <v>47</v>
      </c>
      <c r="P502" t="s">
        <v>70</v>
      </c>
      <c r="Q502" t="s">
        <v>314</v>
      </c>
    </row>
    <row r="503" spans="2:17" x14ac:dyDescent="0.3">
      <c r="B503" t="s">
        <v>12</v>
      </c>
      <c r="C503" t="s">
        <v>221</v>
      </c>
      <c r="D503" s="22" t="str">
        <f t="shared" si="35"/>
        <v>2024-04-08</v>
      </c>
      <c r="E503" s="22" t="str">
        <f t="shared" si="36"/>
        <v>2024-04-08</v>
      </c>
      <c r="F503" s="22">
        <f t="shared" si="37"/>
        <v>0</v>
      </c>
      <c r="J503" t="str">
        <f t="shared" si="38"/>
        <v>Кузнецов Дмитрий ЛьвовичНиколаева София Геннадьевна</v>
      </c>
      <c r="K503" t="s">
        <v>10</v>
      </c>
      <c r="L503" t="s">
        <v>315</v>
      </c>
      <c r="M503" t="s">
        <v>316</v>
      </c>
      <c r="N503" t="str">
        <f t="shared" si="39"/>
        <v>Семенова Ирина ВалерьевнаКозлов Роман Сергеевич</v>
      </c>
      <c r="O503" t="s">
        <v>12</v>
      </c>
      <c r="P503" t="s">
        <v>209</v>
      </c>
      <c r="Q503" t="s">
        <v>313</v>
      </c>
    </row>
    <row r="504" spans="2:17" x14ac:dyDescent="0.3">
      <c r="B504" t="s">
        <v>12</v>
      </c>
      <c r="C504" t="s">
        <v>173</v>
      </c>
      <c r="D504" s="22" t="str">
        <f t="shared" si="35"/>
        <v>2024-04-10</v>
      </c>
      <c r="E504" s="22" t="str">
        <f t="shared" si="36"/>
        <v>2024-04-10</v>
      </c>
      <c r="F504" s="22">
        <f t="shared" si="37"/>
        <v>0</v>
      </c>
      <c r="J504" t="str">
        <f t="shared" si="38"/>
        <v>Семенова Ирина ВалерьевнаМорозов Павел Ильич</v>
      </c>
      <c r="K504" t="s">
        <v>12</v>
      </c>
      <c r="L504" t="s">
        <v>146</v>
      </c>
      <c r="M504" t="s">
        <v>317</v>
      </c>
      <c r="N504" t="str">
        <f t="shared" si="39"/>
        <v>Новикова Ольга ПетровнаПавлов Георгий Андреевич</v>
      </c>
      <c r="O504" t="s">
        <v>47</v>
      </c>
      <c r="P504" t="s">
        <v>72</v>
      </c>
      <c r="Q504" t="s">
        <v>313</v>
      </c>
    </row>
    <row r="505" spans="2:17" x14ac:dyDescent="0.3">
      <c r="B505" t="s">
        <v>12</v>
      </c>
      <c r="C505" t="s">
        <v>136</v>
      </c>
      <c r="D505" s="22" t="str">
        <f t="shared" si="35"/>
        <v>2023-10-16</v>
      </c>
      <c r="E505" s="22" t="str">
        <f t="shared" si="36"/>
        <v>2023-10-16</v>
      </c>
      <c r="F505" s="22">
        <f t="shared" si="37"/>
        <v>0</v>
      </c>
      <c r="J505" t="str">
        <f t="shared" si="38"/>
        <v>Семенова Ирина ВалерьевнаПавлов Алексей Геннадьевич</v>
      </c>
      <c r="K505" t="s">
        <v>12</v>
      </c>
      <c r="L505" t="s">
        <v>191</v>
      </c>
      <c r="M505" t="s">
        <v>317</v>
      </c>
      <c r="N505" t="str">
        <f t="shared" si="39"/>
        <v>Сидорова Елена ВасильевнаАлексеева Светлана Станиславовна</v>
      </c>
      <c r="O505" t="s">
        <v>18</v>
      </c>
      <c r="P505" t="s">
        <v>71</v>
      </c>
      <c r="Q505" t="s">
        <v>313</v>
      </c>
    </row>
    <row r="506" spans="2:17" x14ac:dyDescent="0.3">
      <c r="B506" t="s">
        <v>12</v>
      </c>
      <c r="C506" t="s">
        <v>13</v>
      </c>
      <c r="D506" s="22" t="str">
        <f t="shared" si="35"/>
        <v>2023-09-01</v>
      </c>
      <c r="E506" s="22" t="str">
        <f t="shared" si="36"/>
        <v>2023-09-01</v>
      </c>
      <c r="F506" s="22">
        <f t="shared" si="37"/>
        <v>0</v>
      </c>
      <c r="J506" t="str">
        <f t="shared" si="38"/>
        <v>Семенова Ирина ВалерьевнаСмирнов Михаил Никитич</v>
      </c>
      <c r="K506" t="s">
        <v>12</v>
      </c>
      <c r="L506" t="s">
        <v>231</v>
      </c>
      <c r="M506" t="s">
        <v>317</v>
      </c>
      <c r="N506" t="str">
        <f t="shared" si="39"/>
        <v>Новикова Ольга ПетровнаСтепанова Юлия Андреевна</v>
      </c>
      <c r="O506" t="s">
        <v>47</v>
      </c>
      <c r="P506" t="s">
        <v>217</v>
      </c>
      <c r="Q506" t="s">
        <v>313</v>
      </c>
    </row>
    <row r="507" spans="2:17" x14ac:dyDescent="0.3">
      <c r="B507" t="s">
        <v>12</v>
      </c>
      <c r="C507" t="s">
        <v>83</v>
      </c>
      <c r="D507" s="22" t="str">
        <f t="shared" si="35"/>
        <v>2024-01-24</v>
      </c>
      <c r="E507" s="22" t="str">
        <f t="shared" si="36"/>
        <v>2024-04-03</v>
      </c>
      <c r="F507" s="22">
        <f t="shared" si="37"/>
        <v>70</v>
      </c>
      <c r="J507" t="str">
        <f t="shared" si="38"/>
        <v>Семенова Ирина ВалерьевнаПопов Алексей Кириллович</v>
      </c>
      <c r="K507" t="s">
        <v>12</v>
      </c>
      <c r="L507" t="s">
        <v>92</v>
      </c>
      <c r="M507" t="s">
        <v>317</v>
      </c>
      <c r="N507" t="str">
        <f t="shared" si="39"/>
        <v>Новикова Ольга ПетровнаМорозов Павел Ильич</v>
      </c>
      <c r="O507" t="s">
        <v>47</v>
      </c>
      <c r="P507" t="s">
        <v>146</v>
      </c>
      <c r="Q507" t="s">
        <v>313</v>
      </c>
    </row>
    <row r="508" spans="2:17" x14ac:dyDescent="0.3">
      <c r="B508" t="s">
        <v>12</v>
      </c>
      <c r="C508" t="s">
        <v>209</v>
      </c>
      <c r="D508" s="22" t="str">
        <f t="shared" si="35"/>
        <v>2023-11-20</v>
      </c>
      <c r="E508" s="22" t="str">
        <f t="shared" si="36"/>
        <v>2024-08-14</v>
      </c>
      <c r="F508" s="22">
        <f t="shared" si="37"/>
        <v>268</v>
      </c>
      <c r="J508" t="str">
        <f t="shared" si="38"/>
        <v>Петров Владимир КирилловичПетров Павел Кириллович</v>
      </c>
      <c r="K508" t="s">
        <v>50</v>
      </c>
      <c r="L508" t="s">
        <v>78</v>
      </c>
      <c r="M508" t="s">
        <v>317</v>
      </c>
      <c r="N508" t="str">
        <f t="shared" si="39"/>
        <v>Яковлев Артем ИгоревичПетров Алексей Сергеевич</v>
      </c>
      <c r="O508" t="s">
        <v>8</v>
      </c>
      <c r="P508" t="s">
        <v>66</v>
      </c>
      <c r="Q508" t="s">
        <v>313</v>
      </c>
    </row>
    <row r="509" spans="2:17" x14ac:dyDescent="0.3">
      <c r="B509" t="s">
        <v>12</v>
      </c>
      <c r="C509" t="s">
        <v>244</v>
      </c>
      <c r="D509" s="22" t="str">
        <f t="shared" si="35"/>
        <v>2024-01-22</v>
      </c>
      <c r="E509" s="22" t="str">
        <f t="shared" si="36"/>
        <v>2024-01-22</v>
      </c>
      <c r="F509" s="22">
        <f t="shared" si="37"/>
        <v>0</v>
      </c>
      <c r="J509" t="str">
        <f t="shared" si="38"/>
        <v>Иванова Анна СергеевнаНовиков Иван Андреевич</v>
      </c>
      <c r="K509" t="s">
        <v>28</v>
      </c>
      <c r="L509" t="s">
        <v>81</v>
      </c>
      <c r="M509" t="s">
        <v>317</v>
      </c>
      <c r="N509" t="str">
        <f t="shared" si="39"/>
        <v>Петров Владимир КирилловичЛебедев Илья Станиславович</v>
      </c>
      <c r="O509" t="s">
        <v>50</v>
      </c>
      <c r="P509" t="s">
        <v>51</v>
      </c>
      <c r="Q509" t="s">
        <v>310</v>
      </c>
    </row>
    <row r="510" spans="2:17" x14ac:dyDescent="0.3">
      <c r="B510" t="s">
        <v>12</v>
      </c>
      <c r="C510" t="s">
        <v>178</v>
      </c>
      <c r="D510" s="22" t="str">
        <f t="shared" si="35"/>
        <v>2024-05-13</v>
      </c>
      <c r="E510" s="22" t="str">
        <f t="shared" si="36"/>
        <v>2024-05-13</v>
      </c>
      <c r="F510" s="22">
        <f t="shared" si="37"/>
        <v>0</v>
      </c>
      <c r="J510" t="str">
        <f t="shared" si="38"/>
        <v>Яковлев Артем ИгоревичОрлов Матвей Алексеевич</v>
      </c>
      <c r="K510" t="s">
        <v>8</v>
      </c>
      <c r="L510" t="s">
        <v>116</v>
      </c>
      <c r="M510" t="s">
        <v>317</v>
      </c>
      <c r="N510" t="str">
        <f t="shared" si="39"/>
        <v>Орлов Павел ДенисовичСтепанов Михаил Александрович</v>
      </c>
      <c r="O510" t="s">
        <v>45</v>
      </c>
      <c r="P510" t="s">
        <v>311</v>
      </c>
      <c r="Q510" t="s">
        <v>310</v>
      </c>
    </row>
    <row r="511" spans="2:17" x14ac:dyDescent="0.3">
      <c r="B511" t="s">
        <v>12</v>
      </c>
      <c r="C511" t="s">
        <v>185</v>
      </c>
      <c r="D511" s="22" t="str">
        <f t="shared" si="35"/>
        <v>2023-12-20</v>
      </c>
      <c r="E511" s="22" t="str">
        <f t="shared" si="36"/>
        <v>2023-12-20</v>
      </c>
      <c r="F511" s="22">
        <f t="shared" si="37"/>
        <v>0</v>
      </c>
      <c r="J511" t="str">
        <f t="shared" si="38"/>
        <v>Громова Мария ИльиничнаСтепанов Александр Станиславович</v>
      </c>
      <c r="K511" t="s">
        <v>14</v>
      </c>
      <c r="L511" t="s">
        <v>122</v>
      </c>
      <c r="M511" t="s">
        <v>317</v>
      </c>
      <c r="N511" t="str">
        <f t="shared" si="39"/>
        <v>Яковлев Артем ИгоревичВасильев Матвей Андреевич</v>
      </c>
      <c r="O511" t="s">
        <v>8</v>
      </c>
      <c r="P511" t="s">
        <v>95</v>
      </c>
      <c r="Q511" t="s">
        <v>310</v>
      </c>
    </row>
    <row r="512" spans="2:17" x14ac:dyDescent="0.3">
      <c r="B512" t="s">
        <v>12</v>
      </c>
      <c r="C512" t="s">
        <v>49</v>
      </c>
      <c r="D512" s="22" t="str">
        <f t="shared" si="35"/>
        <v>2024-02-01</v>
      </c>
      <c r="E512" s="22" t="str">
        <f t="shared" si="36"/>
        <v>2024-02-01</v>
      </c>
      <c r="F512" s="22">
        <f t="shared" si="37"/>
        <v>0</v>
      </c>
      <c r="J512" t="str">
        <f t="shared" si="38"/>
        <v>Петров Владимир КирилловичСмирнов Андрей Алексеевич</v>
      </c>
      <c r="K512" t="s">
        <v>50</v>
      </c>
      <c r="L512" t="s">
        <v>318</v>
      </c>
      <c r="M512" t="s">
        <v>317</v>
      </c>
      <c r="N512" t="str">
        <f t="shared" si="39"/>
        <v>Громова Мария ИльиничнаСтепанова Юлия Андреевна</v>
      </c>
      <c r="O512" t="s">
        <v>14</v>
      </c>
      <c r="P512" t="s">
        <v>217</v>
      </c>
      <c r="Q512" t="s">
        <v>310</v>
      </c>
    </row>
    <row r="513" spans="2:17" x14ac:dyDescent="0.3">
      <c r="B513" t="s">
        <v>12</v>
      </c>
      <c r="C513" t="s">
        <v>183</v>
      </c>
      <c r="D513" s="22" t="str">
        <f t="shared" si="35"/>
        <v>2024-09-02</v>
      </c>
      <c r="E513" s="22" t="str">
        <f t="shared" si="36"/>
        <v>2024-09-02</v>
      </c>
      <c r="F513" s="22">
        <f t="shared" si="37"/>
        <v>0</v>
      </c>
      <c r="J513" t="str">
        <f t="shared" si="38"/>
        <v>Петров Владимир КирилловичЕгорова Юлия Алексеевна</v>
      </c>
      <c r="K513" t="s">
        <v>50</v>
      </c>
      <c r="L513" t="s">
        <v>13</v>
      </c>
      <c r="M513" t="s">
        <v>317</v>
      </c>
      <c r="N513" t="str">
        <f t="shared" si="39"/>
        <v>Орлов Павел ДенисовичИванов Дмитрий Павлович</v>
      </c>
      <c r="O513" t="s">
        <v>45</v>
      </c>
      <c r="P513" t="s">
        <v>124</v>
      </c>
      <c r="Q513" t="s">
        <v>310</v>
      </c>
    </row>
    <row r="514" spans="2:17" x14ac:dyDescent="0.3">
      <c r="B514" t="s">
        <v>12</v>
      </c>
      <c r="C514" t="s">
        <v>156</v>
      </c>
      <c r="D514" s="22" t="str">
        <f t="shared" si="35"/>
        <v>2023-10-24</v>
      </c>
      <c r="E514" s="22" t="str">
        <f t="shared" si="36"/>
        <v>2023-10-24</v>
      </c>
      <c r="F514" s="22">
        <f t="shared" si="37"/>
        <v>0</v>
      </c>
      <c r="J514" t="str">
        <f t="shared" si="38"/>
        <v>Кузнецов Дмитрий ЛьвовичПетрова Валерия Павловна</v>
      </c>
      <c r="K514" t="s">
        <v>10</v>
      </c>
      <c r="L514" t="s">
        <v>32</v>
      </c>
      <c r="M514" t="s">
        <v>319</v>
      </c>
      <c r="N514" t="str">
        <f t="shared" si="39"/>
        <v>Орлов Павел ДенисовичКозлова София Станиславовна</v>
      </c>
      <c r="O514" t="s">
        <v>45</v>
      </c>
      <c r="P514" t="s">
        <v>54</v>
      </c>
      <c r="Q514" t="s">
        <v>310</v>
      </c>
    </row>
    <row r="515" spans="2:17" x14ac:dyDescent="0.3">
      <c r="B515" t="s">
        <v>12</v>
      </c>
      <c r="C515" t="s">
        <v>75</v>
      </c>
      <c r="D515" s="22" t="str">
        <f t="shared" ref="D515:D578" si="40">VLOOKUP(B515&amp;C515,J:M,4,0)</f>
        <v>2023-09-18</v>
      </c>
      <c r="E515" s="22" t="str">
        <f t="shared" ref="E515:E578" si="41">VLOOKUP(B515&amp;C515,N:Q,4,0)</f>
        <v>2023-09-18</v>
      </c>
      <c r="F515" s="22">
        <f t="shared" ref="F515:F578" si="42">E515-D515</f>
        <v>0</v>
      </c>
      <c r="J515" t="str">
        <f t="shared" ref="J515:J578" si="43">K515&amp;L515</f>
        <v>Белов Алексей КонстантиновичМорозов Павел Ильич</v>
      </c>
      <c r="K515" t="s">
        <v>21</v>
      </c>
      <c r="L515" t="s">
        <v>146</v>
      </c>
      <c r="M515" t="s">
        <v>319</v>
      </c>
      <c r="N515" t="str">
        <f t="shared" ref="N515:N578" si="44">O515&amp;P515</f>
        <v>Новикова Ольга ПетровнаИванов Кирилл Владимирович</v>
      </c>
      <c r="O515" t="s">
        <v>47</v>
      </c>
      <c r="P515" t="s">
        <v>152</v>
      </c>
      <c r="Q515" t="s">
        <v>310</v>
      </c>
    </row>
    <row r="516" spans="2:17" x14ac:dyDescent="0.3">
      <c r="B516" t="s">
        <v>12</v>
      </c>
      <c r="C516" t="s">
        <v>19</v>
      </c>
      <c r="D516" s="22" t="str">
        <f t="shared" si="40"/>
        <v>2024-01-30</v>
      </c>
      <c r="E516" s="22" t="str">
        <f t="shared" si="41"/>
        <v>2024-01-30</v>
      </c>
      <c r="F516" s="22">
        <f t="shared" si="42"/>
        <v>0</v>
      </c>
      <c r="J516" t="str">
        <f t="shared" si="43"/>
        <v>Фролов Сергей ВикторовичСидорова Ксения Дмитриевна</v>
      </c>
      <c r="K516" t="s">
        <v>40</v>
      </c>
      <c r="L516" t="s">
        <v>99</v>
      </c>
      <c r="M516" t="s">
        <v>320</v>
      </c>
      <c r="N516" t="str">
        <f t="shared" si="44"/>
        <v>Фролов Сергей ВикторовичВолков Александр Юрьевич</v>
      </c>
      <c r="O516" t="s">
        <v>40</v>
      </c>
      <c r="P516" t="s">
        <v>103</v>
      </c>
      <c r="Q516" t="s">
        <v>310</v>
      </c>
    </row>
    <row r="517" spans="2:17" x14ac:dyDescent="0.3">
      <c r="B517" t="s">
        <v>12</v>
      </c>
      <c r="C517" t="s">
        <v>52</v>
      </c>
      <c r="D517" s="22" t="str">
        <f t="shared" si="40"/>
        <v>2024-06-19</v>
      </c>
      <c r="E517" s="22" t="str">
        <f t="shared" si="41"/>
        <v>2024-06-19</v>
      </c>
      <c r="F517" s="22">
        <f t="shared" si="42"/>
        <v>0</v>
      </c>
      <c r="J517" t="str">
        <f t="shared" si="43"/>
        <v>Сидорова Елена ВасильевнаНиколаева София Геннадьевна</v>
      </c>
      <c r="K517" t="s">
        <v>18</v>
      </c>
      <c r="L517" t="s">
        <v>315</v>
      </c>
      <c r="M517" t="s">
        <v>320</v>
      </c>
      <c r="N517" t="str">
        <f t="shared" si="44"/>
        <v>Фролов Сергей ВикторовичЛебедева Юлия Олеговна</v>
      </c>
      <c r="O517" t="s">
        <v>40</v>
      </c>
      <c r="P517" t="s">
        <v>312</v>
      </c>
      <c r="Q517" t="s">
        <v>310</v>
      </c>
    </row>
    <row r="518" spans="2:17" x14ac:dyDescent="0.3">
      <c r="B518" t="s">
        <v>12</v>
      </c>
      <c r="C518" t="s">
        <v>146</v>
      </c>
      <c r="D518" s="22" t="str">
        <f t="shared" si="40"/>
        <v>2024-02-26</v>
      </c>
      <c r="E518" s="22" t="str">
        <f t="shared" si="41"/>
        <v>2024-02-26</v>
      </c>
      <c r="F518" s="22">
        <f t="shared" si="42"/>
        <v>0</v>
      </c>
      <c r="J518" t="str">
        <f t="shared" si="43"/>
        <v>Кузнецов Дмитрий ЛьвовичОрлов Александр Иванович</v>
      </c>
      <c r="K518" t="s">
        <v>10</v>
      </c>
      <c r="L518" t="s">
        <v>69</v>
      </c>
      <c r="M518" t="s">
        <v>321</v>
      </c>
      <c r="N518" t="str">
        <f t="shared" si="44"/>
        <v>Орлов Павел ДенисовичВолков Роман Иванович</v>
      </c>
      <c r="O518" t="s">
        <v>45</v>
      </c>
      <c r="P518" t="s">
        <v>300</v>
      </c>
      <c r="Q518" t="s">
        <v>309</v>
      </c>
    </row>
    <row r="519" spans="2:17" x14ac:dyDescent="0.3">
      <c r="B519" t="s">
        <v>12</v>
      </c>
      <c r="C519" t="s">
        <v>115</v>
      </c>
      <c r="D519" s="22" t="str">
        <f t="shared" si="40"/>
        <v>2024-02-12</v>
      </c>
      <c r="E519" s="22" t="str">
        <f t="shared" si="41"/>
        <v>2024-02-12</v>
      </c>
      <c r="F519" s="22">
        <f t="shared" si="42"/>
        <v>0</v>
      </c>
      <c r="J519" t="str">
        <f t="shared" si="43"/>
        <v>Кузнецов Дмитрий ЛьвовичПетров Алексей Олегович</v>
      </c>
      <c r="K519" t="s">
        <v>10</v>
      </c>
      <c r="L519" t="s">
        <v>190</v>
      </c>
      <c r="M519" t="s">
        <v>321</v>
      </c>
      <c r="N519" t="str">
        <f t="shared" si="44"/>
        <v>Белов Алексей КонстантиновичВасильев Матвей Романович</v>
      </c>
      <c r="O519" t="s">
        <v>21</v>
      </c>
      <c r="P519" t="s">
        <v>24</v>
      </c>
      <c r="Q519" t="s">
        <v>309</v>
      </c>
    </row>
    <row r="520" spans="2:17" x14ac:dyDescent="0.3">
      <c r="B520" t="s">
        <v>12</v>
      </c>
      <c r="C520" t="s">
        <v>202</v>
      </c>
      <c r="D520" s="22" t="str">
        <f t="shared" si="40"/>
        <v>2023-11-16</v>
      </c>
      <c r="E520" s="22" t="str">
        <f t="shared" si="41"/>
        <v>2024-01-15</v>
      </c>
      <c r="F520" s="22">
        <f t="shared" si="42"/>
        <v>60</v>
      </c>
      <c r="J520" t="str">
        <f t="shared" si="43"/>
        <v>Петров Владимир КирилловичСеменов Артур Михайлович</v>
      </c>
      <c r="K520" t="s">
        <v>50</v>
      </c>
      <c r="L520" t="s">
        <v>245</v>
      </c>
      <c r="M520" t="s">
        <v>321</v>
      </c>
      <c r="N520" t="str">
        <f t="shared" si="44"/>
        <v>Фролов Сергей ВикторовичЕгоров Никита Ильич</v>
      </c>
      <c r="O520" t="s">
        <v>40</v>
      </c>
      <c r="P520" t="s">
        <v>112</v>
      </c>
      <c r="Q520" t="s">
        <v>308</v>
      </c>
    </row>
    <row r="521" spans="2:17" x14ac:dyDescent="0.3">
      <c r="B521" t="s">
        <v>12</v>
      </c>
      <c r="C521" t="s">
        <v>126</v>
      </c>
      <c r="D521" s="22" t="str">
        <f t="shared" si="40"/>
        <v>2024-08-02</v>
      </c>
      <c r="E521" s="22" t="str">
        <f t="shared" si="41"/>
        <v>2024-08-02</v>
      </c>
      <c r="F521" s="22">
        <f t="shared" si="42"/>
        <v>0</v>
      </c>
      <c r="J521" t="str">
        <f t="shared" si="43"/>
        <v>Громова Мария ИльиничнаФедорова Людмила Кирилловна</v>
      </c>
      <c r="K521" t="s">
        <v>14</v>
      </c>
      <c r="L521" t="s">
        <v>199</v>
      </c>
      <c r="M521" t="s">
        <v>321</v>
      </c>
      <c r="N521" t="str">
        <f t="shared" si="44"/>
        <v>Иванова Анна СергеевнаНовиков Дмитрий Станиславович</v>
      </c>
      <c r="O521" t="s">
        <v>28</v>
      </c>
      <c r="P521" t="s">
        <v>205</v>
      </c>
      <c r="Q521" t="s">
        <v>308</v>
      </c>
    </row>
    <row r="522" spans="2:17" x14ac:dyDescent="0.3">
      <c r="B522" t="s">
        <v>12</v>
      </c>
      <c r="C522" t="s">
        <v>270</v>
      </c>
      <c r="D522" s="22" t="str">
        <f t="shared" si="40"/>
        <v>2024-05-07</v>
      </c>
      <c r="E522" s="22" t="str">
        <f t="shared" si="41"/>
        <v>2024-07-04</v>
      </c>
      <c r="F522" s="22">
        <f t="shared" si="42"/>
        <v>58</v>
      </c>
      <c r="J522" t="str">
        <f t="shared" si="43"/>
        <v>Громова Мария ИльиничнаПетрова Вероника Александровна</v>
      </c>
      <c r="K522" t="s">
        <v>14</v>
      </c>
      <c r="L522" t="s">
        <v>23</v>
      </c>
      <c r="M522" t="s">
        <v>322</v>
      </c>
      <c r="N522" t="str">
        <f t="shared" si="44"/>
        <v>Петров Владимир КирилловичМорозова Валерия Ильинична</v>
      </c>
      <c r="O522" t="s">
        <v>50</v>
      </c>
      <c r="P522" t="s">
        <v>174</v>
      </c>
      <c r="Q522" t="s">
        <v>308</v>
      </c>
    </row>
    <row r="523" spans="2:17" x14ac:dyDescent="0.3">
      <c r="B523" t="s">
        <v>12</v>
      </c>
      <c r="C523" t="s">
        <v>81</v>
      </c>
      <c r="D523" s="22" t="str">
        <f t="shared" si="40"/>
        <v>2023-12-25</v>
      </c>
      <c r="E523" s="22" t="str">
        <f t="shared" si="41"/>
        <v>2024-04-02</v>
      </c>
      <c r="F523" s="22">
        <f t="shared" si="42"/>
        <v>99</v>
      </c>
      <c r="J523" t="str">
        <f t="shared" si="43"/>
        <v>Сидорова Елена ВасильевнаКузнецова Мария Юрьевна</v>
      </c>
      <c r="K523" t="s">
        <v>18</v>
      </c>
      <c r="L523" t="s">
        <v>22</v>
      </c>
      <c r="M523" t="s">
        <v>322</v>
      </c>
      <c r="N523" t="str">
        <f t="shared" si="44"/>
        <v>Петров Владимир КирилловичИванов Дмитрий Павлович</v>
      </c>
      <c r="O523" t="s">
        <v>50</v>
      </c>
      <c r="P523" t="s">
        <v>124</v>
      </c>
      <c r="Q523" t="s">
        <v>308</v>
      </c>
    </row>
    <row r="524" spans="2:17" x14ac:dyDescent="0.3">
      <c r="B524" t="s">
        <v>12</v>
      </c>
      <c r="C524" t="s">
        <v>97</v>
      </c>
      <c r="D524" s="22" t="str">
        <f t="shared" si="40"/>
        <v>2024-08-05</v>
      </c>
      <c r="E524" s="22" t="str">
        <f t="shared" si="41"/>
        <v>2024-08-05</v>
      </c>
      <c r="F524" s="22">
        <f t="shared" si="42"/>
        <v>0</v>
      </c>
      <c r="J524" t="str">
        <f t="shared" si="43"/>
        <v>Фролов Сергей ВикторовичЛебедев Константин Алексеевич</v>
      </c>
      <c r="K524" t="s">
        <v>40</v>
      </c>
      <c r="L524" t="s">
        <v>323</v>
      </c>
      <c r="M524" t="s">
        <v>322</v>
      </c>
      <c r="N524" t="str">
        <f t="shared" si="44"/>
        <v>Кузнецов Дмитрий ЛьвовичКозлова Татьяна Михайловна</v>
      </c>
      <c r="O524" t="s">
        <v>10</v>
      </c>
      <c r="P524" t="s">
        <v>61</v>
      </c>
      <c r="Q524" t="s">
        <v>307</v>
      </c>
    </row>
    <row r="525" spans="2:17" x14ac:dyDescent="0.3">
      <c r="B525" t="s">
        <v>12</v>
      </c>
      <c r="C525" t="s">
        <v>181</v>
      </c>
      <c r="D525" s="22" t="str">
        <f t="shared" si="40"/>
        <v>2024-05-29</v>
      </c>
      <c r="E525" s="22" t="str">
        <f t="shared" si="41"/>
        <v>2024-05-30</v>
      </c>
      <c r="F525" s="22">
        <f t="shared" si="42"/>
        <v>1</v>
      </c>
      <c r="J525" t="str">
        <f t="shared" si="43"/>
        <v>Яковлев Артем ИгоревичСтепанова Юлия Андреевна</v>
      </c>
      <c r="K525" t="s">
        <v>8</v>
      </c>
      <c r="L525" t="s">
        <v>217</v>
      </c>
      <c r="M525" t="s">
        <v>322</v>
      </c>
      <c r="N525" t="str">
        <f t="shared" si="44"/>
        <v>Кузнецов Дмитрий ЛьвовичНовикова Ирина Геннадьевна</v>
      </c>
      <c r="O525" t="s">
        <v>10</v>
      </c>
      <c r="P525" t="s">
        <v>105</v>
      </c>
      <c r="Q525" t="s">
        <v>307</v>
      </c>
    </row>
    <row r="526" spans="2:17" x14ac:dyDescent="0.3">
      <c r="B526" t="s">
        <v>12</v>
      </c>
      <c r="C526" t="s">
        <v>105</v>
      </c>
      <c r="D526" s="22" t="str">
        <f t="shared" si="40"/>
        <v>2024-01-31</v>
      </c>
      <c r="E526" s="22" t="str">
        <f t="shared" si="41"/>
        <v>2024-01-31</v>
      </c>
      <c r="F526" s="22">
        <f t="shared" si="42"/>
        <v>0</v>
      </c>
      <c r="J526" t="str">
        <f t="shared" si="43"/>
        <v>Ткаченко Андрей ОлеговичЛебедева Юлия Олеговна</v>
      </c>
      <c r="K526" t="s">
        <v>5</v>
      </c>
      <c r="L526" t="s">
        <v>312</v>
      </c>
      <c r="M526" t="s">
        <v>322</v>
      </c>
      <c r="N526" t="str">
        <f t="shared" si="44"/>
        <v>Белов Алексей КонстантиновичНовикова Екатерина Ивановна</v>
      </c>
      <c r="O526" t="s">
        <v>21</v>
      </c>
      <c r="P526" t="s">
        <v>11</v>
      </c>
      <c r="Q526" t="s">
        <v>306</v>
      </c>
    </row>
    <row r="527" spans="2:17" x14ac:dyDescent="0.3">
      <c r="B527" t="s">
        <v>12</v>
      </c>
      <c r="C527" t="s">
        <v>195</v>
      </c>
      <c r="D527" s="22" t="str">
        <f t="shared" si="40"/>
        <v>2024-08-07</v>
      </c>
      <c r="E527" s="22" t="str">
        <f t="shared" si="41"/>
        <v>2024-08-07</v>
      </c>
      <c r="F527" s="22">
        <f t="shared" si="42"/>
        <v>0</v>
      </c>
      <c r="J527" t="str">
        <f t="shared" si="43"/>
        <v>Громова Мария ИльиничнаПавлов Илья Никитич</v>
      </c>
      <c r="K527" t="s">
        <v>14</v>
      </c>
      <c r="L527" t="s">
        <v>324</v>
      </c>
      <c r="M527" t="s">
        <v>322</v>
      </c>
      <c r="N527" t="str">
        <f t="shared" si="44"/>
        <v>Ткаченко Андрей ОлеговичМорозов Максим Андреевич</v>
      </c>
      <c r="O527" t="s">
        <v>5</v>
      </c>
      <c r="P527" t="s">
        <v>52</v>
      </c>
      <c r="Q527" t="s">
        <v>304</v>
      </c>
    </row>
    <row r="528" spans="2:17" x14ac:dyDescent="0.3">
      <c r="B528" t="s">
        <v>12</v>
      </c>
      <c r="C528" t="s">
        <v>30</v>
      </c>
      <c r="D528" s="22" t="str">
        <f t="shared" si="40"/>
        <v>2023-09-06</v>
      </c>
      <c r="E528" s="22" t="str">
        <f t="shared" si="41"/>
        <v>2023-09-06</v>
      </c>
      <c r="F528" s="22">
        <f t="shared" si="42"/>
        <v>0</v>
      </c>
      <c r="J528" t="str">
        <f t="shared" si="43"/>
        <v>Яковлев Артем ИгоревичКузнецов Сергей Кириллович</v>
      </c>
      <c r="K528" t="s">
        <v>8</v>
      </c>
      <c r="L528" t="s">
        <v>225</v>
      </c>
      <c r="M528" t="s">
        <v>325</v>
      </c>
      <c r="N528" t="str">
        <f t="shared" si="44"/>
        <v>Новикова Ольга ПетровнаФедоров Роман Дмитриевич</v>
      </c>
      <c r="O528" t="s">
        <v>47</v>
      </c>
      <c r="P528" t="s">
        <v>41</v>
      </c>
      <c r="Q528" t="s">
        <v>304</v>
      </c>
    </row>
    <row r="529" spans="2:17" x14ac:dyDescent="0.3">
      <c r="B529" t="s">
        <v>12</v>
      </c>
      <c r="C529" t="s">
        <v>116</v>
      </c>
      <c r="D529" s="22" t="str">
        <f t="shared" si="40"/>
        <v>2024-01-11</v>
      </c>
      <c r="E529" s="22" t="str">
        <f t="shared" si="41"/>
        <v>2024-01-11</v>
      </c>
      <c r="F529" s="22">
        <f t="shared" si="42"/>
        <v>0</v>
      </c>
      <c r="J529" t="str">
        <f t="shared" si="43"/>
        <v>Иванова Анна СергеевнаЛебедев Максим Михайлович</v>
      </c>
      <c r="K529" t="s">
        <v>28</v>
      </c>
      <c r="L529" t="s">
        <v>183</v>
      </c>
      <c r="M529" t="s">
        <v>326</v>
      </c>
      <c r="N529" t="str">
        <f t="shared" si="44"/>
        <v>Семенова Ирина ВалерьевнаМорозова София Геннадьевна</v>
      </c>
      <c r="O529" t="s">
        <v>12</v>
      </c>
      <c r="P529" t="s">
        <v>115</v>
      </c>
      <c r="Q529" t="s">
        <v>304</v>
      </c>
    </row>
    <row r="530" spans="2:17" x14ac:dyDescent="0.3">
      <c r="B530" t="s">
        <v>12</v>
      </c>
      <c r="C530" t="s">
        <v>101</v>
      </c>
      <c r="D530" s="22" t="str">
        <f t="shared" si="40"/>
        <v>2024-05-31</v>
      </c>
      <c r="E530" s="22" t="str">
        <f t="shared" si="41"/>
        <v>2024-07-18</v>
      </c>
      <c r="F530" s="22">
        <f t="shared" si="42"/>
        <v>48</v>
      </c>
      <c r="J530" t="str">
        <f t="shared" si="43"/>
        <v>Сидорова Елена ВасильевнаЛебедев Владимир Сергеевич</v>
      </c>
      <c r="K530" t="s">
        <v>18</v>
      </c>
      <c r="L530" t="s">
        <v>55</v>
      </c>
      <c r="M530" t="s">
        <v>326</v>
      </c>
      <c r="N530" t="str">
        <f t="shared" si="44"/>
        <v>Громова Мария ИльиничнаСеменова Полина Артемовна</v>
      </c>
      <c r="O530" t="s">
        <v>14</v>
      </c>
      <c r="P530" t="s">
        <v>119</v>
      </c>
      <c r="Q530" t="s">
        <v>304</v>
      </c>
    </row>
    <row r="531" spans="2:17" x14ac:dyDescent="0.3">
      <c r="B531" t="s">
        <v>12</v>
      </c>
      <c r="C531" t="s">
        <v>27</v>
      </c>
      <c r="D531" s="22" t="str">
        <f t="shared" si="40"/>
        <v>2023-11-30</v>
      </c>
      <c r="E531" s="22" t="str">
        <f t="shared" si="41"/>
        <v>2023-11-30</v>
      </c>
      <c r="F531" s="22">
        <f t="shared" si="42"/>
        <v>0</v>
      </c>
      <c r="J531" t="str">
        <f t="shared" si="43"/>
        <v>Ткаченко Андрей ОлеговичОрлов Александр Иванович</v>
      </c>
      <c r="K531" t="s">
        <v>5</v>
      </c>
      <c r="L531" t="s">
        <v>69</v>
      </c>
      <c r="M531" t="s">
        <v>327</v>
      </c>
      <c r="N531" t="str">
        <f t="shared" si="44"/>
        <v>Иванова Анна СергеевнаОрлова Дарья Кирилловна</v>
      </c>
      <c r="O531" t="s">
        <v>28</v>
      </c>
      <c r="P531" t="s">
        <v>290</v>
      </c>
      <c r="Q531" t="s">
        <v>304</v>
      </c>
    </row>
    <row r="532" spans="2:17" x14ac:dyDescent="0.3">
      <c r="B532" t="s">
        <v>12</v>
      </c>
      <c r="C532" t="s">
        <v>191</v>
      </c>
      <c r="D532" s="22" t="str">
        <f t="shared" si="40"/>
        <v>2023-12-11</v>
      </c>
      <c r="E532" s="22" t="str">
        <f t="shared" si="41"/>
        <v>2024-02-26</v>
      </c>
      <c r="F532" s="22">
        <f t="shared" si="42"/>
        <v>77</v>
      </c>
      <c r="J532" t="str">
        <f t="shared" si="43"/>
        <v>Фролов Сергей ВикторовичКузнецова Мария Юрьевна</v>
      </c>
      <c r="K532" t="s">
        <v>40</v>
      </c>
      <c r="L532" t="s">
        <v>22</v>
      </c>
      <c r="M532" t="s">
        <v>327</v>
      </c>
      <c r="N532" t="str">
        <f t="shared" si="44"/>
        <v>Белов Алексей КонстантиновичАлексеев Матвей Александрович</v>
      </c>
      <c r="O532" t="s">
        <v>21</v>
      </c>
      <c r="P532" t="s">
        <v>305</v>
      </c>
      <c r="Q532" t="s">
        <v>304</v>
      </c>
    </row>
    <row r="533" spans="2:17" x14ac:dyDescent="0.3">
      <c r="B533" t="s">
        <v>12</v>
      </c>
      <c r="C533" t="s">
        <v>141</v>
      </c>
      <c r="D533" s="22" t="str">
        <f t="shared" si="40"/>
        <v>2024-03-15</v>
      </c>
      <c r="E533" s="22" t="str">
        <f t="shared" si="41"/>
        <v>2024-03-15</v>
      </c>
      <c r="F533" s="22">
        <f t="shared" si="42"/>
        <v>0</v>
      </c>
      <c r="J533" t="str">
        <f t="shared" si="43"/>
        <v>Громова Мария ИльиничнаЕгорова Татьяна Александровна</v>
      </c>
      <c r="K533" t="s">
        <v>14</v>
      </c>
      <c r="L533" t="s">
        <v>168</v>
      </c>
      <c r="M533" t="s">
        <v>327</v>
      </c>
      <c r="N533" t="str">
        <f t="shared" si="44"/>
        <v>Кузнецов Дмитрий ЛьвовичПавлов Алексей Геннадьевич</v>
      </c>
      <c r="O533" t="s">
        <v>10</v>
      </c>
      <c r="P533" t="s">
        <v>191</v>
      </c>
      <c r="Q533" t="s">
        <v>304</v>
      </c>
    </row>
    <row r="534" spans="2:17" x14ac:dyDescent="0.3">
      <c r="B534" t="s">
        <v>12</v>
      </c>
      <c r="C534" t="s">
        <v>190</v>
      </c>
      <c r="D534" s="22" t="str">
        <f t="shared" si="40"/>
        <v>2024-05-07</v>
      </c>
      <c r="E534" s="22" t="str">
        <f t="shared" si="41"/>
        <v>2024-05-07</v>
      </c>
      <c r="F534" s="22">
        <f t="shared" si="42"/>
        <v>0</v>
      </c>
      <c r="J534" t="str">
        <f t="shared" si="43"/>
        <v>Иванова Анна СергеевнаОрлов Михаил Никитич</v>
      </c>
      <c r="K534" t="s">
        <v>28</v>
      </c>
      <c r="L534" t="s">
        <v>60</v>
      </c>
      <c r="M534" t="s">
        <v>328</v>
      </c>
      <c r="N534" t="str">
        <f t="shared" si="44"/>
        <v>Иванова Анна СергеевнаПавлов Алексей Геннадьевич</v>
      </c>
      <c r="O534" t="s">
        <v>28</v>
      </c>
      <c r="P534" t="s">
        <v>191</v>
      </c>
      <c r="Q534" t="s">
        <v>304</v>
      </c>
    </row>
    <row r="535" spans="2:17" x14ac:dyDescent="0.3">
      <c r="B535" t="s">
        <v>12</v>
      </c>
      <c r="C535" t="s">
        <v>66</v>
      </c>
      <c r="D535" s="22" t="str">
        <f t="shared" si="40"/>
        <v>2023-11-29</v>
      </c>
      <c r="E535" s="22" t="str">
        <f t="shared" si="41"/>
        <v>2023-11-29</v>
      </c>
      <c r="F535" s="22">
        <f t="shared" si="42"/>
        <v>0</v>
      </c>
      <c r="J535" t="str">
        <f t="shared" si="43"/>
        <v>Новикова Ольга ПетровнаИванов Илья Артемович</v>
      </c>
      <c r="K535" t="s">
        <v>47</v>
      </c>
      <c r="L535" t="s">
        <v>83</v>
      </c>
      <c r="M535" t="s">
        <v>329</v>
      </c>
      <c r="N535" t="str">
        <f t="shared" si="44"/>
        <v>Белов Алексей КонстантиновичСидоров Александр Артемович</v>
      </c>
      <c r="O535" t="s">
        <v>21</v>
      </c>
      <c r="P535" t="s">
        <v>77</v>
      </c>
      <c r="Q535" t="s">
        <v>303</v>
      </c>
    </row>
    <row r="536" spans="2:17" x14ac:dyDescent="0.3">
      <c r="B536" t="s">
        <v>12</v>
      </c>
      <c r="C536" t="s">
        <v>70</v>
      </c>
      <c r="D536" s="22" t="str">
        <f t="shared" si="40"/>
        <v>2023-11-27</v>
      </c>
      <c r="E536" s="22" t="str">
        <f t="shared" si="41"/>
        <v>2023-11-27</v>
      </c>
      <c r="F536" s="22">
        <f t="shared" si="42"/>
        <v>0</v>
      </c>
      <c r="J536" t="str">
        <f t="shared" si="43"/>
        <v>Громова Мария ИльиничнаКузнецов Никита Андреевич</v>
      </c>
      <c r="K536" t="s">
        <v>14</v>
      </c>
      <c r="L536" t="s">
        <v>20</v>
      </c>
      <c r="M536" t="s">
        <v>329</v>
      </c>
      <c r="N536" t="str">
        <f t="shared" si="44"/>
        <v>Сидорова Елена ВасильевнаМорозова Светлана Артемовна</v>
      </c>
      <c r="O536" t="s">
        <v>18</v>
      </c>
      <c r="P536" t="s">
        <v>107</v>
      </c>
      <c r="Q536" t="s">
        <v>303</v>
      </c>
    </row>
    <row r="537" spans="2:17" x14ac:dyDescent="0.3">
      <c r="B537" t="s">
        <v>12</v>
      </c>
      <c r="C537" t="s">
        <v>32</v>
      </c>
      <c r="D537" s="22" t="str">
        <f t="shared" si="40"/>
        <v>2023-09-07</v>
      </c>
      <c r="E537" s="22" t="str">
        <f t="shared" si="41"/>
        <v>2023-09-07</v>
      </c>
      <c r="F537" s="22">
        <f t="shared" si="42"/>
        <v>0</v>
      </c>
      <c r="J537" t="str">
        <f t="shared" si="43"/>
        <v>Яковлев Артем ИгоревичЕгоров Артур Владимирович</v>
      </c>
      <c r="K537" t="s">
        <v>8</v>
      </c>
      <c r="L537" t="s">
        <v>150</v>
      </c>
      <c r="M537" t="s">
        <v>329</v>
      </c>
      <c r="N537" t="str">
        <f t="shared" si="44"/>
        <v>Петров Владимир КирилловичЛебедев Артем Кириллович</v>
      </c>
      <c r="O537" t="s">
        <v>50</v>
      </c>
      <c r="P537" t="s">
        <v>49</v>
      </c>
      <c r="Q537" t="s">
        <v>303</v>
      </c>
    </row>
    <row r="538" spans="2:17" x14ac:dyDescent="0.3">
      <c r="B538" t="s">
        <v>12</v>
      </c>
      <c r="C538" t="s">
        <v>23</v>
      </c>
      <c r="D538" s="22" t="str">
        <f t="shared" si="40"/>
        <v>2023-10-09</v>
      </c>
      <c r="E538" s="22" t="str">
        <f t="shared" si="41"/>
        <v>2023-10-09</v>
      </c>
      <c r="F538" s="22">
        <f t="shared" si="42"/>
        <v>0</v>
      </c>
      <c r="J538" t="str">
        <f t="shared" si="43"/>
        <v>Кузнецов Дмитрий ЛьвовичНиколаева Юлия Егоровна</v>
      </c>
      <c r="K538" t="s">
        <v>10</v>
      </c>
      <c r="L538" t="s">
        <v>126</v>
      </c>
      <c r="M538" t="s">
        <v>329</v>
      </c>
      <c r="N538" t="str">
        <f t="shared" si="44"/>
        <v>Сидорова Елена ВасильевнаСтепанов Егор Павлович</v>
      </c>
      <c r="O538" t="s">
        <v>18</v>
      </c>
      <c r="P538" t="s">
        <v>291</v>
      </c>
      <c r="Q538" t="s">
        <v>303</v>
      </c>
    </row>
    <row r="539" spans="2:17" x14ac:dyDescent="0.3">
      <c r="B539" t="s">
        <v>12</v>
      </c>
      <c r="C539" t="s">
        <v>92</v>
      </c>
      <c r="D539" s="22" t="str">
        <f t="shared" si="40"/>
        <v>2024-02-26</v>
      </c>
      <c r="E539" s="22" t="str">
        <f t="shared" si="41"/>
        <v>2024-02-26</v>
      </c>
      <c r="F539" s="22">
        <f t="shared" si="42"/>
        <v>0</v>
      </c>
      <c r="J539" t="str">
        <f t="shared" si="43"/>
        <v>Новикова Ольга ПетровнаСеменов Артем Дмитриевич</v>
      </c>
      <c r="K539" t="s">
        <v>47</v>
      </c>
      <c r="L539" t="s">
        <v>232</v>
      </c>
      <c r="M539" t="s">
        <v>329</v>
      </c>
      <c r="N539" t="str">
        <f t="shared" si="44"/>
        <v>Фролов Сергей ВикторовичЕгоров Артем Никитич</v>
      </c>
      <c r="O539" t="s">
        <v>40</v>
      </c>
      <c r="P539" t="s">
        <v>25</v>
      </c>
      <c r="Q539" t="s">
        <v>301</v>
      </c>
    </row>
    <row r="540" spans="2:17" x14ac:dyDescent="0.3">
      <c r="B540" t="s">
        <v>12</v>
      </c>
      <c r="C540" t="s">
        <v>234</v>
      </c>
      <c r="D540" s="22" t="str">
        <f t="shared" si="40"/>
        <v>2023-12-12</v>
      </c>
      <c r="E540" s="22" t="str">
        <f t="shared" si="41"/>
        <v>2023-12-12</v>
      </c>
      <c r="F540" s="22">
        <f t="shared" si="42"/>
        <v>0</v>
      </c>
      <c r="J540" t="str">
        <f t="shared" si="43"/>
        <v>Фролов Сергей ВикторовичВасильев Михаил Павлович</v>
      </c>
      <c r="K540" t="s">
        <v>40</v>
      </c>
      <c r="L540" t="s">
        <v>200</v>
      </c>
      <c r="M540" t="s">
        <v>330</v>
      </c>
      <c r="N540" t="str">
        <f t="shared" si="44"/>
        <v>Кузнецов Дмитрий ЛьвовичКузнецова Татьяна Егоровна</v>
      </c>
      <c r="O540" t="s">
        <v>10</v>
      </c>
      <c r="P540" t="s">
        <v>302</v>
      </c>
      <c r="Q540" t="s">
        <v>301</v>
      </c>
    </row>
    <row r="541" spans="2:17" x14ac:dyDescent="0.3">
      <c r="B541" t="s">
        <v>12</v>
      </c>
      <c r="C541" t="s">
        <v>106</v>
      </c>
      <c r="D541" s="22" t="str">
        <f t="shared" si="40"/>
        <v>2023-09-29</v>
      </c>
      <c r="E541" s="22" t="str">
        <f t="shared" si="41"/>
        <v>2023-09-29</v>
      </c>
      <c r="F541" s="22">
        <f t="shared" si="42"/>
        <v>0</v>
      </c>
      <c r="J541" t="str">
        <f t="shared" si="43"/>
        <v>Сидорова Елена ВасильевнаВасильева Людмила Ивановна</v>
      </c>
      <c r="K541" t="s">
        <v>18</v>
      </c>
      <c r="L541" t="s">
        <v>140</v>
      </c>
      <c r="M541" t="s">
        <v>330</v>
      </c>
      <c r="N541" t="str">
        <f t="shared" si="44"/>
        <v>Фролов Сергей ВикторовичИванов Александр Павлович</v>
      </c>
      <c r="O541" t="s">
        <v>40</v>
      </c>
      <c r="P541" t="s">
        <v>37</v>
      </c>
      <c r="Q541" t="s">
        <v>301</v>
      </c>
    </row>
    <row r="542" spans="2:17" x14ac:dyDescent="0.3">
      <c r="B542" t="s">
        <v>12</v>
      </c>
      <c r="C542" t="s">
        <v>110</v>
      </c>
      <c r="D542" s="22" t="str">
        <f t="shared" si="40"/>
        <v>2023-10-02</v>
      </c>
      <c r="E542" s="22" t="str">
        <f t="shared" si="41"/>
        <v>2023-11-20</v>
      </c>
      <c r="F542" s="22">
        <f t="shared" si="42"/>
        <v>49</v>
      </c>
      <c r="J542" t="str">
        <f t="shared" si="43"/>
        <v>Семенова Ирина ВалерьевнаПавлова Екатерина Егоровна</v>
      </c>
      <c r="K542" t="s">
        <v>12</v>
      </c>
      <c r="L542" t="s">
        <v>141</v>
      </c>
      <c r="M542" t="s">
        <v>330</v>
      </c>
      <c r="N542" t="str">
        <f t="shared" si="44"/>
        <v>Яковлев Артем ИгоревичМорозов Артем Александрович</v>
      </c>
      <c r="O542" t="s">
        <v>8</v>
      </c>
      <c r="P542" t="s">
        <v>289</v>
      </c>
      <c r="Q542" t="s">
        <v>299</v>
      </c>
    </row>
    <row r="543" spans="2:17" x14ac:dyDescent="0.3">
      <c r="B543" t="s">
        <v>12</v>
      </c>
      <c r="C543" t="s">
        <v>65</v>
      </c>
      <c r="D543" s="22" t="str">
        <f t="shared" si="40"/>
        <v>2023-09-13</v>
      </c>
      <c r="E543" s="22" t="str">
        <f t="shared" si="41"/>
        <v>2023-09-13</v>
      </c>
      <c r="F543" s="22">
        <f t="shared" si="42"/>
        <v>0</v>
      </c>
      <c r="J543" t="str">
        <f t="shared" si="43"/>
        <v>Иванова Анна СергеевнаЛебедев Артем Кириллович</v>
      </c>
      <c r="K543" t="s">
        <v>28</v>
      </c>
      <c r="L543" t="s">
        <v>49</v>
      </c>
      <c r="M543" t="s">
        <v>331</v>
      </c>
      <c r="N543" t="str">
        <f t="shared" si="44"/>
        <v>Петров Владимир КирилловичВолков Роман Иванович</v>
      </c>
      <c r="O543" t="s">
        <v>50</v>
      </c>
      <c r="P543" t="s">
        <v>300</v>
      </c>
      <c r="Q543" t="s">
        <v>299</v>
      </c>
    </row>
    <row r="544" spans="2:17" x14ac:dyDescent="0.3">
      <c r="B544" t="s">
        <v>12</v>
      </c>
      <c r="C544" t="s">
        <v>127</v>
      </c>
      <c r="D544" s="22" t="str">
        <f t="shared" si="40"/>
        <v>2024-08-19</v>
      </c>
      <c r="E544" s="22" t="str">
        <f t="shared" si="41"/>
        <v>2024-08-19</v>
      </c>
      <c r="F544" s="22">
        <f t="shared" si="42"/>
        <v>0</v>
      </c>
      <c r="J544" t="str">
        <f t="shared" si="43"/>
        <v>Фролов Сергей ВикторовичПетров Алексей Олегович</v>
      </c>
      <c r="K544" t="s">
        <v>40</v>
      </c>
      <c r="L544" t="s">
        <v>190</v>
      </c>
      <c r="M544" t="s">
        <v>331</v>
      </c>
      <c r="N544" t="str">
        <f t="shared" si="44"/>
        <v>Новикова Ольга ПетровнаИванов Александр Павлович</v>
      </c>
      <c r="O544" t="s">
        <v>47</v>
      </c>
      <c r="P544" t="s">
        <v>37</v>
      </c>
      <c r="Q544" t="s">
        <v>299</v>
      </c>
    </row>
    <row r="545" spans="2:17" x14ac:dyDescent="0.3">
      <c r="B545" t="s">
        <v>12</v>
      </c>
      <c r="C545" t="s">
        <v>162</v>
      </c>
      <c r="D545" s="22" t="str">
        <f t="shared" si="40"/>
        <v>2024-02-01</v>
      </c>
      <c r="E545" s="22" t="str">
        <f t="shared" si="41"/>
        <v>2024-02-01</v>
      </c>
      <c r="F545" s="22">
        <f t="shared" si="42"/>
        <v>0</v>
      </c>
      <c r="J545" t="str">
        <f t="shared" si="43"/>
        <v>Громова Мария ИльиничнаВолкова Татьяна Кирилловна</v>
      </c>
      <c r="K545" t="s">
        <v>14</v>
      </c>
      <c r="L545" t="s">
        <v>53</v>
      </c>
      <c r="M545" t="s">
        <v>331</v>
      </c>
      <c r="N545" t="str">
        <f t="shared" si="44"/>
        <v>Кузнецов Дмитрий ЛьвовичВасильев Константин Геннадьевич</v>
      </c>
      <c r="O545" t="s">
        <v>10</v>
      </c>
      <c r="P545" t="s">
        <v>221</v>
      </c>
      <c r="Q545" t="s">
        <v>298</v>
      </c>
    </row>
    <row r="546" spans="2:17" x14ac:dyDescent="0.3">
      <c r="B546" t="s">
        <v>12</v>
      </c>
      <c r="C546" t="s">
        <v>231</v>
      </c>
      <c r="D546" s="22" t="str">
        <f t="shared" si="40"/>
        <v>2024-02-26</v>
      </c>
      <c r="E546" s="22" t="str">
        <f t="shared" si="41"/>
        <v>2024-02-26</v>
      </c>
      <c r="F546" s="22">
        <f t="shared" si="42"/>
        <v>0</v>
      </c>
      <c r="J546" t="str">
        <f t="shared" si="43"/>
        <v>Орлов Павел ДенисовичСмирнова Алиса Кирилловна</v>
      </c>
      <c r="K546" t="s">
        <v>45</v>
      </c>
      <c r="L546" t="s">
        <v>332</v>
      </c>
      <c r="M546" t="s">
        <v>331</v>
      </c>
      <c r="N546" t="str">
        <f t="shared" si="44"/>
        <v>Фролов Сергей ВикторовичВасильев Константин Геннадьевич</v>
      </c>
      <c r="O546" t="s">
        <v>40</v>
      </c>
      <c r="P546" t="s">
        <v>221</v>
      </c>
      <c r="Q546" t="s">
        <v>298</v>
      </c>
    </row>
    <row r="547" spans="2:17" x14ac:dyDescent="0.3">
      <c r="B547" t="s">
        <v>12</v>
      </c>
      <c r="C547" t="s">
        <v>153</v>
      </c>
      <c r="D547" s="22" t="str">
        <f t="shared" si="40"/>
        <v>2023-10-23</v>
      </c>
      <c r="E547" s="22" t="str">
        <f t="shared" si="41"/>
        <v>2023-10-23</v>
      </c>
      <c r="F547" s="22">
        <f t="shared" si="42"/>
        <v>0</v>
      </c>
      <c r="J547" t="str">
        <f t="shared" si="43"/>
        <v>Петров Владимир КирилловичПавлов Алексей Геннадьевич</v>
      </c>
      <c r="K547" t="s">
        <v>50</v>
      </c>
      <c r="L547" t="s">
        <v>191</v>
      </c>
      <c r="M547" t="s">
        <v>331</v>
      </c>
      <c r="N547" t="str">
        <f t="shared" si="44"/>
        <v>Петров Владимир КирилловичСеменов Дмитрий Олегович</v>
      </c>
      <c r="O547" t="s">
        <v>50</v>
      </c>
      <c r="P547" t="s">
        <v>9</v>
      </c>
      <c r="Q547" t="s">
        <v>296</v>
      </c>
    </row>
    <row r="548" spans="2:17" x14ac:dyDescent="0.3">
      <c r="B548" t="s">
        <v>12</v>
      </c>
      <c r="C548" t="s">
        <v>35</v>
      </c>
      <c r="D548" s="22" t="str">
        <f t="shared" si="40"/>
        <v>2024-08-05</v>
      </c>
      <c r="E548" s="22" t="str">
        <f t="shared" si="41"/>
        <v>2024-08-05</v>
      </c>
      <c r="F548" s="22">
        <f t="shared" si="42"/>
        <v>0</v>
      </c>
      <c r="J548" t="str">
        <f t="shared" si="43"/>
        <v>Фролов Сергей ВикторовичФедоров Дмитрий Михайлович</v>
      </c>
      <c r="K548" t="s">
        <v>40</v>
      </c>
      <c r="L548" t="s">
        <v>100</v>
      </c>
      <c r="M548" t="s">
        <v>331</v>
      </c>
      <c r="N548" t="str">
        <f t="shared" si="44"/>
        <v>Ткаченко Андрей ОлеговичСеменов Максим Геннадьевич</v>
      </c>
      <c r="O548" t="s">
        <v>5</v>
      </c>
      <c r="P548" t="s">
        <v>111</v>
      </c>
      <c r="Q548" t="s">
        <v>296</v>
      </c>
    </row>
    <row r="549" spans="2:17" x14ac:dyDescent="0.3">
      <c r="B549" t="s">
        <v>12</v>
      </c>
      <c r="C549" t="s">
        <v>192</v>
      </c>
      <c r="D549" s="22" t="str">
        <f t="shared" si="40"/>
        <v>2024-01-09</v>
      </c>
      <c r="E549" s="22" t="str">
        <f t="shared" si="41"/>
        <v>2024-01-09</v>
      </c>
      <c r="F549" s="22">
        <f t="shared" si="42"/>
        <v>0</v>
      </c>
      <c r="J549" t="str">
        <f t="shared" si="43"/>
        <v>Громова Мария ИльиничнаМорозов Павел Ильич</v>
      </c>
      <c r="K549" t="s">
        <v>14</v>
      </c>
      <c r="L549" t="s">
        <v>146</v>
      </c>
      <c r="M549" t="s">
        <v>331</v>
      </c>
      <c r="N549" t="str">
        <f t="shared" si="44"/>
        <v>Иванова Анна СергеевнаСидорова Елена Кирилловна</v>
      </c>
      <c r="O549" t="s">
        <v>28</v>
      </c>
      <c r="P549" t="s">
        <v>180</v>
      </c>
      <c r="Q549" t="s">
        <v>296</v>
      </c>
    </row>
    <row r="550" spans="2:17" x14ac:dyDescent="0.3">
      <c r="B550" t="s">
        <v>18</v>
      </c>
      <c r="C550" t="s">
        <v>176</v>
      </c>
      <c r="D550" s="22" t="str">
        <f t="shared" si="40"/>
        <v>2023-11-13</v>
      </c>
      <c r="E550" s="22" t="str">
        <f t="shared" si="41"/>
        <v>2023-11-13</v>
      </c>
      <c r="F550" s="22">
        <f t="shared" si="42"/>
        <v>0</v>
      </c>
      <c r="J550" t="str">
        <f t="shared" si="43"/>
        <v>Яковлев Артем ИгоревичМорозова Мария Дмитриевна</v>
      </c>
      <c r="K550" t="s">
        <v>8</v>
      </c>
      <c r="L550" t="s">
        <v>84</v>
      </c>
      <c r="M550" t="s">
        <v>331</v>
      </c>
      <c r="N550" t="str">
        <f t="shared" si="44"/>
        <v>Новикова Ольга ПетровнаВасильева Людмила Ивановна</v>
      </c>
      <c r="O550" t="s">
        <v>47</v>
      </c>
      <c r="P550" t="s">
        <v>140</v>
      </c>
      <c r="Q550" t="s">
        <v>296</v>
      </c>
    </row>
    <row r="551" spans="2:17" x14ac:dyDescent="0.3">
      <c r="B551" t="s">
        <v>18</v>
      </c>
      <c r="C551" t="s">
        <v>71</v>
      </c>
      <c r="D551" s="22" t="str">
        <f t="shared" si="40"/>
        <v>2024-02-20</v>
      </c>
      <c r="E551" s="22" t="str">
        <f t="shared" si="41"/>
        <v>2024-02-20</v>
      </c>
      <c r="F551" s="22">
        <f t="shared" si="42"/>
        <v>0</v>
      </c>
      <c r="J551" t="str">
        <f t="shared" si="43"/>
        <v>Сидорова Елена ВасильевнаЛебедева Анна Викторовна</v>
      </c>
      <c r="K551" t="s">
        <v>18</v>
      </c>
      <c r="L551" t="s">
        <v>48</v>
      </c>
      <c r="M551" t="s">
        <v>331</v>
      </c>
      <c r="N551" t="str">
        <f t="shared" si="44"/>
        <v>Белов Алексей КонстантиновичПопов Алексей Кириллович</v>
      </c>
      <c r="O551" t="s">
        <v>21</v>
      </c>
      <c r="P551" t="s">
        <v>92</v>
      </c>
      <c r="Q551" t="s">
        <v>296</v>
      </c>
    </row>
    <row r="552" spans="2:17" x14ac:dyDescent="0.3">
      <c r="B552" t="s">
        <v>18</v>
      </c>
      <c r="C552" t="s">
        <v>263</v>
      </c>
      <c r="D552" s="22" t="str">
        <f t="shared" si="40"/>
        <v>2024-01-09</v>
      </c>
      <c r="E552" s="22" t="str">
        <f t="shared" si="41"/>
        <v>2024-01-09</v>
      </c>
      <c r="F552" s="22">
        <f t="shared" si="42"/>
        <v>0</v>
      </c>
      <c r="J552" t="str">
        <f t="shared" si="43"/>
        <v>Орлов Павел ДенисовичНовиков Михаил Владимирович</v>
      </c>
      <c r="K552" t="s">
        <v>45</v>
      </c>
      <c r="L552" t="s">
        <v>36</v>
      </c>
      <c r="M552" t="s">
        <v>333</v>
      </c>
      <c r="N552" t="str">
        <f t="shared" si="44"/>
        <v>Кузнецов Дмитрий ЛьвовичЛебедева Виктория Дмитриевна</v>
      </c>
      <c r="O552" t="s">
        <v>10</v>
      </c>
      <c r="P552" t="s">
        <v>6</v>
      </c>
      <c r="Q552" t="s">
        <v>296</v>
      </c>
    </row>
    <row r="553" spans="2:17" x14ac:dyDescent="0.3">
      <c r="B553" t="s">
        <v>18</v>
      </c>
      <c r="C553" t="s">
        <v>221</v>
      </c>
      <c r="D553" s="22" t="str">
        <f t="shared" si="40"/>
        <v>2024-01-29</v>
      </c>
      <c r="E553" s="22" t="str">
        <f t="shared" si="41"/>
        <v>2024-02-01</v>
      </c>
      <c r="F553" s="22">
        <f t="shared" si="42"/>
        <v>3</v>
      </c>
      <c r="J553" t="str">
        <f t="shared" si="43"/>
        <v>Фролов Сергей ВикторовичЛебедев Илья Станиславович</v>
      </c>
      <c r="K553" t="s">
        <v>40</v>
      </c>
      <c r="L553" t="s">
        <v>51</v>
      </c>
      <c r="M553" t="s">
        <v>333</v>
      </c>
      <c r="N553" t="str">
        <f t="shared" si="44"/>
        <v>Фролов Сергей ВикторовичНовикова Мария Викторовна</v>
      </c>
      <c r="O553" t="s">
        <v>40</v>
      </c>
      <c r="P553" t="s">
        <v>247</v>
      </c>
      <c r="Q553" t="s">
        <v>296</v>
      </c>
    </row>
    <row r="554" spans="2:17" x14ac:dyDescent="0.3">
      <c r="B554" t="s">
        <v>18</v>
      </c>
      <c r="C554" t="s">
        <v>24</v>
      </c>
      <c r="D554" s="22" t="str">
        <f t="shared" si="40"/>
        <v>2023-11-14</v>
      </c>
      <c r="E554" s="22" t="str">
        <f t="shared" si="41"/>
        <v>2023-11-14</v>
      </c>
      <c r="F554" s="22">
        <f t="shared" si="42"/>
        <v>0</v>
      </c>
      <c r="J554" t="str">
        <f t="shared" si="43"/>
        <v>Иванова Анна СергеевнаНиколаева Полина Егоровна</v>
      </c>
      <c r="K554" t="s">
        <v>28</v>
      </c>
      <c r="L554" t="s">
        <v>193</v>
      </c>
      <c r="M554" t="s">
        <v>334</v>
      </c>
      <c r="N554" t="str">
        <f t="shared" si="44"/>
        <v>Громова Мария ИльиничнаВасильев Илья Александрович</v>
      </c>
      <c r="O554" t="s">
        <v>14</v>
      </c>
      <c r="P554" t="s">
        <v>297</v>
      </c>
      <c r="Q554" t="s">
        <v>296</v>
      </c>
    </row>
    <row r="555" spans="2:17" x14ac:dyDescent="0.3">
      <c r="B555" t="s">
        <v>18</v>
      </c>
      <c r="C555" t="s">
        <v>140</v>
      </c>
      <c r="D555" s="22" t="str">
        <f t="shared" si="40"/>
        <v>2023-11-13</v>
      </c>
      <c r="E555" s="22" t="str">
        <f t="shared" si="41"/>
        <v>2024-08-12</v>
      </c>
      <c r="F555" s="22">
        <f t="shared" si="42"/>
        <v>273</v>
      </c>
      <c r="J555" t="str">
        <f t="shared" si="43"/>
        <v>Фролов Сергей ВикторовичЛебедев Иван Павлович</v>
      </c>
      <c r="K555" t="s">
        <v>40</v>
      </c>
      <c r="L555" t="s">
        <v>262</v>
      </c>
      <c r="M555" t="s">
        <v>334</v>
      </c>
      <c r="N555" t="str">
        <f t="shared" si="44"/>
        <v>Кузнецов Дмитрий ЛьвовичНиколаева Полина Егоровна</v>
      </c>
      <c r="O555" t="s">
        <v>10</v>
      </c>
      <c r="P555" t="s">
        <v>193</v>
      </c>
      <c r="Q555" t="s">
        <v>296</v>
      </c>
    </row>
    <row r="556" spans="2:17" x14ac:dyDescent="0.3">
      <c r="B556" t="s">
        <v>18</v>
      </c>
      <c r="C556" t="s">
        <v>25</v>
      </c>
      <c r="D556" s="22" t="str">
        <f t="shared" si="40"/>
        <v>2023-09-05</v>
      </c>
      <c r="E556" s="22" t="str">
        <f t="shared" si="41"/>
        <v>2023-09-05</v>
      </c>
      <c r="F556" s="22">
        <f t="shared" si="42"/>
        <v>0</v>
      </c>
      <c r="J556" t="str">
        <f t="shared" si="43"/>
        <v>Новикова Ольга ПетровнаВасильев Михаил Павлович</v>
      </c>
      <c r="K556" t="s">
        <v>47</v>
      </c>
      <c r="L556" t="s">
        <v>200</v>
      </c>
      <c r="M556" t="s">
        <v>335</v>
      </c>
      <c r="N556" t="str">
        <f t="shared" si="44"/>
        <v>Белов Алексей КонстантиновичСидорова Мария Павловна</v>
      </c>
      <c r="O556" t="s">
        <v>21</v>
      </c>
      <c r="P556" t="s">
        <v>65</v>
      </c>
      <c r="Q556" t="s">
        <v>296</v>
      </c>
    </row>
    <row r="557" spans="2:17" x14ac:dyDescent="0.3">
      <c r="B557" t="s">
        <v>18</v>
      </c>
      <c r="C557" t="s">
        <v>114</v>
      </c>
      <c r="D557" s="22" t="str">
        <f t="shared" si="40"/>
        <v>2023-10-02</v>
      </c>
      <c r="E557" s="22" t="str">
        <f t="shared" si="41"/>
        <v>2024-07-30</v>
      </c>
      <c r="F557" s="22">
        <f t="shared" si="42"/>
        <v>302</v>
      </c>
      <c r="J557" t="str">
        <f t="shared" si="43"/>
        <v>Яковлев Артем ИгоревичСидоров Дмитрий Кириллович</v>
      </c>
      <c r="K557" t="s">
        <v>8</v>
      </c>
      <c r="L557" t="s">
        <v>166</v>
      </c>
      <c r="M557" t="s">
        <v>335</v>
      </c>
      <c r="N557" t="str">
        <f t="shared" si="44"/>
        <v>Иванова Анна СергеевнаСеменова Полина Артемовна</v>
      </c>
      <c r="O557" t="s">
        <v>28</v>
      </c>
      <c r="P557" t="s">
        <v>119</v>
      </c>
      <c r="Q557" t="s">
        <v>296</v>
      </c>
    </row>
    <row r="558" spans="2:17" x14ac:dyDescent="0.3">
      <c r="B558" t="s">
        <v>18</v>
      </c>
      <c r="C558" t="s">
        <v>144</v>
      </c>
      <c r="D558" s="22" t="str">
        <f t="shared" si="40"/>
        <v>2024-05-02</v>
      </c>
      <c r="E558" s="22" t="str">
        <f t="shared" si="41"/>
        <v>2024-06-10</v>
      </c>
      <c r="F558" s="22">
        <f t="shared" si="42"/>
        <v>39</v>
      </c>
      <c r="J558" t="str">
        <f t="shared" si="43"/>
        <v>Яковлев Артем ИгоревичОрлова Валерия Юрьевна</v>
      </c>
      <c r="K558" t="s">
        <v>8</v>
      </c>
      <c r="L558" t="s">
        <v>258</v>
      </c>
      <c r="M558" t="s">
        <v>335</v>
      </c>
      <c r="N558" t="str">
        <f t="shared" si="44"/>
        <v>Сидорова Елена ВасильевнаСтепанова Полина Артемовна</v>
      </c>
      <c r="O558" t="s">
        <v>18</v>
      </c>
      <c r="P558" t="s">
        <v>35</v>
      </c>
      <c r="Q558" t="s">
        <v>295</v>
      </c>
    </row>
    <row r="559" spans="2:17" x14ac:dyDescent="0.3">
      <c r="B559" t="s">
        <v>18</v>
      </c>
      <c r="C559" t="s">
        <v>96</v>
      </c>
      <c r="D559" s="22" t="str">
        <f t="shared" si="40"/>
        <v>2023-09-27</v>
      </c>
      <c r="E559" s="22" t="str">
        <f t="shared" si="41"/>
        <v>2023-10-04</v>
      </c>
      <c r="F559" s="22">
        <f t="shared" si="42"/>
        <v>7</v>
      </c>
      <c r="J559" t="str">
        <f t="shared" si="43"/>
        <v>Фролов Сергей ВикторовичСтепанов Михаил Александрович</v>
      </c>
      <c r="K559" t="s">
        <v>40</v>
      </c>
      <c r="L559" t="s">
        <v>311</v>
      </c>
      <c r="M559" t="s">
        <v>336</v>
      </c>
      <c r="N559" t="str">
        <f t="shared" si="44"/>
        <v>Фролов Сергей ВикторовичОрлов Матвей Алексеевич</v>
      </c>
      <c r="O559" t="s">
        <v>40</v>
      </c>
      <c r="P559" t="s">
        <v>116</v>
      </c>
      <c r="Q559" t="s">
        <v>295</v>
      </c>
    </row>
    <row r="560" spans="2:17" x14ac:dyDescent="0.3">
      <c r="B560" t="s">
        <v>18</v>
      </c>
      <c r="C560" t="s">
        <v>37</v>
      </c>
      <c r="D560" s="22" t="str">
        <f t="shared" si="40"/>
        <v>2024-06-14</v>
      </c>
      <c r="E560" s="22" t="str">
        <f t="shared" si="41"/>
        <v>2024-06-14</v>
      </c>
      <c r="F560" s="22">
        <f t="shared" si="42"/>
        <v>0</v>
      </c>
      <c r="J560" t="str">
        <f t="shared" si="43"/>
        <v>Фролов Сергей ВикторовичФедорова Ольга Викторовна</v>
      </c>
      <c r="K560" t="s">
        <v>40</v>
      </c>
      <c r="L560" t="s">
        <v>87</v>
      </c>
      <c r="M560" t="s">
        <v>336</v>
      </c>
      <c r="N560" t="str">
        <f t="shared" si="44"/>
        <v>Кузнецов Дмитрий ЛьвовичНовикова Ирина Геннадьевна</v>
      </c>
      <c r="O560" t="s">
        <v>10</v>
      </c>
      <c r="P560" t="s">
        <v>105</v>
      </c>
      <c r="Q560" t="s">
        <v>295</v>
      </c>
    </row>
    <row r="561" spans="2:17" x14ac:dyDescent="0.3">
      <c r="B561" t="s">
        <v>18</v>
      </c>
      <c r="C561" t="s">
        <v>124</v>
      </c>
      <c r="D561" s="22" t="str">
        <f t="shared" si="40"/>
        <v>2023-10-09</v>
      </c>
      <c r="E561" s="22" t="str">
        <f t="shared" si="41"/>
        <v>2024-04-15</v>
      </c>
      <c r="F561" s="22">
        <f t="shared" si="42"/>
        <v>189</v>
      </c>
      <c r="J561" t="str">
        <f t="shared" si="43"/>
        <v>Яковлев Артем ИгоревичМорозов Андрей Никитич</v>
      </c>
      <c r="K561" t="s">
        <v>8</v>
      </c>
      <c r="L561" t="s">
        <v>147</v>
      </c>
      <c r="M561" t="s">
        <v>337</v>
      </c>
      <c r="N561" t="str">
        <f t="shared" si="44"/>
        <v>Сидорова Елена ВасильевнаВасильев Константин Геннадьевич</v>
      </c>
      <c r="O561" t="s">
        <v>18</v>
      </c>
      <c r="P561" t="s">
        <v>221</v>
      </c>
      <c r="Q561" t="s">
        <v>294</v>
      </c>
    </row>
    <row r="562" spans="2:17" x14ac:dyDescent="0.3">
      <c r="B562" t="s">
        <v>18</v>
      </c>
      <c r="C562" t="s">
        <v>74</v>
      </c>
      <c r="D562" s="22" t="str">
        <f t="shared" si="40"/>
        <v>2024-06-19</v>
      </c>
      <c r="E562" s="22" t="str">
        <f t="shared" si="41"/>
        <v>2024-06-19</v>
      </c>
      <c r="F562" s="22">
        <f t="shared" si="42"/>
        <v>0</v>
      </c>
      <c r="J562" t="str">
        <f t="shared" si="43"/>
        <v>Громова Мария ИльиничнаАлексеева Елена Кирилловна</v>
      </c>
      <c r="K562" t="s">
        <v>14</v>
      </c>
      <c r="L562" t="s">
        <v>176</v>
      </c>
      <c r="M562" t="s">
        <v>337</v>
      </c>
      <c r="N562" t="str">
        <f t="shared" si="44"/>
        <v>Белов Алексей КонстантиновичЕгорова Наталья Дмитриевна</v>
      </c>
      <c r="O562" t="s">
        <v>21</v>
      </c>
      <c r="P562" t="s">
        <v>251</v>
      </c>
      <c r="Q562" t="s">
        <v>294</v>
      </c>
    </row>
    <row r="563" spans="2:17" x14ac:dyDescent="0.3">
      <c r="B563" t="s">
        <v>18</v>
      </c>
      <c r="C563" t="s">
        <v>54</v>
      </c>
      <c r="D563" s="22" t="str">
        <f t="shared" si="40"/>
        <v>2023-09-11</v>
      </c>
      <c r="E563" s="22" t="str">
        <f t="shared" si="41"/>
        <v>2023-09-11</v>
      </c>
      <c r="F563" s="22">
        <f t="shared" si="42"/>
        <v>0</v>
      </c>
      <c r="J563" t="str">
        <f t="shared" si="43"/>
        <v>Кузнецов Дмитрий ЛьвовичКузнецова Полина Романовна</v>
      </c>
      <c r="K563" t="s">
        <v>10</v>
      </c>
      <c r="L563" t="s">
        <v>17</v>
      </c>
      <c r="M563" t="s">
        <v>337</v>
      </c>
      <c r="N563" t="str">
        <f t="shared" si="44"/>
        <v>Семенова Ирина ВалерьевнаЛебедев Артем Кириллович</v>
      </c>
      <c r="O563" t="s">
        <v>12</v>
      </c>
      <c r="P563" t="s">
        <v>49</v>
      </c>
      <c r="Q563" t="s">
        <v>294</v>
      </c>
    </row>
    <row r="564" spans="2:17" x14ac:dyDescent="0.3">
      <c r="B564" t="s">
        <v>18</v>
      </c>
      <c r="C564" t="s">
        <v>185</v>
      </c>
      <c r="D564" s="22" t="str">
        <f t="shared" si="40"/>
        <v>2024-03-25</v>
      </c>
      <c r="E564" s="22" t="str">
        <f t="shared" si="41"/>
        <v>2024-03-25</v>
      </c>
      <c r="F564" s="22">
        <f t="shared" si="42"/>
        <v>0</v>
      </c>
      <c r="J564" t="str">
        <f t="shared" si="43"/>
        <v>Сидорова Елена ВасильевнаСтепанова Полина Артемовна</v>
      </c>
      <c r="K564" t="s">
        <v>18</v>
      </c>
      <c r="L564" t="s">
        <v>35</v>
      </c>
      <c r="M564" t="s">
        <v>337</v>
      </c>
      <c r="N564" t="str">
        <f t="shared" si="44"/>
        <v>Семенова Ирина ВалерьевнаСмирнов Георгий Ильич</v>
      </c>
      <c r="O564" t="s">
        <v>12</v>
      </c>
      <c r="P564" t="s">
        <v>162</v>
      </c>
      <c r="Q564" t="s">
        <v>294</v>
      </c>
    </row>
    <row r="565" spans="2:17" x14ac:dyDescent="0.3">
      <c r="B565" t="s">
        <v>18</v>
      </c>
      <c r="C565" t="s">
        <v>43</v>
      </c>
      <c r="D565" s="22" t="str">
        <f t="shared" si="40"/>
        <v>2024-06-11</v>
      </c>
      <c r="E565" s="22" t="str">
        <f t="shared" si="41"/>
        <v>2024-06-11</v>
      </c>
      <c r="F565" s="22">
        <f t="shared" si="42"/>
        <v>0</v>
      </c>
      <c r="J565" t="str">
        <f t="shared" si="43"/>
        <v>Громова Мария ИльиничнаЕгоров Константин Ильич</v>
      </c>
      <c r="K565" t="s">
        <v>14</v>
      </c>
      <c r="L565" t="s">
        <v>136</v>
      </c>
      <c r="M565" t="s">
        <v>337</v>
      </c>
      <c r="N565" t="str">
        <f t="shared" si="44"/>
        <v>Новикова Ольга ПетровнаПетров Павел Кириллович</v>
      </c>
      <c r="O565" t="s">
        <v>47</v>
      </c>
      <c r="P565" t="s">
        <v>78</v>
      </c>
      <c r="Q565" t="s">
        <v>294</v>
      </c>
    </row>
    <row r="566" spans="2:17" x14ac:dyDescent="0.3">
      <c r="B566" t="s">
        <v>18</v>
      </c>
      <c r="C566" t="s">
        <v>22</v>
      </c>
      <c r="D566" s="22" t="str">
        <f t="shared" si="40"/>
        <v>2024-03-04</v>
      </c>
      <c r="E566" s="22" t="str">
        <f t="shared" si="41"/>
        <v>2024-03-04</v>
      </c>
      <c r="F566" s="22">
        <f t="shared" si="42"/>
        <v>0</v>
      </c>
      <c r="J566" t="str">
        <f t="shared" si="43"/>
        <v>Петров Владимир КирилловичСтепанова Мария Ильинична</v>
      </c>
      <c r="K566" t="s">
        <v>50</v>
      </c>
      <c r="L566" t="s">
        <v>338</v>
      </c>
      <c r="M566" t="s">
        <v>337</v>
      </c>
      <c r="N566" t="str">
        <f t="shared" si="44"/>
        <v>Громова Мария ИльиничнаНиколаев Роман Викторович</v>
      </c>
      <c r="O566" t="s">
        <v>14</v>
      </c>
      <c r="P566" t="s">
        <v>227</v>
      </c>
      <c r="Q566" t="s">
        <v>293</v>
      </c>
    </row>
    <row r="567" spans="2:17" x14ac:dyDescent="0.3">
      <c r="B567" t="s">
        <v>18</v>
      </c>
      <c r="C567" t="s">
        <v>17</v>
      </c>
      <c r="D567" s="22" t="str">
        <f t="shared" si="40"/>
        <v>2024-01-15</v>
      </c>
      <c r="E567" s="22" t="str">
        <f t="shared" si="41"/>
        <v>2024-05-31</v>
      </c>
      <c r="F567" s="22">
        <f t="shared" si="42"/>
        <v>137</v>
      </c>
      <c r="J567" t="str">
        <f t="shared" si="43"/>
        <v>Сидорова Елена ВасильевнаКузнецов Илья Артемович</v>
      </c>
      <c r="K567" t="s">
        <v>18</v>
      </c>
      <c r="L567" t="s">
        <v>185</v>
      </c>
      <c r="M567" t="s">
        <v>337</v>
      </c>
      <c r="N567" t="str">
        <f t="shared" si="44"/>
        <v>Громова Мария ИльиничнаОрлова Юлия Алексеевна</v>
      </c>
      <c r="O567" t="s">
        <v>14</v>
      </c>
      <c r="P567" t="s">
        <v>171</v>
      </c>
      <c r="Q567" t="s">
        <v>293</v>
      </c>
    </row>
    <row r="568" spans="2:17" x14ac:dyDescent="0.3">
      <c r="B568" t="s">
        <v>18</v>
      </c>
      <c r="C568" t="s">
        <v>55</v>
      </c>
      <c r="D568" s="22" t="str">
        <f t="shared" si="40"/>
        <v>2024-03-08</v>
      </c>
      <c r="E568" s="22" t="str">
        <f t="shared" si="41"/>
        <v>2024-03-08</v>
      </c>
      <c r="F568" s="22">
        <f t="shared" si="42"/>
        <v>0</v>
      </c>
      <c r="J568" t="str">
        <f t="shared" si="43"/>
        <v>Яковлев Артем ИгоревичЕгоров Артем Никитич</v>
      </c>
      <c r="K568" t="s">
        <v>8</v>
      </c>
      <c r="L568" t="s">
        <v>25</v>
      </c>
      <c r="M568" t="s">
        <v>339</v>
      </c>
      <c r="N568" t="str">
        <f t="shared" si="44"/>
        <v>Семенова Ирина ВалерьевнаНовикова Ирина Геннадьевна</v>
      </c>
      <c r="O568" t="s">
        <v>12</v>
      </c>
      <c r="P568" t="s">
        <v>105</v>
      </c>
      <c r="Q568" t="s">
        <v>293</v>
      </c>
    </row>
    <row r="569" spans="2:17" x14ac:dyDescent="0.3">
      <c r="B569" t="s">
        <v>18</v>
      </c>
      <c r="C569" t="s">
        <v>48</v>
      </c>
      <c r="D569" s="22" t="str">
        <f t="shared" si="40"/>
        <v>2023-09-25</v>
      </c>
      <c r="E569" s="22" t="str">
        <f t="shared" si="41"/>
        <v>2024-03-18</v>
      </c>
      <c r="F569" s="22">
        <f t="shared" si="42"/>
        <v>175</v>
      </c>
      <c r="J569" t="str">
        <f t="shared" si="43"/>
        <v>Иванова Анна СергеевнаЛебедева Юлия Олеговна</v>
      </c>
      <c r="K569" t="s">
        <v>28</v>
      </c>
      <c r="L569" t="s">
        <v>312</v>
      </c>
      <c r="M569" t="s">
        <v>339</v>
      </c>
      <c r="N569" t="str">
        <f t="shared" si="44"/>
        <v>Яковлев Артем ИгоревичНиколаева Полина Егоровна</v>
      </c>
      <c r="O569" t="s">
        <v>8</v>
      </c>
      <c r="P569" t="s">
        <v>193</v>
      </c>
      <c r="Q569" t="s">
        <v>293</v>
      </c>
    </row>
    <row r="570" spans="2:17" x14ac:dyDescent="0.3">
      <c r="B570" t="s">
        <v>18</v>
      </c>
      <c r="C570" t="s">
        <v>19</v>
      </c>
      <c r="D570" s="22" t="str">
        <f t="shared" si="40"/>
        <v>2023-09-04</v>
      </c>
      <c r="E570" s="22" t="str">
        <f t="shared" si="41"/>
        <v>2023-09-04</v>
      </c>
      <c r="F570" s="22">
        <f t="shared" si="42"/>
        <v>0</v>
      </c>
      <c r="J570" t="str">
        <f t="shared" si="43"/>
        <v>Фролов Сергей ВикторовичПавлов Алексей Геннадьевич</v>
      </c>
      <c r="K570" t="s">
        <v>40</v>
      </c>
      <c r="L570" t="s">
        <v>191</v>
      </c>
      <c r="M570" t="s">
        <v>339</v>
      </c>
      <c r="N570" t="str">
        <f t="shared" si="44"/>
        <v>Фролов Сергей ВикторовичВолков Александр Юрьевич</v>
      </c>
      <c r="O570" t="s">
        <v>40</v>
      </c>
      <c r="P570" t="s">
        <v>103</v>
      </c>
      <c r="Q570" t="s">
        <v>292</v>
      </c>
    </row>
    <row r="571" spans="2:17" x14ac:dyDescent="0.3">
      <c r="B571" t="s">
        <v>18</v>
      </c>
      <c r="C571" t="s">
        <v>147</v>
      </c>
      <c r="D571" s="22" t="str">
        <f t="shared" si="40"/>
        <v>2023-10-20</v>
      </c>
      <c r="E571" s="22" t="str">
        <f t="shared" si="41"/>
        <v>2024-07-23</v>
      </c>
      <c r="F571" s="22">
        <f t="shared" si="42"/>
        <v>277</v>
      </c>
      <c r="J571" t="str">
        <f t="shared" si="43"/>
        <v>Белов Алексей КонстантиновичСеменов Дмитрий Олегович</v>
      </c>
      <c r="K571" t="s">
        <v>21</v>
      </c>
      <c r="L571" t="s">
        <v>9</v>
      </c>
      <c r="M571" t="s">
        <v>340</v>
      </c>
      <c r="N571" t="str">
        <f t="shared" si="44"/>
        <v>Громова Мария ИльиничнаКузнецов Дмитрий Павлович</v>
      </c>
      <c r="O571" t="s">
        <v>14</v>
      </c>
      <c r="P571" t="s">
        <v>186</v>
      </c>
      <c r="Q571" t="s">
        <v>292</v>
      </c>
    </row>
    <row r="572" spans="2:17" x14ac:dyDescent="0.3">
      <c r="B572" t="s">
        <v>18</v>
      </c>
      <c r="C572" t="s">
        <v>174</v>
      </c>
      <c r="D572" s="22" t="str">
        <f t="shared" si="40"/>
        <v>2024-04-15</v>
      </c>
      <c r="E572" s="22" t="str">
        <f t="shared" si="41"/>
        <v>2024-06-03</v>
      </c>
      <c r="F572" s="22">
        <f t="shared" si="42"/>
        <v>49</v>
      </c>
      <c r="J572" t="str">
        <f t="shared" si="43"/>
        <v>Ткаченко Андрей ОлеговичКузнецов Иван Ильич</v>
      </c>
      <c r="K572" t="s">
        <v>5</v>
      </c>
      <c r="L572" t="s">
        <v>178</v>
      </c>
      <c r="M572" t="s">
        <v>341</v>
      </c>
      <c r="N572" t="str">
        <f t="shared" si="44"/>
        <v>Ткаченко Андрей ОлеговичСидорова Мария Павловна</v>
      </c>
      <c r="O572" t="s">
        <v>5</v>
      </c>
      <c r="P572" t="s">
        <v>65</v>
      </c>
      <c r="Q572" t="s">
        <v>292</v>
      </c>
    </row>
    <row r="573" spans="2:17" x14ac:dyDescent="0.3">
      <c r="B573" t="s">
        <v>18</v>
      </c>
      <c r="C573" t="s">
        <v>84</v>
      </c>
      <c r="D573" s="22" t="str">
        <f t="shared" si="40"/>
        <v>2023-12-19</v>
      </c>
      <c r="E573" s="22" t="str">
        <f t="shared" si="41"/>
        <v>2023-12-19</v>
      </c>
      <c r="F573" s="22">
        <f t="shared" si="42"/>
        <v>0</v>
      </c>
      <c r="J573" t="str">
        <f t="shared" si="43"/>
        <v>Петров Владимир КирилловичАлексеева Светлана Станиславовна</v>
      </c>
      <c r="K573" t="s">
        <v>50</v>
      </c>
      <c r="L573" t="s">
        <v>71</v>
      </c>
      <c r="M573" t="s">
        <v>341</v>
      </c>
      <c r="N573" t="str">
        <f t="shared" si="44"/>
        <v>Семенова Ирина ВалерьевнаЛебедева Полина Ивановна</v>
      </c>
      <c r="O573" t="s">
        <v>12</v>
      </c>
      <c r="P573" t="s">
        <v>19</v>
      </c>
      <c r="Q573" t="s">
        <v>292</v>
      </c>
    </row>
    <row r="574" spans="2:17" x14ac:dyDescent="0.3">
      <c r="B574" t="s">
        <v>18</v>
      </c>
      <c r="C574" t="s">
        <v>107</v>
      </c>
      <c r="D574" s="22" t="str">
        <f t="shared" si="40"/>
        <v>2024-02-09</v>
      </c>
      <c r="E574" s="22" t="str">
        <f t="shared" si="41"/>
        <v>2024-02-09</v>
      </c>
      <c r="F574" s="22">
        <f t="shared" si="42"/>
        <v>0</v>
      </c>
      <c r="J574" t="str">
        <f t="shared" si="43"/>
        <v>Фролов Сергей ВикторовичИванов Дмитрий Павлович</v>
      </c>
      <c r="K574" t="s">
        <v>40</v>
      </c>
      <c r="L574" t="s">
        <v>124</v>
      </c>
      <c r="M574" t="s">
        <v>341</v>
      </c>
      <c r="N574" t="str">
        <f t="shared" si="44"/>
        <v>Белов Алексей КонстантиновичПопова Полина Алексеевна</v>
      </c>
      <c r="O574" t="s">
        <v>21</v>
      </c>
      <c r="P574" t="s">
        <v>256</v>
      </c>
      <c r="Q574" t="s">
        <v>288</v>
      </c>
    </row>
    <row r="575" spans="2:17" x14ac:dyDescent="0.3">
      <c r="B575" t="s">
        <v>18</v>
      </c>
      <c r="C575" t="s">
        <v>80</v>
      </c>
      <c r="D575" s="22" t="str">
        <f t="shared" si="40"/>
        <v>2023-10-24</v>
      </c>
      <c r="E575" s="22" t="str">
        <f t="shared" si="41"/>
        <v>2024-06-11</v>
      </c>
      <c r="F575" s="22">
        <f t="shared" si="42"/>
        <v>231</v>
      </c>
      <c r="J575" t="str">
        <f t="shared" si="43"/>
        <v>Орлов Павел ДенисовичНиколаев Роман Викторович</v>
      </c>
      <c r="K575" t="s">
        <v>45</v>
      </c>
      <c r="L575" t="s">
        <v>227</v>
      </c>
      <c r="M575" t="s">
        <v>341</v>
      </c>
      <c r="N575" t="str">
        <f t="shared" si="44"/>
        <v>Петров Владимир КирилловичЛебедев Дмитрий Викторович</v>
      </c>
      <c r="O575" t="s">
        <v>50</v>
      </c>
      <c r="P575" t="s">
        <v>85</v>
      </c>
      <c r="Q575" t="s">
        <v>288</v>
      </c>
    </row>
    <row r="576" spans="2:17" x14ac:dyDescent="0.3">
      <c r="B576" t="s">
        <v>18</v>
      </c>
      <c r="C576" t="s">
        <v>193</v>
      </c>
      <c r="D576" s="22" t="str">
        <f t="shared" si="40"/>
        <v>2023-11-13</v>
      </c>
      <c r="E576" s="22" t="str">
        <f t="shared" si="41"/>
        <v>2024-06-19</v>
      </c>
      <c r="F576" s="22">
        <f t="shared" si="42"/>
        <v>219</v>
      </c>
      <c r="J576" t="str">
        <f t="shared" si="43"/>
        <v>Сидорова Елена ВасильевнаСмирнова Алиса Сергеевна</v>
      </c>
      <c r="K576" t="s">
        <v>18</v>
      </c>
      <c r="L576" t="s">
        <v>117</v>
      </c>
      <c r="M576" t="s">
        <v>341</v>
      </c>
      <c r="N576" t="str">
        <f t="shared" si="44"/>
        <v>Громова Мария ИльиничнаМорозов Артем Александрович</v>
      </c>
      <c r="O576" t="s">
        <v>14</v>
      </c>
      <c r="P576" t="s">
        <v>289</v>
      </c>
      <c r="Q576" t="s">
        <v>288</v>
      </c>
    </row>
    <row r="577" spans="2:17" x14ac:dyDescent="0.3">
      <c r="B577" t="s">
        <v>18</v>
      </c>
      <c r="C577" t="s">
        <v>315</v>
      </c>
      <c r="D577" s="22" t="str">
        <f t="shared" si="40"/>
        <v>2024-02-28</v>
      </c>
      <c r="E577" s="22" t="str">
        <f t="shared" si="41"/>
        <v>2024-07-22</v>
      </c>
      <c r="F577" s="22">
        <f t="shared" si="42"/>
        <v>145</v>
      </c>
      <c r="J577" t="str">
        <f t="shared" si="43"/>
        <v>Иванова Анна СергеевнаНиколаева София Геннадьевна</v>
      </c>
      <c r="K577" t="s">
        <v>28</v>
      </c>
      <c r="L577" t="s">
        <v>315</v>
      </c>
      <c r="M577" t="s">
        <v>342</v>
      </c>
      <c r="N577" t="str">
        <f t="shared" si="44"/>
        <v>Ткаченко Андрей ОлеговичОрлов Матвей Алексеевич</v>
      </c>
      <c r="O577" t="s">
        <v>5</v>
      </c>
      <c r="P577" t="s">
        <v>116</v>
      </c>
      <c r="Q577" t="s">
        <v>288</v>
      </c>
    </row>
    <row r="578" spans="2:17" x14ac:dyDescent="0.3">
      <c r="B578" t="s">
        <v>18</v>
      </c>
      <c r="C578" t="s">
        <v>126</v>
      </c>
      <c r="D578" s="22" t="str">
        <f t="shared" si="40"/>
        <v>2023-10-20</v>
      </c>
      <c r="E578" s="22" t="str">
        <f t="shared" si="41"/>
        <v>2023-10-20</v>
      </c>
      <c r="F578" s="22">
        <f t="shared" si="42"/>
        <v>0</v>
      </c>
      <c r="J578" t="str">
        <f t="shared" si="43"/>
        <v>Сидорова Елена ВасильевнаНовиков Георгий Романович</v>
      </c>
      <c r="K578" t="s">
        <v>18</v>
      </c>
      <c r="L578" t="s">
        <v>270</v>
      </c>
      <c r="M578" t="s">
        <v>343</v>
      </c>
      <c r="N578" t="str">
        <f t="shared" si="44"/>
        <v>Орлов Павел ДенисовичОрлова Полина Олеговна</v>
      </c>
      <c r="O578" t="s">
        <v>45</v>
      </c>
      <c r="P578" t="s">
        <v>101</v>
      </c>
      <c r="Q578" t="s">
        <v>288</v>
      </c>
    </row>
    <row r="579" spans="2:17" x14ac:dyDescent="0.3">
      <c r="B579" t="s">
        <v>18</v>
      </c>
      <c r="C579" t="s">
        <v>270</v>
      </c>
      <c r="D579" s="22" t="str">
        <f t="shared" ref="D579:D642" si="45">VLOOKUP(B579&amp;C579,J:M,4,0)</f>
        <v>2024-04-01</v>
      </c>
      <c r="E579" s="22" t="str">
        <f t="shared" ref="E579:E642" si="46">VLOOKUP(B579&amp;C579,N:Q,4,0)</f>
        <v>2024-04-01</v>
      </c>
      <c r="F579" s="22">
        <f t="shared" ref="F579:F642" si="47">E579-D579</f>
        <v>0</v>
      </c>
      <c r="J579" t="str">
        <f t="shared" ref="J579:J642" si="48">K579&amp;L579</f>
        <v>Кузнецов Дмитрий ЛьвовичПетров Александр Александрович</v>
      </c>
      <c r="K579" t="s">
        <v>10</v>
      </c>
      <c r="L579" t="s">
        <v>208</v>
      </c>
      <c r="M579" t="s">
        <v>343</v>
      </c>
      <c r="N579" t="str">
        <f t="shared" ref="N579:N642" si="49">O579&amp;P579</f>
        <v>Петров Владимир КирилловичОрлова Дарья Кирилловна</v>
      </c>
      <c r="O579" t="s">
        <v>50</v>
      </c>
      <c r="P579" t="s">
        <v>290</v>
      </c>
      <c r="Q579" t="s">
        <v>288</v>
      </c>
    </row>
    <row r="580" spans="2:17" x14ac:dyDescent="0.3">
      <c r="B580" t="s">
        <v>18</v>
      </c>
      <c r="C580" t="s">
        <v>36</v>
      </c>
      <c r="D580" s="22" t="str">
        <f t="shared" si="45"/>
        <v>2024-07-25</v>
      </c>
      <c r="E580" s="22" t="str">
        <f t="shared" si="46"/>
        <v>2024-07-25</v>
      </c>
      <c r="F580" s="22">
        <f t="shared" si="47"/>
        <v>0</v>
      </c>
      <c r="J580" t="str">
        <f t="shared" si="48"/>
        <v>Орлов Павел ДенисовичЛебедев Никита Сергеевич</v>
      </c>
      <c r="K580" t="s">
        <v>45</v>
      </c>
      <c r="L580" t="s">
        <v>156</v>
      </c>
      <c r="M580" t="s">
        <v>343</v>
      </c>
      <c r="N580" t="str">
        <f t="shared" si="49"/>
        <v>Новикова Ольга ПетровнаКозлов Роман Владимирович</v>
      </c>
      <c r="O580" t="s">
        <v>47</v>
      </c>
      <c r="P580" t="s">
        <v>279</v>
      </c>
      <c r="Q580" t="s">
        <v>288</v>
      </c>
    </row>
    <row r="581" spans="2:17" x14ac:dyDescent="0.3">
      <c r="B581" t="s">
        <v>18</v>
      </c>
      <c r="C581" t="s">
        <v>11</v>
      </c>
      <c r="D581" s="22" t="str">
        <f t="shared" si="45"/>
        <v>2024-01-01</v>
      </c>
      <c r="E581" s="22" t="str">
        <f t="shared" si="46"/>
        <v>2024-01-01</v>
      </c>
      <c r="F581" s="22">
        <f t="shared" si="47"/>
        <v>0</v>
      </c>
      <c r="J581" t="str">
        <f t="shared" si="48"/>
        <v>Яковлев Артем ИгоревичСтепанов Александр Станиславович</v>
      </c>
      <c r="K581" t="s">
        <v>8</v>
      </c>
      <c r="L581" t="s">
        <v>122</v>
      </c>
      <c r="M581" t="s">
        <v>343</v>
      </c>
      <c r="N581" t="str">
        <f t="shared" si="49"/>
        <v>Сидорова Елена ВасильевнаВасильев Константин Геннадьевич</v>
      </c>
      <c r="O581" t="s">
        <v>18</v>
      </c>
      <c r="P581" t="s">
        <v>221</v>
      </c>
      <c r="Q581" t="s">
        <v>288</v>
      </c>
    </row>
    <row r="582" spans="2:17" x14ac:dyDescent="0.3">
      <c r="B582" t="s">
        <v>18</v>
      </c>
      <c r="C582" t="s">
        <v>195</v>
      </c>
      <c r="D582" s="22" t="str">
        <f t="shared" si="45"/>
        <v>2024-08-28</v>
      </c>
      <c r="E582" s="22" t="str">
        <f t="shared" si="46"/>
        <v>2024-08-28</v>
      </c>
      <c r="F582" s="22">
        <f t="shared" si="47"/>
        <v>0</v>
      </c>
      <c r="J582" t="str">
        <f t="shared" si="48"/>
        <v>Яковлев Артем ИгоревичСеменова Полина Артемовна</v>
      </c>
      <c r="K582" t="s">
        <v>8</v>
      </c>
      <c r="L582" t="s">
        <v>119</v>
      </c>
      <c r="M582" t="s">
        <v>343</v>
      </c>
      <c r="N582" t="str">
        <f t="shared" si="49"/>
        <v>Новикова Ольга ПетровнаСтепанов Егор Павлович</v>
      </c>
      <c r="O582" t="s">
        <v>47</v>
      </c>
      <c r="P582" t="s">
        <v>291</v>
      </c>
      <c r="Q582" t="s">
        <v>288</v>
      </c>
    </row>
    <row r="583" spans="2:17" x14ac:dyDescent="0.3">
      <c r="B583" t="s">
        <v>18</v>
      </c>
      <c r="C583" t="s">
        <v>247</v>
      </c>
      <c r="D583" s="22" t="str">
        <f t="shared" si="45"/>
        <v>2024-06-10</v>
      </c>
      <c r="E583" s="22" t="str">
        <f t="shared" si="46"/>
        <v>2024-06-10</v>
      </c>
      <c r="F583" s="22">
        <f t="shared" si="47"/>
        <v>0</v>
      </c>
      <c r="J583" t="str">
        <f t="shared" si="48"/>
        <v>Кузнецов Дмитрий ЛьвовичКузнецова Мария Юрьевна</v>
      </c>
      <c r="K583" t="s">
        <v>10</v>
      </c>
      <c r="L583" t="s">
        <v>22</v>
      </c>
      <c r="M583" t="s">
        <v>343</v>
      </c>
      <c r="N583" t="str">
        <f t="shared" si="49"/>
        <v>Кузнецов Дмитрий ЛьвовичНовиков Иван Андреевич</v>
      </c>
      <c r="O583" t="s">
        <v>10</v>
      </c>
      <c r="P583" t="s">
        <v>81</v>
      </c>
      <c r="Q583" t="s">
        <v>287</v>
      </c>
    </row>
    <row r="584" spans="2:17" x14ac:dyDescent="0.3">
      <c r="B584" t="s">
        <v>18</v>
      </c>
      <c r="C584" t="s">
        <v>69</v>
      </c>
      <c r="D584" s="22" t="str">
        <f t="shared" si="45"/>
        <v>2023-10-24</v>
      </c>
      <c r="E584" s="22" t="str">
        <f t="shared" si="46"/>
        <v>2024-08-08</v>
      </c>
      <c r="F584" s="22">
        <f t="shared" si="47"/>
        <v>289</v>
      </c>
      <c r="J584" t="str">
        <f t="shared" si="48"/>
        <v>Новикова Ольга ПетровнаНиколаева Юлия Егоровна</v>
      </c>
      <c r="K584" t="s">
        <v>47</v>
      </c>
      <c r="L584" t="s">
        <v>126</v>
      </c>
      <c r="M584" t="s">
        <v>343</v>
      </c>
      <c r="N584" t="str">
        <f t="shared" si="49"/>
        <v>Петров Владимир КирилловичКозлов Роман Сергеевич</v>
      </c>
      <c r="O584" t="s">
        <v>50</v>
      </c>
      <c r="P584" t="s">
        <v>209</v>
      </c>
      <c r="Q584" t="s">
        <v>286</v>
      </c>
    </row>
    <row r="585" spans="2:17" x14ac:dyDescent="0.3">
      <c r="B585" t="s">
        <v>18</v>
      </c>
      <c r="C585" t="s">
        <v>242</v>
      </c>
      <c r="D585" s="22" t="str">
        <f t="shared" si="45"/>
        <v>2024-01-02</v>
      </c>
      <c r="E585" s="22" t="str">
        <f t="shared" si="46"/>
        <v>2024-01-02</v>
      </c>
      <c r="F585" s="22">
        <f t="shared" si="47"/>
        <v>0</v>
      </c>
      <c r="J585" t="str">
        <f t="shared" si="48"/>
        <v>Белов Алексей КонстантиновичСмирнов Павел Геннадьевич</v>
      </c>
      <c r="K585" t="s">
        <v>21</v>
      </c>
      <c r="L585" t="s">
        <v>56</v>
      </c>
      <c r="M585" t="s">
        <v>343</v>
      </c>
      <c r="N585" t="str">
        <f t="shared" si="49"/>
        <v>Петров Владимир КирилловичВасильев Никита Павлович</v>
      </c>
      <c r="O585" t="s">
        <v>50</v>
      </c>
      <c r="P585" t="s">
        <v>89</v>
      </c>
      <c r="Q585" t="s">
        <v>286</v>
      </c>
    </row>
    <row r="586" spans="2:17" x14ac:dyDescent="0.3">
      <c r="B586" t="s">
        <v>18</v>
      </c>
      <c r="C586" t="s">
        <v>116</v>
      </c>
      <c r="D586" s="22" t="str">
        <f t="shared" si="45"/>
        <v>2024-08-29</v>
      </c>
      <c r="E586" s="22" t="str">
        <f t="shared" si="46"/>
        <v>2024-08-29</v>
      </c>
      <c r="F586" s="22">
        <f t="shared" si="47"/>
        <v>0</v>
      </c>
      <c r="J586" t="str">
        <f t="shared" si="48"/>
        <v>Петров Владимир КирилловичЛебедева Полина Ивановна</v>
      </c>
      <c r="K586" t="s">
        <v>50</v>
      </c>
      <c r="L586" t="s">
        <v>19</v>
      </c>
      <c r="M586" t="s">
        <v>343</v>
      </c>
      <c r="N586" t="str">
        <f t="shared" si="49"/>
        <v>Семенова Ирина ВалерьевнаИванов Илья Артемович</v>
      </c>
      <c r="O586" t="s">
        <v>12</v>
      </c>
      <c r="P586" t="s">
        <v>83</v>
      </c>
      <c r="Q586" t="s">
        <v>285</v>
      </c>
    </row>
    <row r="587" spans="2:17" x14ac:dyDescent="0.3">
      <c r="B587" t="s">
        <v>18</v>
      </c>
      <c r="C587" t="s">
        <v>258</v>
      </c>
      <c r="D587" s="22" t="str">
        <f t="shared" si="45"/>
        <v>2024-07-30</v>
      </c>
      <c r="E587" s="22" t="str">
        <f t="shared" si="46"/>
        <v>2024-07-30</v>
      </c>
      <c r="F587" s="22">
        <f t="shared" si="47"/>
        <v>0</v>
      </c>
      <c r="J587" t="str">
        <f t="shared" si="48"/>
        <v>Петров Владимир КирилловичЕгорова Ирина Павловна</v>
      </c>
      <c r="K587" t="s">
        <v>50</v>
      </c>
      <c r="L587" t="s">
        <v>63</v>
      </c>
      <c r="M587" t="s">
        <v>343</v>
      </c>
      <c r="N587" t="str">
        <f t="shared" si="49"/>
        <v>Кузнецов Дмитрий ЛьвовичКузнецов Михаил Артемович</v>
      </c>
      <c r="O587" t="s">
        <v>10</v>
      </c>
      <c r="P587" t="s">
        <v>67</v>
      </c>
      <c r="Q587" t="s">
        <v>285</v>
      </c>
    </row>
    <row r="588" spans="2:17" x14ac:dyDescent="0.3">
      <c r="B588" t="s">
        <v>18</v>
      </c>
      <c r="C588" t="s">
        <v>29</v>
      </c>
      <c r="D588" s="22" t="str">
        <f t="shared" si="45"/>
        <v>2024-05-09</v>
      </c>
      <c r="E588" s="22" t="str">
        <f t="shared" si="46"/>
        <v>2024-05-09</v>
      </c>
      <c r="F588" s="22">
        <f t="shared" si="47"/>
        <v>0</v>
      </c>
      <c r="J588" t="str">
        <f t="shared" si="48"/>
        <v>Кузнецов Дмитрий ЛьвовичМорозова Валерия Ильинична</v>
      </c>
      <c r="K588" t="s">
        <v>10</v>
      </c>
      <c r="L588" t="s">
        <v>174</v>
      </c>
      <c r="M588" t="s">
        <v>343</v>
      </c>
      <c r="N588" t="str">
        <f t="shared" si="49"/>
        <v>Орлов Павел ДенисовичНовикова Ирина Геннадьевна</v>
      </c>
      <c r="O588" t="s">
        <v>45</v>
      </c>
      <c r="P588" t="s">
        <v>105</v>
      </c>
      <c r="Q588" t="s">
        <v>285</v>
      </c>
    </row>
    <row r="589" spans="2:17" x14ac:dyDescent="0.3">
      <c r="B589" t="s">
        <v>18</v>
      </c>
      <c r="C589" t="s">
        <v>101</v>
      </c>
      <c r="D589" s="22" t="str">
        <f t="shared" si="45"/>
        <v>2024-01-23</v>
      </c>
      <c r="E589" s="22" t="str">
        <f t="shared" si="46"/>
        <v>2024-01-23</v>
      </c>
      <c r="F589" s="22">
        <f t="shared" si="47"/>
        <v>0</v>
      </c>
      <c r="J589" t="str">
        <f t="shared" si="48"/>
        <v>Белов Алексей КонстантиновичЛебедев Дмитрий Викторович</v>
      </c>
      <c r="K589" t="s">
        <v>21</v>
      </c>
      <c r="L589" t="s">
        <v>85</v>
      </c>
      <c r="M589" t="s">
        <v>344</v>
      </c>
      <c r="N589" t="str">
        <f t="shared" si="49"/>
        <v>Сидорова Елена ВасильевнаОрлова Полина Олеговна</v>
      </c>
      <c r="O589" t="s">
        <v>18</v>
      </c>
      <c r="P589" t="s">
        <v>101</v>
      </c>
      <c r="Q589" t="s">
        <v>283</v>
      </c>
    </row>
    <row r="590" spans="2:17" x14ac:dyDescent="0.3">
      <c r="B590" t="s">
        <v>18</v>
      </c>
      <c r="C590" t="s">
        <v>27</v>
      </c>
      <c r="D590" s="22" t="str">
        <f t="shared" si="45"/>
        <v>2023-09-05</v>
      </c>
      <c r="E590" s="22" t="str">
        <f t="shared" si="46"/>
        <v>2024-05-21</v>
      </c>
      <c r="F590" s="22">
        <f t="shared" si="47"/>
        <v>259</v>
      </c>
      <c r="J590" t="str">
        <f t="shared" si="48"/>
        <v>Семенова Ирина ВалерьевнаНовиков Иван Андреевич</v>
      </c>
      <c r="K590" t="s">
        <v>12</v>
      </c>
      <c r="L590" t="s">
        <v>81</v>
      </c>
      <c r="M590" t="s">
        <v>344</v>
      </c>
      <c r="N590" t="str">
        <f t="shared" si="49"/>
        <v>Орлов Павел ДенисовичФедорова Людмила Кирилловна</v>
      </c>
      <c r="O590" t="s">
        <v>45</v>
      </c>
      <c r="P590" t="s">
        <v>199</v>
      </c>
      <c r="Q590" t="s">
        <v>283</v>
      </c>
    </row>
    <row r="591" spans="2:17" x14ac:dyDescent="0.3">
      <c r="B591" t="s">
        <v>18</v>
      </c>
      <c r="C591" t="s">
        <v>94</v>
      </c>
      <c r="D591" s="22" t="str">
        <f t="shared" si="45"/>
        <v>2023-09-25</v>
      </c>
      <c r="E591" s="22" t="str">
        <f t="shared" si="46"/>
        <v>2024-05-02</v>
      </c>
      <c r="F591" s="22">
        <f t="shared" si="47"/>
        <v>220</v>
      </c>
      <c r="J591" t="str">
        <f t="shared" si="48"/>
        <v>Яковлев Артем ИгоревичМорозов Сергей Олегович</v>
      </c>
      <c r="K591" t="s">
        <v>8</v>
      </c>
      <c r="L591" t="s">
        <v>46</v>
      </c>
      <c r="M591" t="s">
        <v>344</v>
      </c>
      <c r="N591" t="str">
        <f t="shared" si="49"/>
        <v>Петров Владимир КирилловичИванов Константин Никитич</v>
      </c>
      <c r="O591" t="s">
        <v>50</v>
      </c>
      <c r="P591" t="s">
        <v>284</v>
      </c>
      <c r="Q591" t="s">
        <v>283</v>
      </c>
    </row>
    <row r="592" spans="2:17" x14ac:dyDescent="0.3">
      <c r="B592" t="s">
        <v>18</v>
      </c>
      <c r="C592" t="s">
        <v>380</v>
      </c>
      <c r="D592" s="22" t="str">
        <f t="shared" si="45"/>
        <v>2024-05-21</v>
      </c>
      <c r="E592" s="22" t="str">
        <f t="shared" si="46"/>
        <v>2024-05-21</v>
      </c>
      <c r="F592" s="22">
        <f t="shared" si="47"/>
        <v>0</v>
      </c>
      <c r="J592" t="str">
        <f t="shared" si="48"/>
        <v>Яковлев Артем ИгоревичСеменов Максим Геннадьевич</v>
      </c>
      <c r="K592" t="s">
        <v>8</v>
      </c>
      <c r="L592" t="s">
        <v>111</v>
      </c>
      <c r="M592" t="s">
        <v>344</v>
      </c>
      <c r="N592" t="str">
        <f t="shared" si="49"/>
        <v>Яковлев Артем ИгоревичПопова Алиса Ильинична</v>
      </c>
      <c r="O592" t="s">
        <v>8</v>
      </c>
      <c r="P592" t="s">
        <v>90</v>
      </c>
      <c r="Q592" t="s">
        <v>281</v>
      </c>
    </row>
    <row r="593" spans="2:17" x14ac:dyDescent="0.3">
      <c r="B593" t="s">
        <v>18</v>
      </c>
      <c r="C593" t="s">
        <v>190</v>
      </c>
      <c r="D593" s="22" t="str">
        <f t="shared" si="45"/>
        <v>2023-11-13</v>
      </c>
      <c r="E593" s="22" t="str">
        <f t="shared" si="46"/>
        <v>2024-01-04</v>
      </c>
      <c r="F593" s="22">
        <f t="shared" si="47"/>
        <v>52</v>
      </c>
      <c r="J593" t="str">
        <f t="shared" si="48"/>
        <v>Семенова Ирина ВалерьевнаИванов Илья Артемович</v>
      </c>
      <c r="K593" t="s">
        <v>12</v>
      </c>
      <c r="L593" t="s">
        <v>83</v>
      </c>
      <c r="M593" t="s">
        <v>345</v>
      </c>
      <c r="N593" t="str">
        <f t="shared" si="49"/>
        <v>Петров Владимир КирилловичПопов Егор Викторович</v>
      </c>
      <c r="O593" t="s">
        <v>50</v>
      </c>
      <c r="P593" t="s">
        <v>234</v>
      </c>
      <c r="Q593" t="s">
        <v>281</v>
      </c>
    </row>
    <row r="594" spans="2:17" x14ac:dyDescent="0.3">
      <c r="B594" t="s">
        <v>18</v>
      </c>
      <c r="C594" t="s">
        <v>70</v>
      </c>
      <c r="D594" s="22" t="str">
        <f t="shared" si="45"/>
        <v>2024-04-03</v>
      </c>
      <c r="E594" s="22" t="str">
        <f t="shared" si="46"/>
        <v>2024-04-03</v>
      </c>
      <c r="F594" s="22">
        <f t="shared" si="47"/>
        <v>0</v>
      </c>
      <c r="J594" t="str">
        <f t="shared" si="48"/>
        <v>Орлов Павел ДенисовичПавлов Роман Владимирович</v>
      </c>
      <c r="K594" t="s">
        <v>45</v>
      </c>
      <c r="L594" t="s">
        <v>169</v>
      </c>
      <c r="M594" t="s">
        <v>345</v>
      </c>
      <c r="N594" t="str">
        <f t="shared" si="49"/>
        <v>Семенова Ирина ВалерьевнаКузнецов Георгий Алексеевич</v>
      </c>
      <c r="O594" t="s">
        <v>12</v>
      </c>
      <c r="P594" t="s">
        <v>244</v>
      </c>
      <c r="Q594" t="s">
        <v>281</v>
      </c>
    </row>
    <row r="595" spans="2:17" x14ac:dyDescent="0.3">
      <c r="B595" t="s">
        <v>18</v>
      </c>
      <c r="C595" t="s">
        <v>78</v>
      </c>
      <c r="D595" s="22" t="str">
        <f t="shared" si="45"/>
        <v>2023-09-19</v>
      </c>
      <c r="E595" s="22" t="str">
        <f t="shared" si="46"/>
        <v>2023-09-25</v>
      </c>
      <c r="F595" s="22">
        <f t="shared" si="47"/>
        <v>6</v>
      </c>
      <c r="J595" t="str">
        <f t="shared" si="48"/>
        <v>Сидорова Елена ВасильевнаПетров Илья Андреевич</v>
      </c>
      <c r="K595" t="s">
        <v>18</v>
      </c>
      <c r="L595" t="s">
        <v>70</v>
      </c>
      <c r="M595" t="s">
        <v>345</v>
      </c>
      <c r="N595" t="str">
        <f t="shared" si="49"/>
        <v>Фролов Сергей ВикторовичФедоров Илья Егорович</v>
      </c>
      <c r="O595" t="s">
        <v>40</v>
      </c>
      <c r="P595" t="s">
        <v>151</v>
      </c>
      <c r="Q595" t="s">
        <v>281</v>
      </c>
    </row>
    <row r="596" spans="2:17" x14ac:dyDescent="0.3">
      <c r="B596" t="s">
        <v>18</v>
      </c>
      <c r="C596" t="s">
        <v>92</v>
      </c>
      <c r="D596" s="22" t="str">
        <f t="shared" si="45"/>
        <v>2024-05-08</v>
      </c>
      <c r="E596" s="22" t="str">
        <f t="shared" si="46"/>
        <v>2024-05-08</v>
      </c>
      <c r="F596" s="22">
        <f t="shared" si="47"/>
        <v>0</v>
      </c>
      <c r="J596" t="str">
        <f t="shared" si="48"/>
        <v>Орлов Павел ДенисовичПопова Полина Алексеевна</v>
      </c>
      <c r="K596" t="s">
        <v>45</v>
      </c>
      <c r="L596" t="s">
        <v>256</v>
      </c>
      <c r="M596" t="s">
        <v>346</v>
      </c>
      <c r="N596" t="str">
        <f t="shared" si="49"/>
        <v>Белов Алексей КонстантиновичМорозов Никита Сергеевич</v>
      </c>
      <c r="O596" t="s">
        <v>21</v>
      </c>
      <c r="P596" t="s">
        <v>282</v>
      </c>
      <c r="Q596" t="s">
        <v>281</v>
      </c>
    </row>
    <row r="597" spans="2:17" x14ac:dyDescent="0.3">
      <c r="B597" t="s">
        <v>18</v>
      </c>
      <c r="C597" t="s">
        <v>90</v>
      </c>
      <c r="D597" s="22" t="str">
        <f t="shared" si="45"/>
        <v>2023-09-22</v>
      </c>
      <c r="E597" s="22" t="str">
        <f t="shared" si="46"/>
        <v>2023-11-30</v>
      </c>
      <c r="F597" s="22">
        <f t="shared" si="47"/>
        <v>69</v>
      </c>
      <c r="J597" t="str">
        <f t="shared" si="48"/>
        <v>Громова Мария ИльиничнаПетров Иван Артемович</v>
      </c>
      <c r="K597" t="s">
        <v>14</v>
      </c>
      <c r="L597" t="s">
        <v>39</v>
      </c>
      <c r="M597" t="s">
        <v>347</v>
      </c>
      <c r="N597" t="str">
        <f t="shared" si="49"/>
        <v>Громова Мария ИльиничнаМорозов Максим Андреевич</v>
      </c>
      <c r="O597" t="s">
        <v>14</v>
      </c>
      <c r="P597" t="s">
        <v>52</v>
      </c>
      <c r="Q597" t="s">
        <v>281</v>
      </c>
    </row>
    <row r="598" spans="2:17" x14ac:dyDescent="0.3">
      <c r="B598" t="s">
        <v>18</v>
      </c>
      <c r="C598" t="s">
        <v>58</v>
      </c>
      <c r="D598" s="22" t="str">
        <f t="shared" si="45"/>
        <v>2024-01-15</v>
      </c>
      <c r="E598" s="22" t="str">
        <f t="shared" si="46"/>
        <v>2024-01-15</v>
      </c>
      <c r="F598" s="22">
        <f t="shared" si="47"/>
        <v>0</v>
      </c>
      <c r="J598" t="str">
        <f t="shared" si="48"/>
        <v>Белов Алексей КонстантиновичСеменов Матвей Александрович</v>
      </c>
      <c r="K598" t="s">
        <v>21</v>
      </c>
      <c r="L598" t="s">
        <v>58</v>
      </c>
      <c r="M598" t="s">
        <v>347</v>
      </c>
      <c r="N598" t="str">
        <f t="shared" si="49"/>
        <v>Громова Мария ИльиничнаСидоров Роман Кириллович</v>
      </c>
      <c r="O598" t="s">
        <v>14</v>
      </c>
      <c r="P598" t="s">
        <v>110</v>
      </c>
      <c r="Q598" t="s">
        <v>281</v>
      </c>
    </row>
    <row r="599" spans="2:17" x14ac:dyDescent="0.3">
      <c r="B599" t="s">
        <v>18</v>
      </c>
      <c r="C599" t="s">
        <v>166</v>
      </c>
      <c r="D599" s="22" t="str">
        <f t="shared" si="45"/>
        <v>2024-01-19</v>
      </c>
      <c r="E599" s="22" t="str">
        <f t="shared" si="46"/>
        <v>2024-01-19</v>
      </c>
      <c r="F599" s="22">
        <f t="shared" si="47"/>
        <v>0</v>
      </c>
      <c r="J599" t="str">
        <f t="shared" si="48"/>
        <v>Громова Мария ИльиничнаЕгоров Артем Никитич</v>
      </c>
      <c r="K599" t="s">
        <v>14</v>
      </c>
      <c r="L599" t="s">
        <v>25</v>
      </c>
      <c r="M599" t="s">
        <v>347</v>
      </c>
      <c r="N599" t="str">
        <f t="shared" si="49"/>
        <v>Громова Мария ИльиничнаЛебедев Дмитрий Викторович</v>
      </c>
      <c r="O599" t="s">
        <v>14</v>
      </c>
      <c r="P599" t="s">
        <v>85</v>
      </c>
      <c r="Q599" t="s">
        <v>281</v>
      </c>
    </row>
    <row r="600" spans="2:17" x14ac:dyDescent="0.3">
      <c r="B600" t="s">
        <v>18</v>
      </c>
      <c r="C600" t="s">
        <v>110</v>
      </c>
      <c r="D600" s="22" t="str">
        <f t="shared" si="45"/>
        <v>2023-09-29</v>
      </c>
      <c r="E600" s="22" t="str">
        <f t="shared" si="46"/>
        <v>2023-09-29</v>
      </c>
      <c r="F600" s="22">
        <f t="shared" si="47"/>
        <v>0</v>
      </c>
      <c r="J600" t="str">
        <f t="shared" si="48"/>
        <v>Яковлев Артем ИгоревичПетров Илья Андреевич</v>
      </c>
      <c r="K600" t="s">
        <v>8</v>
      </c>
      <c r="L600" t="s">
        <v>70</v>
      </c>
      <c r="M600" t="s">
        <v>347</v>
      </c>
      <c r="N600" t="str">
        <f t="shared" si="49"/>
        <v>Иванова Анна СергеевнаВасильев Матвей Андреевич</v>
      </c>
      <c r="O600" t="s">
        <v>28</v>
      </c>
      <c r="P600" t="s">
        <v>95</v>
      </c>
      <c r="Q600" t="s">
        <v>281</v>
      </c>
    </row>
    <row r="601" spans="2:17" x14ac:dyDescent="0.3">
      <c r="B601" t="s">
        <v>18</v>
      </c>
      <c r="C601" t="s">
        <v>127</v>
      </c>
      <c r="D601" s="22" t="str">
        <f t="shared" si="45"/>
        <v>2024-02-21</v>
      </c>
      <c r="E601" s="22" t="str">
        <f t="shared" si="46"/>
        <v>2024-02-21</v>
      </c>
      <c r="F601" s="22">
        <f t="shared" si="47"/>
        <v>0</v>
      </c>
      <c r="J601" t="str">
        <f t="shared" si="48"/>
        <v>Белов Алексей КонстантиновичКузнецова Дарья Дмитриевна</v>
      </c>
      <c r="K601" t="s">
        <v>21</v>
      </c>
      <c r="L601" t="s">
        <v>43</v>
      </c>
      <c r="M601" t="s">
        <v>348</v>
      </c>
      <c r="N601" t="str">
        <f t="shared" si="49"/>
        <v>Петров Владимир КирилловичКузнецов Илья Артемович</v>
      </c>
      <c r="O601" t="s">
        <v>50</v>
      </c>
      <c r="P601" t="s">
        <v>185</v>
      </c>
      <c r="Q601" t="s">
        <v>281</v>
      </c>
    </row>
    <row r="602" spans="2:17" x14ac:dyDescent="0.3">
      <c r="B602" t="s">
        <v>18</v>
      </c>
      <c r="C602" t="s">
        <v>231</v>
      </c>
      <c r="D602" s="22" t="str">
        <f t="shared" si="45"/>
        <v>2024-01-19</v>
      </c>
      <c r="E602" s="22" t="str">
        <f t="shared" si="46"/>
        <v>2024-01-19</v>
      </c>
      <c r="F602" s="22">
        <f t="shared" si="47"/>
        <v>0</v>
      </c>
      <c r="J602" t="str">
        <f t="shared" si="48"/>
        <v>Новикова Ольга ПетровнаКузнецова Полина Романовна</v>
      </c>
      <c r="K602" t="s">
        <v>47</v>
      </c>
      <c r="L602" t="s">
        <v>17</v>
      </c>
      <c r="M602" t="s">
        <v>348</v>
      </c>
      <c r="N602" t="str">
        <f t="shared" si="49"/>
        <v>Яковлев Артем ИгоревичВолков Александр Юрьевич</v>
      </c>
      <c r="O602" t="s">
        <v>8</v>
      </c>
      <c r="P602" t="s">
        <v>103</v>
      </c>
      <c r="Q602" t="s">
        <v>278</v>
      </c>
    </row>
    <row r="603" spans="2:17" x14ac:dyDescent="0.3">
      <c r="B603" t="s">
        <v>18</v>
      </c>
      <c r="C603" t="s">
        <v>117</v>
      </c>
      <c r="D603" s="22" t="str">
        <f t="shared" si="45"/>
        <v>2024-03-28</v>
      </c>
      <c r="E603" s="22" t="str">
        <f t="shared" si="46"/>
        <v>2024-03-28</v>
      </c>
      <c r="F603" s="22">
        <f t="shared" si="47"/>
        <v>0</v>
      </c>
      <c r="J603" t="str">
        <f t="shared" si="48"/>
        <v>Громова Мария ИльиничнаПетров Алексей Сергеевич</v>
      </c>
      <c r="K603" t="s">
        <v>14</v>
      </c>
      <c r="L603" t="s">
        <v>66</v>
      </c>
      <c r="M603" t="s">
        <v>348</v>
      </c>
      <c r="N603" t="str">
        <f t="shared" si="49"/>
        <v>Петров Владимир КирилловичКозлов Роман Владимирович</v>
      </c>
      <c r="O603" t="s">
        <v>50</v>
      </c>
      <c r="P603" t="s">
        <v>279</v>
      </c>
      <c r="Q603" t="s">
        <v>278</v>
      </c>
    </row>
    <row r="604" spans="2:17" x14ac:dyDescent="0.3">
      <c r="B604" t="s">
        <v>18</v>
      </c>
      <c r="C604" t="s">
        <v>122</v>
      </c>
      <c r="D604" s="22" t="str">
        <f t="shared" si="45"/>
        <v>2024-04-08</v>
      </c>
      <c r="E604" s="22" t="str">
        <f t="shared" si="46"/>
        <v>2024-04-08</v>
      </c>
      <c r="F604" s="22">
        <f t="shared" si="47"/>
        <v>0</v>
      </c>
      <c r="J604" t="str">
        <f t="shared" si="48"/>
        <v>Сидорова Елена ВасильевнаСтепанов Александр Станиславович</v>
      </c>
      <c r="K604" t="s">
        <v>18</v>
      </c>
      <c r="L604" t="s">
        <v>122</v>
      </c>
      <c r="M604" t="s">
        <v>348</v>
      </c>
      <c r="N604" t="str">
        <f t="shared" si="49"/>
        <v>Ткаченко Андрей ОлеговичМорозова Ольга Дмитриевна</v>
      </c>
      <c r="O604" t="s">
        <v>5</v>
      </c>
      <c r="P604" t="s">
        <v>280</v>
      </c>
      <c r="Q604" t="s">
        <v>278</v>
      </c>
    </row>
    <row r="605" spans="2:17" x14ac:dyDescent="0.3">
      <c r="B605" t="s">
        <v>18</v>
      </c>
      <c r="C605" t="s">
        <v>291</v>
      </c>
      <c r="D605" s="22" t="str">
        <f t="shared" si="45"/>
        <v>2024-02-09</v>
      </c>
      <c r="E605" s="22" t="str">
        <f t="shared" si="46"/>
        <v>2024-02-09</v>
      </c>
      <c r="F605" s="22">
        <f t="shared" si="47"/>
        <v>0</v>
      </c>
      <c r="J605" t="str">
        <f t="shared" si="48"/>
        <v>Фролов Сергей ВикторовичПавлов Илья Никитич</v>
      </c>
      <c r="K605" t="s">
        <v>40</v>
      </c>
      <c r="L605" t="s">
        <v>324</v>
      </c>
      <c r="M605" t="s">
        <v>348</v>
      </c>
      <c r="N605" t="str">
        <f t="shared" si="49"/>
        <v>Сидорова Елена ВасильевнаСмирнов Михаил Никитич</v>
      </c>
      <c r="O605" t="s">
        <v>18</v>
      </c>
      <c r="P605" t="s">
        <v>231</v>
      </c>
      <c r="Q605" t="s">
        <v>278</v>
      </c>
    </row>
    <row r="606" spans="2:17" x14ac:dyDescent="0.3">
      <c r="B606" t="s">
        <v>18</v>
      </c>
      <c r="C606" t="s">
        <v>35</v>
      </c>
      <c r="D606" s="22" t="str">
        <f t="shared" si="45"/>
        <v>2024-02-02</v>
      </c>
      <c r="E606" s="22" t="str">
        <f t="shared" si="46"/>
        <v>2024-03-25</v>
      </c>
      <c r="F606" s="22">
        <f t="shared" si="47"/>
        <v>52</v>
      </c>
      <c r="J606" t="str">
        <f t="shared" si="48"/>
        <v>Семенова Ирина ВалерьевнаВасильев Константин Геннадьевич</v>
      </c>
      <c r="K606" t="s">
        <v>12</v>
      </c>
      <c r="L606" t="s">
        <v>221</v>
      </c>
      <c r="M606" t="s">
        <v>348</v>
      </c>
      <c r="N606" t="str">
        <f t="shared" si="49"/>
        <v>Сидорова Елена ВасильевнаСидоров Дмитрий Кириллович</v>
      </c>
      <c r="O606" t="s">
        <v>18</v>
      </c>
      <c r="P606" t="s">
        <v>166</v>
      </c>
      <c r="Q606" t="s">
        <v>278</v>
      </c>
    </row>
    <row r="607" spans="2:17" x14ac:dyDescent="0.3">
      <c r="B607" t="s">
        <v>18</v>
      </c>
      <c r="C607" t="s">
        <v>197</v>
      </c>
      <c r="D607" s="22" t="str">
        <f t="shared" si="45"/>
        <v>2024-07-01</v>
      </c>
      <c r="E607" s="22" t="str">
        <f t="shared" si="46"/>
        <v>2024-07-15</v>
      </c>
      <c r="F607" s="22">
        <f t="shared" si="47"/>
        <v>14</v>
      </c>
      <c r="J607" t="str">
        <f t="shared" si="48"/>
        <v>Новикова Ольга ПетровнаКузнецов Иван Ильич</v>
      </c>
      <c r="K607" t="s">
        <v>47</v>
      </c>
      <c r="L607" t="s">
        <v>178</v>
      </c>
      <c r="M607" t="s">
        <v>348</v>
      </c>
      <c r="N607" t="str">
        <f t="shared" si="49"/>
        <v>Иванова Анна СергеевнаМорозова Мария Дмитриевна</v>
      </c>
      <c r="O607" t="s">
        <v>28</v>
      </c>
      <c r="P607" t="s">
        <v>84</v>
      </c>
      <c r="Q607" t="s">
        <v>275</v>
      </c>
    </row>
    <row r="608" spans="2:17" x14ac:dyDescent="0.3">
      <c r="B608" t="s">
        <v>18</v>
      </c>
      <c r="C608" t="s">
        <v>192</v>
      </c>
      <c r="D608" s="22" t="str">
        <f t="shared" si="45"/>
        <v>2024-05-13</v>
      </c>
      <c r="E608" s="22" t="str">
        <f t="shared" si="46"/>
        <v>2024-05-13</v>
      </c>
      <c r="F608" s="22">
        <f t="shared" si="47"/>
        <v>0</v>
      </c>
      <c r="J608" t="str">
        <f t="shared" si="48"/>
        <v>Кузнецов Дмитрий ЛьвовичЛебедева Юлия Олеговна</v>
      </c>
      <c r="K608" t="s">
        <v>10</v>
      </c>
      <c r="L608" t="s">
        <v>312</v>
      </c>
      <c r="M608" t="s">
        <v>348</v>
      </c>
      <c r="N608" t="str">
        <f t="shared" si="49"/>
        <v>Белов Алексей КонстантиновичКузнецова Ирина Владимировна</v>
      </c>
      <c r="O608" t="s">
        <v>21</v>
      </c>
      <c r="P608" t="s">
        <v>276</v>
      </c>
      <c r="Q608" t="s">
        <v>275</v>
      </c>
    </row>
    <row r="609" spans="2:17" x14ac:dyDescent="0.3">
      <c r="B609" t="s">
        <v>5</v>
      </c>
      <c r="C609" t="s">
        <v>176</v>
      </c>
      <c r="D609" s="22" t="str">
        <f t="shared" si="45"/>
        <v>2024-04-12</v>
      </c>
      <c r="E609" s="22" t="str">
        <f t="shared" si="46"/>
        <v>2024-04-12</v>
      </c>
      <c r="F609" s="22">
        <f t="shared" si="47"/>
        <v>0</v>
      </c>
      <c r="J609" t="str">
        <f t="shared" si="48"/>
        <v>Яковлев Артем ИгоревичКозлова Татьяна Михайловна</v>
      </c>
      <c r="K609" t="s">
        <v>8</v>
      </c>
      <c r="L609" t="s">
        <v>61</v>
      </c>
      <c r="M609" t="s">
        <v>348</v>
      </c>
      <c r="N609" t="str">
        <f t="shared" si="49"/>
        <v>Белов Алексей КонстантиновичНиколаев Егор Романович</v>
      </c>
      <c r="O609" t="s">
        <v>21</v>
      </c>
      <c r="P609" t="s">
        <v>277</v>
      </c>
      <c r="Q609" t="s">
        <v>275</v>
      </c>
    </row>
    <row r="610" spans="2:17" x14ac:dyDescent="0.3">
      <c r="B610" t="s">
        <v>5</v>
      </c>
      <c r="C610" t="s">
        <v>95</v>
      </c>
      <c r="D610" s="22" t="str">
        <f t="shared" si="45"/>
        <v>2023-12-20</v>
      </c>
      <c r="E610" s="22" t="str">
        <f t="shared" si="46"/>
        <v>2024-06-19</v>
      </c>
      <c r="F610" s="22">
        <f t="shared" si="47"/>
        <v>182</v>
      </c>
      <c r="J610" t="str">
        <f t="shared" si="48"/>
        <v>Орлов Павел ДенисовичОрлова Валерия Юрьевна</v>
      </c>
      <c r="K610" t="s">
        <v>45</v>
      </c>
      <c r="L610" t="s">
        <v>258</v>
      </c>
      <c r="M610" t="s">
        <v>349</v>
      </c>
      <c r="N610" t="str">
        <f t="shared" si="49"/>
        <v>Петров Владимир КирилловичСтепанова Юлия Андреевна</v>
      </c>
      <c r="O610" t="s">
        <v>50</v>
      </c>
      <c r="P610" t="s">
        <v>217</v>
      </c>
      <c r="Q610" t="s">
        <v>275</v>
      </c>
    </row>
    <row r="611" spans="2:17" x14ac:dyDescent="0.3">
      <c r="B611" t="s">
        <v>5</v>
      </c>
      <c r="C611" t="s">
        <v>412</v>
      </c>
      <c r="D611" s="22" t="str">
        <f t="shared" si="45"/>
        <v>2024-09-02</v>
      </c>
      <c r="E611" s="22" t="str">
        <f t="shared" si="46"/>
        <v>2024-09-02</v>
      </c>
      <c r="F611" s="22">
        <f t="shared" si="47"/>
        <v>0</v>
      </c>
      <c r="J611" t="str">
        <f t="shared" si="48"/>
        <v>Кузнецов Дмитрий ЛьвовичЕгорова Наталья Дмитриевна</v>
      </c>
      <c r="K611" t="s">
        <v>10</v>
      </c>
      <c r="L611" t="s">
        <v>251</v>
      </c>
      <c r="M611" t="s">
        <v>349</v>
      </c>
      <c r="N611" t="str">
        <f t="shared" si="49"/>
        <v>Фролов Сергей ВикторовичФедоров Михаил Кириллович</v>
      </c>
      <c r="O611" t="s">
        <v>40</v>
      </c>
      <c r="P611" t="s">
        <v>76</v>
      </c>
      <c r="Q611" t="s">
        <v>275</v>
      </c>
    </row>
    <row r="612" spans="2:17" x14ac:dyDescent="0.3">
      <c r="B612" t="s">
        <v>5</v>
      </c>
      <c r="C612" t="s">
        <v>130</v>
      </c>
      <c r="D612" s="22" t="str">
        <f t="shared" si="45"/>
        <v>2023-10-11</v>
      </c>
      <c r="E612" s="22" t="str">
        <f t="shared" si="46"/>
        <v>2024-05-31</v>
      </c>
      <c r="F612" s="22">
        <f t="shared" si="47"/>
        <v>233</v>
      </c>
      <c r="J612" t="str">
        <f t="shared" si="48"/>
        <v>Петров Владимир КирилловичСидорова Ксения Дмитриевна</v>
      </c>
      <c r="K612" t="s">
        <v>50</v>
      </c>
      <c r="L612" t="s">
        <v>99</v>
      </c>
      <c r="M612" t="s">
        <v>349</v>
      </c>
      <c r="N612" t="str">
        <f t="shared" si="49"/>
        <v>Иванова Анна СергеевнаПетров Павел Кириллович</v>
      </c>
      <c r="O612" t="s">
        <v>28</v>
      </c>
      <c r="P612" t="s">
        <v>78</v>
      </c>
      <c r="Q612" t="s">
        <v>274</v>
      </c>
    </row>
    <row r="613" spans="2:17" x14ac:dyDescent="0.3">
      <c r="B613" t="s">
        <v>5</v>
      </c>
      <c r="C613" t="s">
        <v>25</v>
      </c>
      <c r="D613" s="22" t="str">
        <f t="shared" si="45"/>
        <v>2024-08-07</v>
      </c>
      <c r="E613" s="22" t="str">
        <f t="shared" si="46"/>
        <v>2024-08-07</v>
      </c>
      <c r="F613" s="22">
        <f t="shared" si="47"/>
        <v>0</v>
      </c>
      <c r="J613" t="str">
        <f t="shared" si="48"/>
        <v>Яковлев Артем ИгоревичВолков Александр Юрьевич</v>
      </c>
      <c r="K613" t="s">
        <v>8</v>
      </c>
      <c r="L613" t="s">
        <v>103</v>
      </c>
      <c r="M613" t="s">
        <v>349</v>
      </c>
      <c r="N613" t="str">
        <f t="shared" si="49"/>
        <v>Белов Алексей КонстантиновичМорозова Валерия Ильинична</v>
      </c>
      <c r="O613" t="s">
        <v>21</v>
      </c>
      <c r="P613" t="s">
        <v>174</v>
      </c>
      <c r="Q613" t="s">
        <v>272</v>
      </c>
    </row>
    <row r="614" spans="2:17" x14ac:dyDescent="0.3">
      <c r="B614" t="s">
        <v>5</v>
      </c>
      <c r="C614" t="s">
        <v>112</v>
      </c>
      <c r="D614" s="22" t="str">
        <f t="shared" si="45"/>
        <v>2024-06-18</v>
      </c>
      <c r="E614" s="22" t="str">
        <f t="shared" si="46"/>
        <v>2024-08-20</v>
      </c>
      <c r="F614" s="22">
        <f t="shared" si="47"/>
        <v>63</v>
      </c>
      <c r="J614" t="str">
        <f t="shared" si="48"/>
        <v>Новикова Ольга ПетровнаПопов Алексей Кириллович</v>
      </c>
      <c r="K614" t="s">
        <v>47</v>
      </c>
      <c r="L614" t="s">
        <v>92</v>
      </c>
      <c r="M614" t="s">
        <v>350</v>
      </c>
      <c r="N614" t="str">
        <f t="shared" si="49"/>
        <v>Громова Мария ИльиничнаСеменов Максим Геннадьевич</v>
      </c>
      <c r="O614" t="s">
        <v>14</v>
      </c>
      <c r="P614" t="s">
        <v>111</v>
      </c>
      <c r="Q614" t="s">
        <v>272</v>
      </c>
    </row>
    <row r="615" spans="2:17" x14ac:dyDescent="0.3">
      <c r="B615" t="s">
        <v>5</v>
      </c>
      <c r="C615" t="s">
        <v>251</v>
      </c>
      <c r="D615" s="22" t="str">
        <f t="shared" si="45"/>
        <v>2024-01-02</v>
      </c>
      <c r="E615" s="22" t="str">
        <f t="shared" si="46"/>
        <v>2024-01-02</v>
      </c>
      <c r="F615" s="22">
        <f t="shared" si="47"/>
        <v>0</v>
      </c>
      <c r="J615" t="str">
        <f t="shared" si="48"/>
        <v>Семенова Ирина ВалерьевнаВасильев Павел Егорович</v>
      </c>
      <c r="K615" t="s">
        <v>12</v>
      </c>
      <c r="L615" t="s">
        <v>173</v>
      </c>
      <c r="M615" t="s">
        <v>350</v>
      </c>
      <c r="N615" t="str">
        <f t="shared" si="49"/>
        <v>Белов Алексей КонстантиновичПавлов Роман Владимирович</v>
      </c>
      <c r="O615" t="s">
        <v>21</v>
      </c>
      <c r="P615" t="s">
        <v>169</v>
      </c>
      <c r="Q615" t="s">
        <v>272</v>
      </c>
    </row>
    <row r="616" spans="2:17" x14ac:dyDescent="0.3">
      <c r="B616" t="s">
        <v>5</v>
      </c>
      <c r="C616" t="s">
        <v>124</v>
      </c>
      <c r="D616" s="22" t="str">
        <f t="shared" si="45"/>
        <v>2024-05-06</v>
      </c>
      <c r="E616" s="22" t="str">
        <f t="shared" si="46"/>
        <v>2024-05-06</v>
      </c>
      <c r="F616" s="22">
        <f t="shared" si="47"/>
        <v>0</v>
      </c>
      <c r="J616" t="str">
        <f t="shared" si="48"/>
        <v>Кузнецов Дмитрий ЛьвовичВасильева Ирина Павловна</v>
      </c>
      <c r="K616" t="s">
        <v>10</v>
      </c>
      <c r="L616" t="s">
        <v>130</v>
      </c>
      <c r="M616" t="s">
        <v>350</v>
      </c>
      <c r="N616" t="str">
        <f t="shared" si="49"/>
        <v>Громова Мария ИльиничнаСеменова Наталья Павловна</v>
      </c>
      <c r="O616" t="s">
        <v>14</v>
      </c>
      <c r="P616" t="s">
        <v>194</v>
      </c>
      <c r="Q616" t="s">
        <v>272</v>
      </c>
    </row>
    <row r="617" spans="2:17" x14ac:dyDescent="0.3">
      <c r="B617" t="s">
        <v>5</v>
      </c>
      <c r="C617" t="s">
        <v>152</v>
      </c>
      <c r="D617" s="22" t="str">
        <f t="shared" si="45"/>
        <v>2024-04-29</v>
      </c>
      <c r="E617" s="22" t="str">
        <f t="shared" si="46"/>
        <v>2024-04-29</v>
      </c>
      <c r="F617" s="22">
        <f t="shared" si="47"/>
        <v>0</v>
      </c>
      <c r="J617" t="str">
        <f t="shared" si="48"/>
        <v>Белов Алексей КонстантиновичПопова Виктория Геннадьевна</v>
      </c>
      <c r="K617" t="s">
        <v>21</v>
      </c>
      <c r="L617" t="s">
        <v>167</v>
      </c>
      <c r="M617" t="s">
        <v>351</v>
      </c>
      <c r="N617" t="str">
        <f t="shared" si="49"/>
        <v>Яковлев Артем ИгоревичПавлов Георгий Александрович</v>
      </c>
      <c r="O617" t="s">
        <v>8</v>
      </c>
      <c r="P617" t="s">
        <v>273</v>
      </c>
      <c r="Q617" t="s">
        <v>272</v>
      </c>
    </row>
    <row r="618" spans="2:17" x14ac:dyDescent="0.3">
      <c r="B618" t="s">
        <v>5</v>
      </c>
      <c r="C618" t="s">
        <v>222</v>
      </c>
      <c r="D618" s="22" t="str">
        <f t="shared" si="45"/>
        <v>2024-06-28</v>
      </c>
      <c r="E618" s="22" t="str">
        <f t="shared" si="46"/>
        <v>2024-06-28</v>
      </c>
      <c r="F618" s="22">
        <f t="shared" si="47"/>
        <v>0</v>
      </c>
      <c r="J618" t="str">
        <f t="shared" si="48"/>
        <v>Ткаченко Андрей ОлеговичАлексеева Елена Кирилловна</v>
      </c>
      <c r="K618" t="s">
        <v>5</v>
      </c>
      <c r="L618" t="s">
        <v>176</v>
      </c>
      <c r="M618" t="s">
        <v>351</v>
      </c>
      <c r="N618" t="str">
        <f t="shared" si="49"/>
        <v>Фролов Сергей ВикторовичПавлова Екатерина Егоровна</v>
      </c>
      <c r="O618" t="s">
        <v>40</v>
      </c>
      <c r="P618" t="s">
        <v>141</v>
      </c>
      <c r="Q618" t="s">
        <v>271</v>
      </c>
    </row>
    <row r="619" spans="2:17" x14ac:dyDescent="0.3">
      <c r="B619" t="s">
        <v>5</v>
      </c>
      <c r="C619" t="s">
        <v>54</v>
      </c>
      <c r="D619" s="22" t="str">
        <f t="shared" si="45"/>
        <v>2023-10-18</v>
      </c>
      <c r="E619" s="22" t="str">
        <f t="shared" si="46"/>
        <v>2023-10-18</v>
      </c>
      <c r="F619" s="22">
        <f t="shared" si="47"/>
        <v>0</v>
      </c>
      <c r="J619" t="str">
        <f t="shared" si="48"/>
        <v>Сидорова Елена ВасильевнаМорозов Андрей Никитич</v>
      </c>
      <c r="K619" t="s">
        <v>18</v>
      </c>
      <c r="L619" t="s">
        <v>147</v>
      </c>
      <c r="M619" t="s">
        <v>352</v>
      </c>
      <c r="N619" t="str">
        <f t="shared" si="49"/>
        <v>Кузнецов Дмитрий ЛьвовичОрлов Михаил Никитич</v>
      </c>
      <c r="O619" t="s">
        <v>10</v>
      </c>
      <c r="P619" t="s">
        <v>60</v>
      </c>
      <c r="Q619" t="s">
        <v>271</v>
      </c>
    </row>
    <row r="620" spans="2:17" x14ac:dyDescent="0.3">
      <c r="B620" t="s">
        <v>5</v>
      </c>
      <c r="C620" t="s">
        <v>61</v>
      </c>
      <c r="D620" s="22" t="str">
        <f t="shared" si="45"/>
        <v>2024-07-25</v>
      </c>
      <c r="E620" s="22" t="str">
        <f t="shared" si="46"/>
        <v>2024-07-25</v>
      </c>
      <c r="F620" s="22">
        <f t="shared" si="47"/>
        <v>0</v>
      </c>
      <c r="J620" t="str">
        <f t="shared" si="48"/>
        <v>Иванова Анна СергеевнаЛебедев Артем Кириллович</v>
      </c>
      <c r="K620" t="s">
        <v>28</v>
      </c>
      <c r="L620" t="s">
        <v>49</v>
      </c>
      <c r="M620" t="s">
        <v>352</v>
      </c>
      <c r="N620" t="str">
        <f t="shared" si="49"/>
        <v>Новикова Ольга ПетровнаОрлов Александр Иванович</v>
      </c>
      <c r="O620" t="s">
        <v>47</v>
      </c>
      <c r="P620" t="s">
        <v>69</v>
      </c>
      <c r="Q620" t="s">
        <v>271</v>
      </c>
    </row>
    <row r="621" spans="2:17" x14ac:dyDescent="0.3">
      <c r="B621" t="s">
        <v>5</v>
      </c>
      <c r="C621" t="s">
        <v>252</v>
      </c>
      <c r="D621" s="22" t="str">
        <f t="shared" si="45"/>
        <v>2024-08-14</v>
      </c>
      <c r="E621" s="22" t="str">
        <f t="shared" si="46"/>
        <v>2024-08-14</v>
      </c>
      <c r="F621" s="22">
        <f t="shared" si="47"/>
        <v>0</v>
      </c>
      <c r="J621" t="str">
        <f t="shared" si="48"/>
        <v>Ткаченко Андрей ОлеговичМорозов Артем Александрович</v>
      </c>
      <c r="K621" t="s">
        <v>5</v>
      </c>
      <c r="L621" t="s">
        <v>289</v>
      </c>
      <c r="M621" t="s">
        <v>352</v>
      </c>
      <c r="N621" t="str">
        <f t="shared" si="49"/>
        <v>Громова Мария ИльиничнаЕгоров Никита Ильич</v>
      </c>
      <c r="O621" t="s">
        <v>14</v>
      </c>
      <c r="P621" t="s">
        <v>112</v>
      </c>
      <c r="Q621" t="s">
        <v>271</v>
      </c>
    </row>
    <row r="622" spans="2:17" x14ac:dyDescent="0.3">
      <c r="B622" t="s">
        <v>5</v>
      </c>
      <c r="C622" t="s">
        <v>178</v>
      </c>
      <c r="D622" s="22" t="str">
        <f t="shared" si="45"/>
        <v>2023-12-13</v>
      </c>
      <c r="E622" s="22" t="str">
        <f t="shared" si="46"/>
        <v>2024-03-28</v>
      </c>
      <c r="F622" s="22">
        <f t="shared" si="47"/>
        <v>106</v>
      </c>
      <c r="J622" t="str">
        <f t="shared" si="48"/>
        <v>Петров Владимир КирилловичПопов Алексей Кириллович</v>
      </c>
      <c r="K622" t="s">
        <v>50</v>
      </c>
      <c r="L622" t="s">
        <v>92</v>
      </c>
      <c r="M622" t="s">
        <v>352</v>
      </c>
      <c r="N622" t="str">
        <f t="shared" si="49"/>
        <v>Орлов Павел ДенисовичПопова Юлия Дмитриевна</v>
      </c>
      <c r="O622" t="s">
        <v>45</v>
      </c>
      <c r="P622" t="s">
        <v>268</v>
      </c>
      <c r="Q622" t="s">
        <v>271</v>
      </c>
    </row>
    <row r="623" spans="2:17" x14ac:dyDescent="0.3">
      <c r="B623" t="s">
        <v>5</v>
      </c>
      <c r="C623" t="s">
        <v>185</v>
      </c>
      <c r="D623" s="22" t="str">
        <f t="shared" si="45"/>
        <v>2024-04-15</v>
      </c>
      <c r="E623" s="22" t="str">
        <f t="shared" si="46"/>
        <v>2024-04-15</v>
      </c>
      <c r="F623" s="22">
        <f t="shared" si="47"/>
        <v>0</v>
      </c>
      <c r="J623" t="str">
        <f t="shared" si="48"/>
        <v>Иванова Анна СергеевнаФедоров Дмитрий Михайлович</v>
      </c>
      <c r="K623" t="s">
        <v>28</v>
      </c>
      <c r="L623" t="s">
        <v>100</v>
      </c>
      <c r="M623" t="s">
        <v>352</v>
      </c>
      <c r="N623" t="str">
        <f t="shared" si="49"/>
        <v>Яковлев Артем ИгоревичПетров Иван Егорович</v>
      </c>
      <c r="O623" t="s">
        <v>8</v>
      </c>
      <c r="P623" t="s">
        <v>149</v>
      </c>
      <c r="Q623" t="s">
        <v>271</v>
      </c>
    </row>
    <row r="624" spans="2:17" x14ac:dyDescent="0.3">
      <c r="B624" t="s">
        <v>5</v>
      </c>
      <c r="C624" t="s">
        <v>20</v>
      </c>
      <c r="D624" s="22" t="str">
        <f t="shared" si="45"/>
        <v>2023-11-20</v>
      </c>
      <c r="E624" s="22" t="str">
        <f t="shared" si="46"/>
        <v>2023-11-20</v>
      </c>
      <c r="F624" s="22">
        <f t="shared" si="47"/>
        <v>0</v>
      </c>
      <c r="J624" t="str">
        <f t="shared" si="48"/>
        <v>Ткаченко Андрей ОлеговичКузнецов Илья Артемович</v>
      </c>
      <c r="K624" t="s">
        <v>5</v>
      </c>
      <c r="L624" t="s">
        <v>185</v>
      </c>
      <c r="M624" t="s">
        <v>352</v>
      </c>
      <c r="N624" t="str">
        <f t="shared" si="49"/>
        <v>Семенова Ирина ВалерьевнаНиколаев Роман Ильич</v>
      </c>
      <c r="O624" t="s">
        <v>12</v>
      </c>
      <c r="P624" t="s">
        <v>202</v>
      </c>
      <c r="Q624" t="s">
        <v>271</v>
      </c>
    </row>
    <row r="625" spans="2:17" x14ac:dyDescent="0.3">
      <c r="B625" t="s">
        <v>5</v>
      </c>
      <c r="C625" t="s">
        <v>43</v>
      </c>
      <c r="D625" s="22" t="str">
        <f t="shared" si="45"/>
        <v>2023-10-20</v>
      </c>
      <c r="E625" s="22" t="str">
        <f t="shared" si="46"/>
        <v>2023-10-20</v>
      </c>
      <c r="F625" s="22">
        <f t="shared" si="47"/>
        <v>0</v>
      </c>
      <c r="J625" t="str">
        <f t="shared" si="48"/>
        <v>Сидорова Елена ВасильевнаИванов Дмитрий Павлович</v>
      </c>
      <c r="K625" t="s">
        <v>18</v>
      </c>
      <c r="L625" t="s">
        <v>124</v>
      </c>
      <c r="M625" t="s">
        <v>352</v>
      </c>
      <c r="N625" t="str">
        <f t="shared" si="49"/>
        <v>Фролов Сергей ВикторовичМорозов Андрей Никитич</v>
      </c>
      <c r="O625" t="s">
        <v>40</v>
      </c>
      <c r="P625" t="s">
        <v>147</v>
      </c>
      <c r="Q625" t="s">
        <v>271</v>
      </c>
    </row>
    <row r="626" spans="2:17" x14ac:dyDescent="0.3">
      <c r="B626" t="s">
        <v>5</v>
      </c>
      <c r="C626" t="s">
        <v>85</v>
      </c>
      <c r="D626" s="22" t="str">
        <f t="shared" si="45"/>
        <v>2024-08-26</v>
      </c>
      <c r="E626" s="22" t="str">
        <f t="shared" si="46"/>
        <v>2024-08-26</v>
      </c>
      <c r="F626" s="22">
        <f t="shared" si="47"/>
        <v>0</v>
      </c>
      <c r="J626" t="str">
        <f t="shared" si="48"/>
        <v>Сидорова Елена ВасильевнаМорозова Валерия Ильинична</v>
      </c>
      <c r="K626" t="s">
        <v>18</v>
      </c>
      <c r="L626" t="s">
        <v>174</v>
      </c>
      <c r="M626" t="s">
        <v>352</v>
      </c>
      <c r="N626" t="str">
        <f t="shared" si="49"/>
        <v>Белов Алексей КонстантиновичВолков Александр Юрьевич</v>
      </c>
      <c r="O626" t="s">
        <v>21</v>
      </c>
      <c r="P626" t="s">
        <v>103</v>
      </c>
      <c r="Q626" t="s">
        <v>271</v>
      </c>
    </row>
    <row r="627" spans="2:17" x14ac:dyDescent="0.3">
      <c r="B627" t="s">
        <v>5</v>
      </c>
      <c r="C627" t="s">
        <v>48</v>
      </c>
      <c r="D627" s="22" t="str">
        <f t="shared" si="45"/>
        <v>2024-01-01</v>
      </c>
      <c r="E627" s="22" t="str">
        <f t="shared" si="46"/>
        <v>2024-01-01</v>
      </c>
      <c r="F627" s="22">
        <f t="shared" si="47"/>
        <v>0</v>
      </c>
      <c r="J627" t="str">
        <f t="shared" si="48"/>
        <v>Петров Владимир КирилловичЛебедев Дмитрий Викторович</v>
      </c>
      <c r="K627" t="s">
        <v>50</v>
      </c>
      <c r="L627" t="s">
        <v>85</v>
      </c>
      <c r="M627" t="s">
        <v>352</v>
      </c>
      <c r="N627" t="str">
        <f t="shared" si="49"/>
        <v>Яковлев Артем ИгоревичСидорова Елена Кирилловна</v>
      </c>
      <c r="O627" t="s">
        <v>8</v>
      </c>
      <c r="P627" t="s">
        <v>180</v>
      </c>
      <c r="Q627" t="s">
        <v>271</v>
      </c>
    </row>
    <row r="628" spans="2:17" x14ac:dyDescent="0.3">
      <c r="B628" t="s">
        <v>5</v>
      </c>
      <c r="C628" t="s">
        <v>6</v>
      </c>
      <c r="D628" s="22" t="str">
        <f t="shared" si="45"/>
        <v>2023-09-01</v>
      </c>
      <c r="E628" s="22" t="str">
        <f t="shared" si="46"/>
        <v>2023-09-01</v>
      </c>
      <c r="F628" s="22">
        <f t="shared" si="47"/>
        <v>0</v>
      </c>
      <c r="J628" t="str">
        <f t="shared" si="48"/>
        <v>Орлов Павел ДенисовичПопова Юлия Дмитриевна</v>
      </c>
      <c r="K628" t="s">
        <v>45</v>
      </c>
      <c r="L628" t="s">
        <v>268</v>
      </c>
      <c r="M628" t="s">
        <v>352</v>
      </c>
      <c r="N628" t="str">
        <f t="shared" si="49"/>
        <v>Сидорова Елена ВасильевнаСеменов Матвей Александрович</v>
      </c>
      <c r="O628" t="s">
        <v>18</v>
      </c>
      <c r="P628" t="s">
        <v>58</v>
      </c>
      <c r="Q628" t="s">
        <v>271</v>
      </c>
    </row>
    <row r="629" spans="2:17" x14ac:dyDescent="0.3">
      <c r="B629" t="s">
        <v>5</v>
      </c>
      <c r="C629" t="s">
        <v>388</v>
      </c>
      <c r="D629" s="22" t="str">
        <f t="shared" si="45"/>
        <v>2024-07-26</v>
      </c>
      <c r="E629" s="22" t="str">
        <f t="shared" si="46"/>
        <v>2024-07-26</v>
      </c>
      <c r="F629" s="22">
        <f t="shared" si="47"/>
        <v>0</v>
      </c>
      <c r="J629" t="str">
        <f t="shared" si="48"/>
        <v>Орлов Павел ДенисовичНиколаева Юлия Егоровна</v>
      </c>
      <c r="K629" t="s">
        <v>45</v>
      </c>
      <c r="L629" t="s">
        <v>126</v>
      </c>
      <c r="M629" t="s">
        <v>352</v>
      </c>
      <c r="N629" t="str">
        <f t="shared" si="49"/>
        <v>Новикова Ольга ПетровнаМорозов Максим Андреевич</v>
      </c>
      <c r="O629" t="s">
        <v>47</v>
      </c>
      <c r="P629" t="s">
        <v>52</v>
      </c>
      <c r="Q629" t="s">
        <v>271</v>
      </c>
    </row>
    <row r="630" spans="2:17" x14ac:dyDescent="0.3">
      <c r="B630" t="s">
        <v>5</v>
      </c>
      <c r="C630" t="s">
        <v>19</v>
      </c>
      <c r="D630" s="22" t="str">
        <f t="shared" si="45"/>
        <v>2023-11-08</v>
      </c>
      <c r="E630" s="22" t="str">
        <f t="shared" si="46"/>
        <v>2023-11-08</v>
      </c>
      <c r="F630" s="22">
        <f t="shared" si="47"/>
        <v>0</v>
      </c>
      <c r="J630" t="str">
        <f t="shared" si="48"/>
        <v>Белов Алексей КонстантиновичПопов Иван Михайлович</v>
      </c>
      <c r="K630" t="s">
        <v>21</v>
      </c>
      <c r="L630" t="s">
        <v>109</v>
      </c>
      <c r="M630" t="s">
        <v>352</v>
      </c>
      <c r="N630" t="str">
        <f t="shared" si="49"/>
        <v>Новикова Ольга ПетровнаКузнецова Полина Романовна</v>
      </c>
      <c r="O630" t="s">
        <v>47</v>
      </c>
      <c r="P630" t="s">
        <v>17</v>
      </c>
      <c r="Q630" t="s">
        <v>271</v>
      </c>
    </row>
    <row r="631" spans="2:17" x14ac:dyDescent="0.3">
      <c r="B631" t="s">
        <v>5</v>
      </c>
      <c r="C631" t="s">
        <v>387</v>
      </c>
      <c r="D631" s="22" t="str">
        <f t="shared" si="45"/>
        <v>2024-06-11</v>
      </c>
      <c r="E631" s="22" t="str">
        <f t="shared" si="46"/>
        <v>2024-06-11</v>
      </c>
      <c r="F631" s="22">
        <f t="shared" si="47"/>
        <v>0</v>
      </c>
      <c r="J631" t="str">
        <f t="shared" si="48"/>
        <v>Яковлев Артем ИгоревичВасильев Михаил Павлович</v>
      </c>
      <c r="K631" t="s">
        <v>8</v>
      </c>
      <c r="L631" t="s">
        <v>200</v>
      </c>
      <c r="M631" t="s">
        <v>353</v>
      </c>
      <c r="N631" t="str">
        <f t="shared" si="49"/>
        <v>Сидорова Елена ВасильевнаКузнецова Полина Романовна</v>
      </c>
      <c r="O631" t="s">
        <v>18</v>
      </c>
      <c r="P631" t="s">
        <v>17</v>
      </c>
      <c r="Q631" t="s">
        <v>271</v>
      </c>
    </row>
    <row r="632" spans="2:17" x14ac:dyDescent="0.3">
      <c r="B632" t="s">
        <v>5</v>
      </c>
      <c r="C632" t="s">
        <v>312</v>
      </c>
      <c r="D632" s="22" t="str">
        <f t="shared" si="45"/>
        <v>2024-03-04</v>
      </c>
      <c r="E632" s="22" t="str">
        <f t="shared" si="46"/>
        <v>2024-08-29</v>
      </c>
      <c r="F632" s="22">
        <f t="shared" si="47"/>
        <v>178</v>
      </c>
      <c r="J632" t="str">
        <f t="shared" si="48"/>
        <v>Петров Владимир КирилловичНовиков Дмитрий Станиславович</v>
      </c>
      <c r="K632" t="s">
        <v>50</v>
      </c>
      <c r="L632" t="s">
        <v>205</v>
      </c>
      <c r="M632" t="s">
        <v>353</v>
      </c>
      <c r="N632" t="str">
        <f t="shared" si="49"/>
        <v>Белов Алексей КонстантиновичПопова Юлия Дмитриевна</v>
      </c>
      <c r="O632" t="s">
        <v>21</v>
      </c>
      <c r="P632" t="s">
        <v>268</v>
      </c>
      <c r="Q632" t="s">
        <v>269</v>
      </c>
    </row>
    <row r="633" spans="2:17" x14ac:dyDescent="0.3">
      <c r="B633" t="s">
        <v>5</v>
      </c>
      <c r="C633" t="s">
        <v>147</v>
      </c>
      <c r="D633" s="22" t="str">
        <f t="shared" si="45"/>
        <v>2023-11-02</v>
      </c>
      <c r="E633" s="22" t="str">
        <f t="shared" si="46"/>
        <v>2023-11-02</v>
      </c>
      <c r="F633" s="22">
        <f t="shared" si="47"/>
        <v>0</v>
      </c>
      <c r="J633" t="str">
        <f t="shared" si="48"/>
        <v>Петров Владимир КирилловичНовикова Екатерина Михайловна</v>
      </c>
      <c r="K633" t="s">
        <v>50</v>
      </c>
      <c r="L633" t="s">
        <v>181</v>
      </c>
      <c r="M633" t="s">
        <v>354</v>
      </c>
      <c r="N633" t="str">
        <f t="shared" si="49"/>
        <v>Белов Алексей КонстантиновичПетров Илья Андреевич</v>
      </c>
      <c r="O633" t="s">
        <v>21</v>
      </c>
      <c r="P633" t="s">
        <v>70</v>
      </c>
      <c r="Q633" t="s">
        <v>269</v>
      </c>
    </row>
    <row r="634" spans="2:17" x14ac:dyDescent="0.3">
      <c r="B634" t="s">
        <v>5</v>
      </c>
      <c r="C634" t="s">
        <v>289</v>
      </c>
      <c r="D634" s="22" t="str">
        <f t="shared" si="45"/>
        <v>2024-04-15</v>
      </c>
      <c r="E634" s="22" t="str">
        <f t="shared" si="46"/>
        <v>2024-04-15</v>
      </c>
      <c r="F634" s="22">
        <f t="shared" si="47"/>
        <v>0</v>
      </c>
      <c r="J634" t="str">
        <f t="shared" si="48"/>
        <v>Орлов Павел ДенисовичФедоров Дмитрий Михайлович</v>
      </c>
      <c r="K634" t="s">
        <v>45</v>
      </c>
      <c r="L634" t="s">
        <v>100</v>
      </c>
      <c r="M634" t="s">
        <v>354</v>
      </c>
      <c r="N634" t="str">
        <f t="shared" si="49"/>
        <v>Семенова Ирина ВалерьевнаОрлов Матвей Алексеевич</v>
      </c>
      <c r="O634" t="s">
        <v>12</v>
      </c>
      <c r="P634" t="s">
        <v>116</v>
      </c>
      <c r="Q634" t="s">
        <v>269</v>
      </c>
    </row>
    <row r="635" spans="2:17" x14ac:dyDescent="0.3">
      <c r="B635" t="s">
        <v>5</v>
      </c>
      <c r="C635" t="s">
        <v>52</v>
      </c>
      <c r="D635" s="22" t="str">
        <f t="shared" si="45"/>
        <v>2024-02-12</v>
      </c>
      <c r="E635" s="22" t="str">
        <f t="shared" si="46"/>
        <v>2024-02-12</v>
      </c>
      <c r="F635" s="22">
        <f t="shared" si="47"/>
        <v>0</v>
      </c>
      <c r="J635" t="str">
        <f t="shared" si="48"/>
        <v>Громова Мария ИльиничнаПетрова Вероника Александровна</v>
      </c>
      <c r="K635" t="s">
        <v>14</v>
      </c>
      <c r="L635" t="s">
        <v>23</v>
      </c>
      <c r="M635" t="s">
        <v>354</v>
      </c>
      <c r="N635" t="str">
        <f t="shared" si="49"/>
        <v>Белов Алексей КонстантиновичЕгорова Ирина Павловна</v>
      </c>
      <c r="O635" t="s">
        <v>21</v>
      </c>
      <c r="P635" t="s">
        <v>63</v>
      </c>
      <c r="Q635" t="s">
        <v>269</v>
      </c>
    </row>
    <row r="636" spans="2:17" x14ac:dyDescent="0.3">
      <c r="B636" t="s">
        <v>5</v>
      </c>
      <c r="C636" t="s">
        <v>280</v>
      </c>
      <c r="D636" s="22" t="str">
        <f t="shared" si="45"/>
        <v>2024-01-19</v>
      </c>
      <c r="E636" s="22" t="str">
        <f t="shared" si="46"/>
        <v>2024-01-19</v>
      </c>
      <c r="F636" s="22">
        <f t="shared" si="47"/>
        <v>0</v>
      </c>
      <c r="J636" t="str">
        <f t="shared" si="48"/>
        <v>Громова Мария ИльиничнаИванов Александр Павлович</v>
      </c>
      <c r="K636" t="s">
        <v>14</v>
      </c>
      <c r="L636" t="s">
        <v>37</v>
      </c>
      <c r="M636" t="s">
        <v>354</v>
      </c>
      <c r="N636" t="str">
        <f t="shared" si="49"/>
        <v>Петров Владимир КирилловичНовиков Георгий Романович</v>
      </c>
      <c r="O636" t="s">
        <v>50</v>
      </c>
      <c r="P636" t="s">
        <v>270</v>
      </c>
      <c r="Q636" t="s">
        <v>269</v>
      </c>
    </row>
    <row r="637" spans="2:17" x14ac:dyDescent="0.3">
      <c r="B637" t="s">
        <v>5</v>
      </c>
      <c r="C637" t="s">
        <v>115</v>
      </c>
      <c r="D637" s="22" t="str">
        <f t="shared" si="45"/>
        <v>2023-10-02</v>
      </c>
      <c r="E637" s="22" t="str">
        <f t="shared" si="46"/>
        <v>2023-10-02</v>
      </c>
      <c r="F637" s="22">
        <f t="shared" si="47"/>
        <v>0</v>
      </c>
      <c r="J637" t="str">
        <f t="shared" si="48"/>
        <v>Фролов Сергей ВикторовичЛебедев Артем Кириллович</v>
      </c>
      <c r="K637" t="s">
        <v>40</v>
      </c>
      <c r="L637" t="s">
        <v>49</v>
      </c>
      <c r="M637" t="s">
        <v>355</v>
      </c>
      <c r="N637" t="str">
        <f t="shared" si="49"/>
        <v>Кузнецов Дмитрий ЛьвовичФедорова Ольга Викторовна</v>
      </c>
      <c r="O637" t="s">
        <v>10</v>
      </c>
      <c r="P637" t="s">
        <v>87</v>
      </c>
      <c r="Q637" t="s">
        <v>269</v>
      </c>
    </row>
    <row r="638" spans="2:17" x14ac:dyDescent="0.3">
      <c r="B638" t="s">
        <v>5</v>
      </c>
      <c r="C638" t="s">
        <v>80</v>
      </c>
      <c r="D638" s="22" t="str">
        <f t="shared" si="45"/>
        <v>2024-05-14</v>
      </c>
      <c r="E638" s="22" t="str">
        <f t="shared" si="46"/>
        <v>2024-05-14</v>
      </c>
      <c r="F638" s="22">
        <f t="shared" si="47"/>
        <v>0</v>
      </c>
      <c r="J638" t="str">
        <f t="shared" si="48"/>
        <v>Ткаченко Андрей ОлеговичВасильева Ирина Павловна</v>
      </c>
      <c r="K638" t="s">
        <v>5</v>
      </c>
      <c r="L638" t="s">
        <v>130</v>
      </c>
      <c r="M638" t="s">
        <v>355</v>
      </c>
      <c r="N638" t="str">
        <f t="shared" si="49"/>
        <v>Ткаченко Андрей ОлеговичСидорова Александра Александровна</v>
      </c>
      <c r="O638" t="s">
        <v>5</v>
      </c>
      <c r="P638" t="s">
        <v>135</v>
      </c>
      <c r="Q638" t="s">
        <v>267</v>
      </c>
    </row>
    <row r="639" spans="2:17" x14ac:dyDescent="0.3">
      <c r="B639" t="s">
        <v>5</v>
      </c>
      <c r="C639" t="s">
        <v>277</v>
      </c>
      <c r="D639" s="22" t="str">
        <f t="shared" si="45"/>
        <v>2024-08-19</v>
      </c>
      <c r="E639" s="22" t="str">
        <f t="shared" si="46"/>
        <v>2024-08-19</v>
      </c>
      <c r="F639" s="22">
        <f t="shared" si="47"/>
        <v>0</v>
      </c>
      <c r="J639" t="str">
        <f t="shared" si="48"/>
        <v>Ткаченко Андрей ОлеговичСидоров Александр Артемович</v>
      </c>
      <c r="K639" t="s">
        <v>5</v>
      </c>
      <c r="L639" t="s">
        <v>77</v>
      </c>
      <c r="M639" t="s">
        <v>356</v>
      </c>
      <c r="N639" t="str">
        <f t="shared" si="49"/>
        <v>Яковлев Артем ИгоревичПавлов Алексей Геннадьевич</v>
      </c>
      <c r="O639" t="s">
        <v>8</v>
      </c>
      <c r="P639" t="s">
        <v>191</v>
      </c>
      <c r="Q639" t="s">
        <v>267</v>
      </c>
    </row>
    <row r="640" spans="2:17" x14ac:dyDescent="0.3">
      <c r="B640" t="s">
        <v>5</v>
      </c>
      <c r="C640" t="s">
        <v>126</v>
      </c>
      <c r="D640" s="22" t="str">
        <f t="shared" si="45"/>
        <v>2023-10-25</v>
      </c>
      <c r="E640" s="22" t="str">
        <f t="shared" si="46"/>
        <v>2023-10-25</v>
      </c>
      <c r="F640" s="22">
        <f t="shared" si="47"/>
        <v>0</v>
      </c>
      <c r="J640" t="str">
        <f t="shared" si="48"/>
        <v>Иванова Анна СергеевнаНиколаев Артем Олегович</v>
      </c>
      <c r="K640" t="s">
        <v>28</v>
      </c>
      <c r="L640" t="s">
        <v>80</v>
      </c>
      <c r="M640" t="s">
        <v>357</v>
      </c>
      <c r="N640" t="str">
        <f t="shared" si="49"/>
        <v>Семенова Ирина ВалерьевнаФедорова Ксения Романовна</v>
      </c>
      <c r="O640" t="s">
        <v>12</v>
      </c>
      <c r="P640" t="s">
        <v>192</v>
      </c>
      <c r="Q640" t="s">
        <v>266</v>
      </c>
    </row>
    <row r="641" spans="2:17" x14ac:dyDescent="0.3">
      <c r="B641" t="s">
        <v>5</v>
      </c>
      <c r="C641" t="s">
        <v>36</v>
      </c>
      <c r="D641" s="22" t="str">
        <f t="shared" si="45"/>
        <v>2023-09-29</v>
      </c>
      <c r="E641" s="22" t="str">
        <f t="shared" si="46"/>
        <v>2023-09-29</v>
      </c>
      <c r="F641" s="22">
        <f t="shared" si="47"/>
        <v>0</v>
      </c>
      <c r="J641" t="str">
        <f t="shared" si="48"/>
        <v>Кузнецов Дмитрий ЛьвовичМорозов Сергей Олегович</v>
      </c>
      <c r="K641" t="s">
        <v>10</v>
      </c>
      <c r="L641" t="s">
        <v>46</v>
      </c>
      <c r="M641" t="s">
        <v>357</v>
      </c>
      <c r="N641" t="str">
        <f t="shared" si="49"/>
        <v>Сидорова Елена ВасильевнаВасильев Константин Алексеевич</v>
      </c>
      <c r="O641" t="s">
        <v>18</v>
      </c>
      <c r="P641" t="s">
        <v>263</v>
      </c>
      <c r="Q641" t="s">
        <v>266</v>
      </c>
    </row>
    <row r="642" spans="2:17" x14ac:dyDescent="0.3">
      <c r="B642" t="s">
        <v>5</v>
      </c>
      <c r="C642" t="s">
        <v>195</v>
      </c>
      <c r="D642" s="22" t="str">
        <f t="shared" si="45"/>
        <v>2023-11-13</v>
      </c>
      <c r="E642" s="22" t="str">
        <f t="shared" si="46"/>
        <v>2023-11-13</v>
      </c>
      <c r="F642" s="22">
        <f t="shared" si="47"/>
        <v>0</v>
      </c>
      <c r="J642" t="str">
        <f t="shared" si="48"/>
        <v>Громова Мария ИльиничнаЛебедева Полина Ивановна</v>
      </c>
      <c r="K642" t="s">
        <v>14</v>
      </c>
      <c r="L642" t="s">
        <v>19</v>
      </c>
      <c r="M642" t="s">
        <v>357</v>
      </c>
      <c r="N642" t="str">
        <f t="shared" si="49"/>
        <v>Новикова Ольга ПетровнаПетрова Валерия Павловна</v>
      </c>
      <c r="O642" t="s">
        <v>47</v>
      </c>
      <c r="P642" t="s">
        <v>32</v>
      </c>
      <c r="Q642" t="s">
        <v>266</v>
      </c>
    </row>
    <row r="643" spans="2:17" x14ac:dyDescent="0.3">
      <c r="B643" t="s">
        <v>5</v>
      </c>
      <c r="C643" t="s">
        <v>42</v>
      </c>
      <c r="D643" s="22" t="str">
        <f t="shared" ref="D643:D706" si="50">VLOOKUP(B643&amp;C643,J:M,4,0)</f>
        <v>2024-05-06</v>
      </c>
      <c r="E643" s="22" t="str">
        <f t="shared" ref="E643:E706" si="51">VLOOKUP(B643&amp;C643,N:Q,4,0)</f>
        <v>2024-05-06</v>
      </c>
      <c r="F643" s="22">
        <f t="shared" ref="F643:F706" si="52">E643-D643</f>
        <v>0</v>
      </c>
      <c r="J643" t="str">
        <f t="shared" ref="J643:J706" si="53">K643&amp;L643</f>
        <v>Петров Владимир КирилловичПетров Алексей Олегович</v>
      </c>
      <c r="K643" t="s">
        <v>50</v>
      </c>
      <c r="L643" t="s">
        <v>190</v>
      </c>
      <c r="M643" t="s">
        <v>357</v>
      </c>
      <c r="N643" t="str">
        <f t="shared" ref="N643:N706" si="54">O643&amp;P643</f>
        <v>Яковлев Артем ИгоревичКозлова Татьяна Михайловна</v>
      </c>
      <c r="O643" t="s">
        <v>8</v>
      </c>
      <c r="P643" t="s">
        <v>61</v>
      </c>
      <c r="Q643" t="s">
        <v>266</v>
      </c>
    </row>
    <row r="644" spans="2:17" x14ac:dyDescent="0.3">
      <c r="B644" t="s">
        <v>5</v>
      </c>
      <c r="C644" t="s">
        <v>69</v>
      </c>
      <c r="D644" s="22" t="str">
        <f t="shared" si="50"/>
        <v>2024-03-11</v>
      </c>
      <c r="E644" s="22" t="str">
        <f t="shared" si="51"/>
        <v>2024-03-11</v>
      </c>
      <c r="F644" s="22">
        <f t="shared" si="52"/>
        <v>0</v>
      </c>
      <c r="J644" t="str">
        <f t="shared" si="53"/>
        <v>Фролов Сергей ВикторовичМорозова Полина Александровна</v>
      </c>
      <c r="K644" t="s">
        <v>40</v>
      </c>
      <c r="L644" t="s">
        <v>62</v>
      </c>
      <c r="M644" t="s">
        <v>357</v>
      </c>
      <c r="N644" t="str">
        <f t="shared" si="54"/>
        <v>Кузнецов Дмитрий ЛьвовичСеменов Матвей Александрович</v>
      </c>
      <c r="O644" t="s">
        <v>10</v>
      </c>
      <c r="P644" t="s">
        <v>58</v>
      </c>
      <c r="Q644" t="s">
        <v>266</v>
      </c>
    </row>
    <row r="645" spans="2:17" x14ac:dyDescent="0.3">
      <c r="B645" t="s">
        <v>5</v>
      </c>
      <c r="C645" t="s">
        <v>242</v>
      </c>
      <c r="D645" s="22" t="str">
        <f t="shared" si="50"/>
        <v>2023-12-19</v>
      </c>
      <c r="E645" s="22" t="str">
        <f t="shared" si="51"/>
        <v>2023-12-19</v>
      </c>
      <c r="F645" s="22">
        <f t="shared" si="52"/>
        <v>0</v>
      </c>
      <c r="J645" t="str">
        <f t="shared" si="53"/>
        <v>Новикова Ольга ПетровнаПавлов Георгий Александрович</v>
      </c>
      <c r="K645" t="s">
        <v>47</v>
      </c>
      <c r="L645" t="s">
        <v>273</v>
      </c>
      <c r="M645" t="s">
        <v>358</v>
      </c>
      <c r="N645" t="str">
        <f t="shared" si="54"/>
        <v>Сидорова Елена ВасильевнаЕгоров Максим Олегович</v>
      </c>
      <c r="O645" t="s">
        <v>18</v>
      </c>
      <c r="P645" t="s">
        <v>114</v>
      </c>
      <c r="Q645" t="s">
        <v>265</v>
      </c>
    </row>
    <row r="646" spans="2:17" x14ac:dyDescent="0.3">
      <c r="B646" t="s">
        <v>5</v>
      </c>
      <c r="C646" t="s">
        <v>116</v>
      </c>
      <c r="D646" s="22" t="str">
        <f t="shared" si="50"/>
        <v>2023-10-23</v>
      </c>
      <c r="E646" s="22" t="str">
        <f t="shared" si="51"/>
        <v>2024-01-29</v>
      </c>
      <c r="F646" s="22">
        <f t="shared" si="52"/>
        <v>98</v>
      </c>
      <c r="J646" t="str">
        <f t="shared" si="53"/>
        <v>Белов Алексей КонстантиновичАлексеева Елена Кирилловна</v>
      </c>
      <c r="K646" t="s">
        <v>21</v>
      </c>
      <c r="L646" t="s">
        <v>176</v>
      </c>
      <c r="M646" t="s">
        <v>358</v>
      </c>
      <c r="N646" t="str">
        <f t="shared" si="54"/>
        <v>Яковлев Артем ИгоревичВасильев Михаил Павлович</v>
      </c>
      <c r="O646" t="s">
        <v>8</v>
      </c>
      <c r="P646" t="s">
        <v>200</v>
      </c>
      <c r="Q646" t="s">
        <v>265</v>
      </c>
    </row>
    <row r="647" spans="2:17" x14ac:dyDescent="0.3">
      <c r="B647" t="s">
        <v>5</v>
      </c>
      <c r="C647" t="s">
        <v>273</v>
      </c>
      <c r="D647" s="22" t="str">
        <f t="shared" si="50"/>
        <v>2024-07-23</v>
      </c>
      <c r="E647" s="22" t="str">
        <f t="shared" si="51"/>
        <v>2024-07-23</v>
      </c>
      <c r="F647" s="22">
        <f t="shared" si="52"/>
        <v>0</v>
      </c>
      <c r="J647" t="str">
        <f t="shared" si="53"/>
        <v>Ткаченко Андрей ОлеговичПавлов Михаил Геннадьевич</v>
      </c>
      <c r="K647" t="s">
        <v>5</v>
      </c>
      <c r="L647" t="s">
        <v>154</v>
      </c>
      <c r="M647" t="s">
        <v>358</v>
      </c>
      <c r="N647" t="str">
        <f t="shared" si="54"/>
        <v>Орлов Павел ДенисовичМорозов Сергей Олегович</v>
      </c>
      <c r="O647" t="s">
        <v>45</v>
      </c>
      <c r="P647" t="s">
        <v>46</v>
      </c>
      <c r="Q647" t="s">
        <v>265</v>
      </c>
    </row>
    <row r="648" spans="2:17" x14ac:dyDescent="0.3">
      <c r="B648" t="s">
        <v>5</v>
      </c>
      <c r="C648" t="s">
        <v>94</v>
      </c>
      <c r="D648" s="22" t="str">
        <f t="shared" si="50"/>
        <v>2024-05-20</v>
      </c>
      <c r="E648" s="22" t="str">
        <f t="shared" si="51"/>
        <v>2024-05-20</v>
      </c>
      <c r="F648" s="22">
        <f t="shared" si="52"/>
        <v>0</v>
      </c>
      <c r="J648" t="str">
        <f t="shared" si="53"/>
        <v>Громова Мария ИльиничнаПавлов Георгий Андреевич</v>
      </c>
      <c r="K648" t="s">
        <v>14</v>
      </c>
      <c r="L648" t="s">
        <v>72</v>
      </c>
      <c r="M648" t="s">
        <v>359</v>
      </c>
      <c r="N648" t="str">
        <f t="shared" si="54"/>
        <v>Белов Алексей КонстантиновичКозлов Роман Александрович</v>
      </c>
      <c r="O648" t="s">
        <v>21</v>
      </c>
      <c r="P648" t="s">
        <v>74</v>
      </c>
      <c r="Q648" t="s">
        <v>265</v>
      </c>
    </row>
    <row r="649" spans="2:17" x14ac:dyDescent="0.3">
      <c r="B649" t="s">
        <v>5</v>
      </c>
      <c r="C649" t="s">
        <v>154</v>
      </c>
      <c r="D649" s="22" t="str">
        <f t="shared" si="50"/>
        <v>2023-12-04</v>
      </c>
      <c r="E649" s="22" t="str">
        <f t="shared" si="51"/>
        <v>2024-04-23</v>
      </c>
      <c r="F649" s="22">
        <f t="shared" si="52"/>
        <v>141</v>
      </c>
      <c r="J649" t="str">
        <f t="shared" si="53"/>
        <v>Белов Алексей КонстантиновичМорозов Кирилл Геннадьевич</v>
      </c>
      <c r="K649" t="s">
        <v>21</v>
      </c>
      <c r="L649" t="s">
        <v>360</v>
      </c>
      <c r="M649" t="s">
        <v>359</v>
      </c>
      <c r="N649" t="str">
        <f t="shared" si="54"/>
        <v>Новикова Ольга ПетровнаЕгоров Артем Никитич</v>
      </c>
      <c r="O649" t="s">
        <v>47</v>
      </c>
      <c r="P649" t="s">
        <v>25</v>
      </c>
      <c r="Q649" t="s">
        <v>265</v>
      </c>
    </row>
    <row r="650" spans="2:17" x14ac:dyDescent="0.3">
      <c r="B650" t="s">
        <v>5</v>
      </c>
      <c r="C650" t="s">
        <v>169</v>
      </c>
      <c r="D650" s="22" t="str">
        <f t="shared" si="50"/>
        <v>2023-10-31</v>
      </c>
      <c r="E650" s="22" t="str">
        <f t="shared" si="51"/>
        <v>2024-07-04</v>
      </c>
      <c r="F650" s="22">
        <f t="shared" si="52"/>
        <v>247</v>
      </c>
      <c r="J650" t="str">
        <f t="shared" si="53"/>
        <v>Иванова Анна СергеевнаЛебедев Иван Павлович</v>
      </c>
      <c r="K650" t="s">
        <v>28</v>
      </c>
      <c r="L650" t="s">
        <v>262</v>
      </c>
      <c r="M650" t="s">
        <v>359</v>
      </c>
      <c r="N650" t="str">
        <f t="shared" si="54"/>
        <v>Семенова Ирина ВалерьевнаВасильев Константин Алексеевич</v>
      </c>
      <c r="O650" t="s">
        <v>12</v>
      </c>
      <c r="P650" t="s">
        <v>263</v>
      </c>
      <c r="Q650" t="s">
        <v>264</v>
      </c>
    </row>
    <row r="651" spans="2:17" x14ac:dyDescent="0.3">
      <c r="B651" t="s">
        <v>5</v>
      </c>
      <c r="C651" t="s">
        <v>394</v>
      </c>
      <c r="D651" s="22" t="str">
        <f t="shared" si="50"/>
        <v>2024-07-25</v>
      </c>
      <c r="E651" s="22" t="str">
        <f t="shared" si="51"/>
        <v>2024-08-07</v>
      </c>
      <c r="F651" s="22">
        <f t="shared" si="52"/>
        <v>13</v>
      </c>
      <c r="J651" t="str">
        <f t="shared" si="53"/>
        <v>Иванова Анна СергеевнаСидоров Кирилл Кириллович</v>
      </c>
      <c r="K651" t="s">
        <v>28</v>
      </c>
      <c r="L651" t="s">
        <v>137</v>
      </c>
      <c r="M651" t="s">
        <v>361</v>
      </c>
      <c r="N651" t="str">
        <f t="shared" si="54"/>
        <v>Громова Мария ИльиничнаЕгоров Максим Олегович</v>
      </c>
      <c r="O651" t="s">
        <v>14</v>
      </c>
      <c r="P651" t="s">
        <v>114</v>
      </c>
      <c r="Q651" t="s">
        <v>264</v>
      </c>
    </row>
    <row r="652" spans="2:17" x14ac:dyDescent="0.3">
      <c r="B652" t="s">
        <v>5</v>
      </c>
      <c r="C652" t="s">
        <v>208</v>
      </c>
      <c r="D652" s="22" t="str">
        <f t="shared" si="50"/>
        <v>2023-11-20</v>
      </c>
      <c r="E652" s="22" t="str">
        <f t="shared" si="51"/>
        <v>2023-11-20</v>
      </c>
      <c r="F652" s="22">
        <f t="shared" si="52"/>
        <v>0</v>
      </c>
      <c r="J652" t="str">
        <f t="shared" si="53"/>
        <v>Фролов Сергей ВикторовичСидоров Александр Артемович</v>
      </c>
      <c r="K652" t="s">
        <v>40</v>
      </c>
      <c r="L652" t="s">
        <v>77</v>
      </c>
      <c r="M652" t="s">
        <v>361</v>
      </c>
      <c r="N652" t="str">
        <f t="shared" si="54"/>
        <v>Сидорова Елена ВасильевнаПетров Алексей Олегович</v>
      </c>
      <c r="O652" t="s">
        <v>18</v>
      </c>
      <c r="P652" t="s">
        <v>190</v>
      </c>
      <c r="Q652" t="s">
        <v>261</v>
      </c>
    </row>
    <row r="653" spans="2:17" x14ac:dyDescent="0.3">
      <c r="B653" t="s">
        <v>5</v>
      </c>
      <c r="C653" t="s">
        <v>190</v>
      </c>
      <c r="D653" s="22" t="str">
        <f t="shared" si="50"/>
        <v>2023-11-16</v>
      </c>
      <c r="E653" s="22" t="str">
        <f t="shared" si="51"/>
        <v>2023-11-16</v>
      </c>
      <c r="F653" s="22">
        <f t="shared" si="52"/>
        <v>0</v>
      </c>
      <c r="J653" t="str">
        <f t="shared" si="53"/>
        <v>Фролов Сергей ВикторовичНиколаева Полина Егоровна</v>
      </c>
      <c r="K653" t="s">
        <v>40</v>
      </c>
      <c r="L653" t="s">
        <v>193</v>
      </c>
      <c r="M653" t="s">
        <v>361</v>
      </c>
      <c r="N653" t="str">
        <f t="shared" si="54"/>
        <v>Громова Мария ИльиничнаЛебедев Иван Павлович</v>
      </c>
      <c r="O653" t="s">
        <v>14</v>
      </c>
      <c r="P653" t="s">
        <v>262</v>
      </c>
      <c r="Q653" t="s">
        <v>261</v>
      </c>
    </row>
    <row r="654" spans="2:17" x14ac:dyDescent="0.3">
      <c r="B654" t="s">
        <v>5</v>
      </c>
      <c r="C654" t="s">
        <v>149</v>
      </c>
      <c r="D654" s="22" t="str">
        <f t="shared" si="50"/>
        <v>2023-10-23</v>
      </c>
      <c r="E654" s="22" t="str">
        <f t="shared" si="51"/>
        <v>2023-10-23</v>
      </c>
      <c r="F654" s="22">
        <f t="shared" si="52"/>
        <v>0</v>
      </c>
      <c r="J654" t="str">
        <f t="shared" si="53"/>
        <v>Белов Алексей КонстантиновичСеменов Артур Михайлович</v>
      </c>
      <c r="K654" t="s">
        <v>21</v>
      </c>
      <c r="L654" t="s">
        <v>245</v>
      </c>
      <c r="M654" t="s">
        <v>362</v>
      </c>
      <c r="N654" t="str">
        <f t="shared" si="54"/>
        <v>Орлов Павел ДенисовичОрлов Матвей Алексеевич</v>
      </c>
      <c r="O654" t="s">
        <v>45</v>
      </c>
      <c r="P654" t="s">
        <v>116</v>
      </c>
      <c r="Q654" t="s">
        <v>260</v>
      </c>
    </row>
    <row r="655" spans="2:17" x14ac:dyDescent="0.3">
      <c r="B655" t="s">
        <v>5</v>
      </c>
      <c r="C655" t="s">
        <v>23</v>
      </c>
      <c r="D655" s="22" t="str">
        <f t="shared" si="50"/>
        <v>2023-10-09</v>
      </c>
      <c r="E655" s="22" t="str">
        <f t="shared" si="51"/>
        <v>2024-07-15</v>
      </c>
      <c r="F655" s="22">
        <f t="shared" si="52"/>
        <v>280</v>
      </c>
      <c r="J655" t="str">
        <f t="shared" si="53"/>
        <v>Иванова Анна СергеевнаПавлов Кирилл Артемович</v>
      </c>
      <c r="K655" t="s">
        <v>28</v>
      </c>
      <c r="L655" t="s">
        <v>94</v>
      </c>
      <c r="M655" t="s">
        <v>362</v>
      </c>
      <c r="N655" t="str">
        <f t="shared" si="54"/>
        <v>Громова Мария ИльиничнаСмирнов Дмитрий Никитич</v>
      </c>
      <c r="O655" t="s">
        <v>14</v>
      </c>
      <c r="P655" t="s">
        <v>165</v>
      </c>
      <c r="Q655" t="s">
        <v>259</v>
      </c>
    </row>
    <row r="656" spans="2:17" x14ac:dyDescent="0.3">
      <c r="B656" t="s">
        <v>5</v>
      </c>
      <c r="C656" t="s">
        <v>167</v>
      </c>
      <c r="D656" s="22" t="str">
        <f t="shared" si="50"/>
        <v>2023-10-30</v>
      </c>
      <c r="E656" s="22" t="str">
        <f t="shared" si="51"/>
        <v>2023-10-30</v>
      </c>
      <c r="F656" s="22">
        <f t="shared" si="52"/>
        <v>0</v>
      </c>
      <c r="J656" t="str">
        <f t="shared" si="53"/>
        <v>Белов Алексей КонстантиновичСидорова Елена Кирилловна</v>
      </c>
      <c r="K656" t="s">
        <v>21</v>
      </c>
      <c r="L656" t="s">
        <v>180</v>
      </c>
      <c r="M656" t="s">
        <v>363</v>
      </c>
      <c r="N656" t="str">
        <f t="shared" si="54"/>
        <v>Яковлев Артем ИгоревичСидоров Дмитрий Кириллович</v>
      </c>
      <c r="O656" t="s">
        <v>8</v>
      </c>
      <c r="P656" t="s">
        <v>166</v>
      </c>
      <c r="Q656" t="s">
        <v>259</v>
      </c>
    </row>
    <row r="657" spans="2:17" x14ac:dyDescent="0.3">
      <c r="B657" t="s">
        <v>5</v>
      </c>
      <c r="C657" t="s">
        <v>232</v>
      </c>
      <c r="D657" s="22" t="str">
        <f t="shared" si="50"/>
        <v>2023-12-27</v>
      </c>
      <c r="E657" s="22" t="str">
        <f t="shared" si="51"/>
        <v>2023-12-27</v>
      </c>
      <c r="F657" s="22">
        <f t="shared" si="52"/>
        <v>0</v>
      </c>
      <c r="J657" t="str">
        <f t="shared" si="53"/>
        <v>Громова Мария ИльиничнаОрлов Сергей Иванович</v>
      </c>
      <c r="K657" t="s">
        <v>14</v>
      </c>
      <c r="L657" t="s">
        <v>364</v>
      </c>
      <c r="M657" t="s">
        <v>363</v>
      </c>
      <c r="N657" t="str">
        <f t="shared" si="54"/>
        <v>Ткаченко Андрей ОлеговичЕгорова Наталья Дмитриевна</v>
      </c>
      <c r="O657" t="s">
        <v>5</v>
      </c>
      <c r="P657" t="s">
        <v>251</v>
      </c>
      <c r="Q657" t="s">
        <v>259</v>
      </c>
    </row>
    <row r="658" spans="2:17" x14ac:dyDescent="0.3">
      <c r="B658" t="s">
        <v>5</v>
      </c>
      <c r="C658" t="s">
        <v>9</v>
      </c>
      <c r="D658" s="22" t="str">
        <f t="shared" si="50"/>
        <v>2023-10-10</v>
      </c>
      <c r="E658" s="22" t="str">
        <f t="shared" si="51"/>
        <v>2023-11-16</v>
      </c>
      <c r="F658" s="22">
        <f t="shared" si="52"/>
        <v>37</v>
      </c>
      <c r="J658" t="str">
        <f t="shared" si="53"/>
        <v>Белов Алексей КонстантиновичФедорова Ксения Романовна</v>
      </c>
      <c r="K658" t="s">
        <v>21</v>
      </c>
      <c r="L658" t="s">
        <v>192</v>
      </c>
      <c r="M658" t="s">
        <v>363</v>
      </c>
      <c r="N658" t="str">
        <f t="shared" si="54"/>
        <v>Сидорова Елена ВасильевнаОрлов Илья Владимирович</v>
      </c>
      <c r="O658" t="s">
        <v>18</v>
      </c>
      <c r="P658" t="s">
        <v>242</v>
      </c>
      <c r="Q658" t="s">
        <v>259</v>
      </c>
    </row>
    <row r="659" spans="2:17" x14ac:dyDescent="0.3">
      <c r="B659" t="s">
        <v>5</v>
      </c>
      <c r="C659" t="s">
        <v>111</v>
      </c>
      <c r="D659" s="22" t="str">
        <f t="shared" si="50"/>
        <v>2024-02-05</v>
      </c>
      <c r="E659" s="22" t="str">
        <f t="shared" si="51"/>
        <v>2024-02-05</v>
      </c>
      <c r="F659" s="22">
        <f t="shared" si="52"/>
        <v>0</v>
      </c>
      <c r="J659" t="str">
        <f t="shared" si="53"/>
        <v>Петров Владимир КирилловичКузнецова Татьяна Егоровна</v>
      </c>
      <c r="K659" t="s">
        <v>50</v>
      </c>
      <c r="L659" t="s">
        <v>302</v>
      </c>
      <c r="M659" t="s">
        <v>363</v>
      </c>
      <c r="N659" t="str">
        <f t="shared" si="54"/>
        <v>Орлов Павел ДенисовичПопова Полина Алексеевна</v>
      </c>
      <c r="O659" t="s">
        <v>45</v>
      </c>
      <c r="P659" t="s">
        <v>256</v>
      </c>
      <c r="Q659" t="s">
        <v>257</v>
      </c>
    </row>
    <row r="660" spans="2:17" x14ac:dyDescent="0.3">
      <c r="B660" t="s">
        <v>5</v>
      </c>
      <c r="C660" t="s">
        <v>58</v>
      </c>
      <c r="D660" s="22" t="str">
        <f t="shared" si="50"/>
        <v>2024-05-06</v>
      </c>
      <c r="E660" s="22" t="str">
        <f t="shared" si="51"/>
        <v>2024-05-06</v>
      </c>
      <c r="F660" s="22">
        <f t="shared" si="52"/>
        <v>0</v>
      </c>
      <c r="J660" t="str">
        <f t="shared" si="53"/>
        <v>Ткаченко Андрей ОлеговичИванов Кирилл Владимирович</v>
      </c>
      <c r="K660" t="s">
        <v>5</v>
      </c>
      <c r="L660" t="s">
        <v>152</v>
      </c>
      <c r="M660" t="s">
        <v>363</v>
      </c>
      <c r="N660" t="str">
        <f t="shared" si="54"/>
        <v>Иванова Анна СергеевнаОрлова Валерия Юрьевна</v>
      </c>
      <c r="O660" t="s">
        <v>28</v>
      </c>
      <c r="P660" t="s">
        <v>258</v>
      </c>
      <c r="Q660" t="s">
        <v>257</v>
      </c>
    </row>
    <row r="661" spans="2:17" x14ac:dyDescent="0.3">
      <c r="B661" t="s">
        <v>5</v>
      </c>
      <c r="C661" t="s">
        <v>77</v>
      </c>
      <c r="D661" s="22" t="str">
        <f t="shared" si="50"/>
        <v>2023-09-18</v>
      </c>
      <c r="E661" s="22" t="str">
        <f t="shared" si="51"/>
        <v>2024-04-19</v>
      </c>
      <c r="F661" s="22">
        <f t="shared" si="52"/>
        <v>214</v>
      </c>
      <c r="J661" t="str">
        <f t="shared" si="53"/>
        <v>Семенова Ирина ВалерьевнаАлексеева Светлана Станиславовна</v>
      </c>
      <c r="K661" t="s">
        <v>12</v>
      </c>
      <c r="L661" t="s">
        <v>71</v>
      </c>
      <c r="M661" t="s">
        <v>363</v>
      </c>
      <c r="N661" t="str">
        <f t="shared" si="54"/>
        <v>Громова Мария ИльиничнаЕгорова Наталья Дмитриевна</v>
      </c>
      <c r="O661" t="s">
        <v>14</v>
      </c>
      <c r="P661" t="s">
        <v>251</v>
      </c>
      <c r="Q661" t="s">
        <v>257</v>
      </c>
    </row>
    <row r="662" spans="2:17" x14ac:dyDescent="0.3">
      <c r="B662" t="s">
        <v>5</v>
      </c>
      <c r="C662" t="s">
        <v>135</v>
      </c>
      <c r="D662" s="22" t="str">
        <f t="shared" si="50"/>
        <v>2024-01-10</v>
      </c>
      <c r="E662" s="22" t="str">
        <f t="shared" si="51"/>
        <v>2024-01-10</v>
      </c>
      <c r="F662" s="22">
        <f t="shared" si="52"/>
        <v>0</v>
      </c>
      <c r="J662" t="str">
        <f t="shared" si="53"/>
        <v>Иванова Анна СергеевнаКузнецова Татьяна Егоровна</v>
      </c>
      <c r="K662" t="s">
        <v>28</v>
      </c>
      <c r="L662" t="s">
        <v>302</v>
      </c>
      <c r="M662" t="s">
        <v>363</v>
      </c>
      <c r="N662" t="str">
        <f t="shared" si="54"/>
        <v>Сидорова Елена ВасильевнаНовикова Екатерина Ивановна</v>
      </c>
      <c r="O662" t="s">
        <v>18</v>
      </c>
      <c r="P662" t="s">
        <v>11</v>
      </c>
      <c r="Q662" t="s">
        <v>257</v>
      </c>
    </row>
    <row r="663" spans="2:17" x14ac:dyDescent="0.3">
      <c r="B663" t="s">
        <v>5</v>
      </c>
      <c r="C663" t="s">
        <v>65</v>
      </c>
      <c r="D663" s="22" t="str">
        <f t="shared" si="50"/>
        <v>2024-01-30</v>
      </c>
      <c r="E663" s="22" t="str">
        <f t="shared" si="51"/>
        <v>2024-01-30</v>
      </c>
      <c r="F663" s="22">
        <f t="shared" si="52"/>
        <v>0</v>
      </c>
      <c r="J663" t="str">
        <f t="shared" si="53"/>
        <v>Яковлев Артем ИгоревичФедоров Дмитрий Михайлович</v>
      </c>
      <c r="K663" t="s">
        <v>8</v>
      </c>
      <c r="L663" t="s">
        <v>100</v>
      </c>
      <c r="M663" t="s">
        <v>365</v>
      </c>
      <c r="N663" t="str">
        <f t="shared" si="54"/>
        <v>Ткаченко Андрей ОлеговичЛебедева Анна Викторовна</v>
      </c>
      <c r="O663" t="s">
        <v>5</v>
      </c>
      <c r="P663" t="s">
        <v>48</v>
      </c>
      <c r="Q663" t="s">
        <v>257</v>
      </c>
    </row>
    <row r="664" spans="2:17" x14ac:dyDescent="0.3">
      <c r="B664" t="s">
        <v>5</v>
      </c>
      <c r="C664" t="s">
        <v>318</v>
      </c>
      <c r="D664" s="22" t="str">
        <f t="shared" si="50"/>
        <v>2024-05-14</v>
      </c>
      <c r="E664" s="22" t="str">
        <f t="shared" si="51"/>
        <v>2024-05-14</v>
      </c>
      <c r="F664" s="22">
        <f t="shared" si="52"/>
        <v>0</v>
      </c>
      <c r="J664" t="str">
        <f t="shared" si="53"/>
        <v>Яковлев Артем ИгоревичЕгоров Никита Ильич</v>
      </c>
      <c r="K664" t="s">
        <v>8</v>
      </c>
      <c r="L664" t="s">
        <v>112</v>
      </c>
      <c r="M664" t="s">
        <v>365</v>
      </c>
      <c r="N664" t="str">
        <f t="shared" si="54"/>
        <v>Громова Мария ИльиничнаСеменов Артур Михайлович</v>
      </c>
      <c r="O664" t="s">
        <v>14</v>
      </c>
      <c r="P664" t="s">
        <v>245</v>
      </c>
      <c r="Q664" t="s">
        <v>255</v>
      </c>
    </row>
    <row r="665" spans="2:17" x14ac:dyDescent="0.3">
      <c r="B665" t="s">
        <v>5</v>
      </c>
      <c r="C665" t="s">
        <v>56</v>
      </c>
      <c r="D665" s="22" t="str">
        <f t="shared" si="50"/>
        <v>2024-08-29</v>
      </c>
      <c r="E665" s="22" t="str">
        <f t="shared" si="51"/>
        <v>2024-08-29</v>
      </c>
      <c r="F665" s="22">
        <f t="shared" si="52"/>
        <v>0</v>
      </c>
      <c r="J665" t="str">
        <f t="shared" si="53"/>
        <v>Белов Алексей КонстантиновичОрлов Матвей Алексеевич</v>
      </c>
      <c r="K665" t="s">
        <v>21</v>
      </c>
      <c r="L665" t="s">
        <v>116</v>
      </c>
      <c r="M665" t="s">
        <v>365</v>
      </c>
      <c r="N665" t="str">
        <f t="shared" si="54"/>
        <v>Новикова Ольга ПетровнаЕгоров Артур Владимирович</v>
      </c>
      <c r="O665" t="s">
        <v>47</v>
      </c>
      <c r="P665" t="s">
        <v>150</v>
      </c>
      <c r="Q665" t="s">
        <v>254</v>
      </c>
    </row>
    <row r="666" spans="2:17" x14ac:dyDescent="0.3">
      <c r="B666" t="s">
        <v>5</v>
      </c>
      <c r="C666" t="s">
        <v>117</v>
      </c>
      <c r="D666" s="22" t="str">
        <f t="shared" si="50"/>
        <v>2024-05-06</v>
      </c>
      <c r="E666" s="22" t="str">
        <f t="shared" si="51"/>
        <v>2024-05-06</v>
      </c>
      <c r="F666" s="22">
        <f t="shared" si="52"/>
        <v>0</v>
      </c>
      <c r="J666" t="str">
        <f t="shared" si="53"/>
        <v>Белов Алексей КонстантиновичСеменов Дмитрий Олегович</v>
      </c>
      <c r="K666" t="s">
        <v>21</v>
      </c>
      <c r="L666" t="s">
        <v>9</v>
      </c>
      <c r="M666" t="s">
        <v>366</v>
      </c>
      <c r="N666" t="str">
        <f t="shared" si="54"/>
        <v>Кузнецов Дмитрий ЛьвовичЕгоров Артем Никитич</v>
      </c>
      <c r="O666" t="s">
        <v>10</v>
      </c>
      <c r="P666" t="s">
        <v>25</v>
      </c>
      <c r="Q666" t="s">
        <v>254</v>
      </c>
    </row>
    <row r="667" spans="2:17" x14ac:dyDescent="0.3">
      <c r="B667" t="s">
        <v>5</v>
      </c>
      <c r="C667" t="s">
        <v>203</v>
      </c>
      <c r="D667" s="22" t="str">
        <f t="shared" si="50"/>
        <v>2023-11-17</v>
      </c>
      <c r="E667" s="22" t="str">
        <f t="shared" si="51"/>
        <v>2023-11-17</v>
      </c>
      <c r="F667" s="22">
        <f t="shared" si="52"/>
        <v>0</v>
      </c>
      <c r="J667" t="str">
        <f t="shared" si="53"/>
        <v>Кузнецов Дмитрий ЛьвовичСидоров Дмитрий Кириллович</v>
      </c>
      <c r="K667" t="s">
        <v>10</v>
      </c>
      <c r="L667" t="s">
        <v>166</v>
      </c>
      <c r="M667" t="s">
        <v>366</v>
      </c>
      <c r="N667" t="str">
        <f t="shared" si="54"/>
        <v>Кузнецов Дмитрий ЛьвовичПавлов Михаил Геннадьевич</v>
      </c>
      <c r="O667" t="s">
        <v>10</v>
      </c>
      <c r="P667" t="s">
        <v>154</v>
      </c>
      <c r="Q667" t="s">
        <v>254</v>
      </c>
    </row>
    <row r="668" spans="2:17" x14ac:dyDescent="0.3">
      <c r="B668" t="s">
        <v>5</v>
      </c>
      <c r="C668" t="s">
        <v>35</v>
      </c>
      <c r="D668" s="22" t="str">
        <f t="shared" si="50"/>
        <v>2023-09-07</v>
      </c>
      <c r="E668" s="22" t="str">
        <f t="shared" si="51"/>
        <v>2023-09-07</v>
      </c>
      <c r="F668" s="22">
        <f t="shared" si="52"/>
        <v>0</v>
      </c>
      <c r="J668" t="str">
        <f t="shared" si="53"/>
        <v>Яковлев Артем ИгоревичКузнецова Полина Романовна</v>
      </c>
      <c r="K668" t="s">
        <v>8</v>
      </c>
      <c r="L668" t="s">
        <v>17</v>
      </c>
      <c r="M668" t="s">
        <v>366</v>
      </c>
      <c r="N668" t="str">
        <f t="shared" si="54"/>
        <v>Орлов Павел ДенисовичСидорова Ксения Дмитриевна</v>
      </c>
      <c r="O668" t="s">
        <v>45</v>
      </c>
      <c r="P668" t="s">
        <v>99</v>
      </c>
      <c r="Q668" t="s">
        <v>254</v>
      </c>
    </row>
    <row r="669" spans="2:17" x14ac:dyDescent="0.3">
      <c r="B669" t="s">
        <v>5</v>
      </c>
      <c r="C669" t="s">
        <v>88</v>
      </c>
      <c r="D669" s="22" t="str">
        <f t="shared" si="50"/>
        <v>2024-07-15</v>
      </c>
      <c r="E669" s="22" t="str">
        <f t="shared" si="51"/>
        <v>2024-07-15</v>
      </c>
      <c r="F669" s="22">
        <f t="shared" si="52"/>
        <v>0</v>
      </c>
      <c r="J669" t="str">
        <f t="shared" si="53"/>
        <v>Новикова Ольга ПетровнаСидоров Александр Артемович</v>
      </c>
      <c r="K669" t="s">
        <v>47</v>
      </c>
      <c r="L669" t="s">
        <v>77</v>
      </c>
      <c r="M669" t="s">
        <v>366</v>
      </c>
      <c r="N669" t="str">
        <f t="shared" si="54"/>
        <v>Орлов Павел ДенисовичКозлов Илья Егорович</v>
      </c>
      <c r="O669" t="s">
        <v>45</v>
      </c>
      <c r="P669" t="s">
        <v>222</v>
      </c>
      <c r="Q669" t="s">
        <v>253</v>
      </c>
    </row>
    <row r="670" spans="2:17" x14ac:dyDescent="0.3">
      <c r="B670" t="s">
        <v>5</v>
      </c>
      <c r="C670" t="s">
        <v>34</v>
      </c>
      <c r="D670" s="22" t="str">
        <f t="shared" si="50"/>
        <v>2024-07-03</v>
      </c>
      <c r="E670" s="22" t="str">
        <f t="shared" si="51"/>
        <v>2024-07-03</v>
      </c>
      <c r="F670" s="22">
        <f t="shared" si="52"/>
        <v>0</v>
      </c>
      <c r="J670" t="str">
        <f t="shared" si="53"/>
        <v>Новикова Ольга ПетровнаЛебедев Илья Станиславович</v>
      </c>
      <c r="K670" t="s">
        <v>47</v>
      </c>
      <c r="L670" t="s">
        <v>51</v>
      </c>
      <c r="M670" t="s">
        <v>366</v>
      </c>
      <c r="N670" t="str">
        <f t="shared" si="54"/>
        <v>Белов Алексей КонстантиновичВасильев Матвей Геннадьевич</v>
      </c>
      <c r="O670" t="s">
        <v>21</v>
      </c>
      <c r="P670" t="s">
        <v>160</v>
      </c>
      <c r="Q670" t="s">
        <v>253</v>
      </c>
    </row>
    <row r="671" spans="2:17" x14ac:dyDescent="0.3">
      <c r="B671" t="s">
        <v>5</v>
      </c>
      <c r="C671" t="s">
        <v>76</v>
      </c>
      <c r="D671" s="22" t="str">
        <f t="shared" si="50"/>
        <v>2024-08-21</v>
      </c>
      <c r="E671" s="22" t="str">
        <f t="shared" si="51"/>
        <v>2024-08-21</v>
      </c>
      <c r="F671" s="22">
        <f t="shared" si="52"/>
        <v>0</v>
      </c>
      <c r="J671" t="str">
        <f t="shared" si="53"/>
        <v>Новикова Ольга ПетровнаНовиков Иван Андреевич</v>
      </c>
      <c r="K671" t="s">
        <v>47</v>
      </c>
      <c r="L671" t="s">
        <v>81</v>
      </c>
      <c r="M671" t="s">
        <v>367</v>
      </c>
      <c r="N671" t="str">
        <f t="shared" si="54"/>
        <v>Петров Владимир КирилловичПавлов Алексей Геннадьевич</v>
      </c>
      <c r="O671" t="s">
        <v>50</v>
      </c>
      <c r="P671" t="s">
        <v>191</v>
      </c>
      <c r="Q671" t="s">
        <v>253</v>
      </c>
    </row>
    <row r="672" spans="2:17" x14ac:dyDescent="0.3">
      <c r="B672" t="s">
        <v>5</v>
      </c>
      <c r="C672" t="s">
        <v>87</v>
      </c>
      <c r="D672" s="22" t="str">
        <f t="shared" si="50"/>
        <v>2024-05-15</v>
      </c>
      <c r="E672" s="22" t="str">
        <f t="shared" si="51"/>
        <v>2024-05-15</v>
      </c>
      <c r="F672" s="22">
        <f t="shared" si="52"/>
        <v>0</v>
      </c>
      <c r="J672" t="str">
        <f t="shared" si="53"/>
        <v>Сидорова Елена ВасильевнаЕгорова Алиса Егоровна</v>
      </c>
      <c r="K672" t="s">
        <v>18</v>
      </c>
      <c r="L672" t="s">
        <v>144</v>
      </c>
      <c r="M672" t="s">
        <v>367</v>
      </c>
      <c r="N672" t="str">
        <f t="shared" si="54"/>
        <v>Ткаченко Андрей ОлеговичСеменов Артем Дмитриевич</v>
      </c>
      <c r="O672" t="s">
        <v>5</v>
      </c>
      <c r="P672" t="s">
        <v>232</v>
      </c>
      <c r="Q672" t="s">
        <v>253</v>
      </c>
    </row>
    <row r="673" spans="2:17" x14ac:dyDescent="0.3">
      <c r="B673" t="s">
        <v>40</v>
      </c>
      <c r="C673" t="s">
        <v>71</v>
      </c>
      <c r="D673" s="22" t="str">
        <f t="shared" si="50"/>
        <v>2023-12-15</v>
      </c>
      <c r="E673" s="22" t="str">
        <f t="shared" si="51"/>
        <v>2023-12-15</v>
      </c>
      <c r="F673" s="22">
        <f t="shared" si="52"/>
        <v>0</v>
      </c>
      <c r="J673" t="str">
        <f t="shared" si="53"/>
        <v>Иванова Анна СергеевнаЛебедева Виктория Михайловна</v>
      </c>
      <c r="K673" t="s">
        <v>28</v>
      </c>
      <c r="L673" t="s">
        <v>131</v>
      </c>
      <c r="M673" t="s">
        <v>367</v>
      </c>
      <c r="N673" t="str">
        <f t="shared" si="54"/>
        <v>Новикова Ольга ПетровнаФедорова Людмила Кирилловна</v>
      </c>
      <c r="O673" t="s">
        <v>47</v>
      </c>
      <c r="P673" t="s">
        <v>199</v>
      </c>
      <c r="Q673" t="s">
        <v>249</v>
      </c>
    </row>
    <row r="674" spans="2:17" x14ac:dyDescent="0.3">
      <c r="B674" t="s">
        <v>40</v>
      </c>
      <c r="C674" t="s">
        <v>221</v>
      </c>
      <c r="D674" s="22" t="str">
        <f t="shared" si="50"/>
        <v>2024-02-06</v>
      </c>
      <c r="E674" s="22" t="str">
        <f t="shared" si="51"/>
        <v>2024-02-06</v>
      </c>
      <c r="F674" s="22">
        <f t="shared" si="52"/>
        <v>0</v>
      </c>
      <c r="J674" t="str">
        <f t="shared" si="53"/>
        <v>Сидорова Елена ВасильевнаПавлов Кирилл Артемович</v>
      </c>
      <c r="K674" t="s">
        <v>18</v>
      </c>
      <c r="L674" t="s">
        <v>94</v>
      </c>
      <c r="M674" t="s">
        <v>367</v>
      </c>
      <c r="N674" t="str">
        <f t="shared" si="54"/>
        <v>Белов Алексей КонстантиновичСтепанова Юлия Андреевна</v>
      </c>
      <c r="O674" t="s">
        <v>21</v>
      </c>
      <c r="P674" t="s">
        <v>217</v>
      </c>
      <c r="Q674" t="s">
        <v>249</v>
      </c>
    </row>
    <row r="675" spans="2:17" x14ac:dyDescent="0.3">
      <c r="B675" t="s">
        <v>40</v>
      </c>
      <c r="C675" t="s">
        <v>160</v>
      </c>
      <c r="D675" s="22" t="str">
        <f t="shared" si="50"/>
        <v>2023-10-27</v>
      </c>
      <c r="E675" s="22" t="str">
        <f t="shared" si="51"/>
        <v>2023-10-27</v>
      </c>
      <c r="F675" s="22">
        <f t="shared" si="52"/>
        <v>0</v>
      </c>
      <c r="J675" t="str">
        <f t="shared" si="53"/>
        <v>Кузнецов Дмитрий ЛьвовичСидоров Александр Артемович</v>
      </c>
      <c r="K675" t="s">
        <v>10</v>
      </c>
      <c r="L675" t="s">
        <v>77</v>
      </c>
      <c r="M675" t="s">
        <v>368</v>
      </c>
      <c r="N675" t="str">
        <f t="shared" si="54"/>
        <v>Кузнецов Дмитрий ЛьвовичЛебедев Артем Кириллович</v>
      </c>
      <c r="O675" t="s">
        <v>10</v>
      </c>
      <c r="P675" t="s">
        <v>49</v>
      </c>
      <c r="Q675" t="s">
        <v>249</v>
      </c>
    </row>
    <row r="676" spans="2:17" x14ac:dyDescent="0.3">
      <c r="B676" t="s">
        <v>40</v>
      </c>
      <c r="C676" t="s">
        <v>200</v>
      </c>
      <c r="D676" s="22" t="str">
        <f t="shared" si="50"/>
        <v>2024-03-15</v>
      </c>
      <c r="E676" s="22" t="str">
        <f t="shared" si="51"/>
        <v>2024-03-15</v>
      </c>
      <c r="F676" s="22">
        <f t="shared" si="52"/>
        <v>0</v>
      </c>
      <c r="J676" t="str">
        <f t="shared" si="53"/>
        <v>Громова Мария ИльиничнаЛебедев Артем Кириллович</v>
      </c>
      <c r="K676" t="s">
        <v>14</v>
      </c>
      <c r="L676" t="s">
        <v>49</v>
      </c>
      <c r="M676" t="s">
        <v>368</v>
      </c>
      <c r="N676" t="str">
        <f t="shared" si="54"/>
        <v>Новикова Ольга ПетровнаАлексеева Ольга Сергеевна</v>
      </c>
      <c r="O676" t="s">
        <v>47</v>
      </c>
      <c r="P676" t="s">
        <v>250</v>
      </c>
      <c r="Q676" t="s">
        <v>249</v>
      </c>
    </row>
    <row r="677" spans="2:17" x14ac:dyDescent="0.3">
      <c r="B677" t="s">
        <v>40</v>
      </c>
      <c r="C677" t="s">
        <v>89</v>
      </c>
      <c r="D677" s="22" t="str">
        <f t="shared" si="50"/>
        <v>2023-10-30</v>
      </c>
      <c r="E677" s="22" t="str">
        <f t="shared" si="51"/>
        <v>2023-10-30</v>
      </c>
      <c r="F677" s="22">
        <f t="shared" si="52"/>
        <v>0</v>
      </c>
      <c r="J677" t="str">
        <f t="shared" si="53"/>
        <v>Яковлев Артем ИгоревичСмирнов Андрей Алексеевич</v>
      </c>
      <c r="K677" t="s">
        <v>8</v>
      </c>
      <c r="L677" t="s">
        <v>318</v>
      </c>
      <c r="M677" t="s">
        <v>368</v>
      </c>
      <c r="N677" t="str">
        <f t="shared" si="54"/>
        <v>Семенова Ирина ВалерьевнаАлексеева Светлана Станиславовна</v>
      </c>
      <c r="O677" t="s">
        <v>12</v>
      </c>
      <c r="P677" t="s">
        <v>71</v>
      </c>
      <c r="Q677" t="s">
        <v>249</v>
      </c>
    </row>
    <row r="678" spans="2:17" x14ac:dyDescent="0.3">
      <c r="B678" t="s">
        <v>40</v>
      </c>
      <c r="C678" t="s">
        <v>173</v>
      </c>
      <c r="D678" s="22" t="str">
        <f t="shared" si="50"/>
        <v>2023-12-21</v>
      </c>
      <c r="E678" s="22" t="str">
        <f t="shared" si="51"/>
        <v>2023-12-21</v>
      </c>
      <c r="F678" s="22">
        <f t="shared" si="52"/>
        <v>0</v>
      </c>
      <c r="J678" t="str">
        <f t="shared" si="53"/>
        <v>Яковлев Артем ИгоревичКузнецов Иван Ильич</v>
      </c>
      <c r="K678" t="s">
        <v>8</v>
      </c>
      <c r="L678" t="s">
        <v>178</v>
      </c>
      <c r="M678" t="s">
        <v>368</v>
      </c>
      <c r="N678" t="str">
        <f t="shared" si="54"/>
        <v>Петров Владимир КирилловичЕгорова Наталья Дмитриевна</v>
      </c>
      <c r="O678" t="s">
        <v>50</v>
      </c>
      <c r="P678" t="s">
        <v>251</v>
      </c>
      <c r="Q678" t="s">
        <v>249</v>
      </c>
    </row>
    <row r="679" spans="2:17" x14ac:dyDescent="0.3">
      <c r="B679" t="s">
        <v>40</v>
      </c>
      <c r="C679" t="s">
        <v>140</v>
      </c>
      <c r="D679" s="22" t="str">
        <f t="shared" si="50"/>
        <v>2023-10-17</v>
      </c>
      <c r="E679" s="22" t="str">
        <f t="shared" si="51"/>
        <v>2023-10-17</v>
      </c>
      <c r="F679" s="22">
        <f t="shared" si="52"/>
        <v>0</v>
      </c>
      <c r="J679" t="str">
        <f t="shared" si="53"/>
        <v>Ткаченко Андрей ОлеговичСеменов Матвей Александрович</v>
      </c>
      <c r="K679" t="s">
        <v>5</v>
      </c>
      <c r="L679" t="s">
        <v>58</v>
      </c>
      <c r="M679" t="s">
        <v>368</v>
      </c>
      <c r="N679" t="str">
        <f t="shared" si="54"/>
        <v>Иванова Анна СергеевнаСидорова Елена Кирилловна</v>
      </c>
      <c r="O679" t="s">
        <v>28</v>
      </c>
      <c r="P679" t="s">
        <v>180</v>
      </c>
      <c r="Q679" t="s">
        <v>249</v>
      </c>
    </row>
    <row r="680" spans="2:17" x14ac:dyDescent="0.3">
      <c r="B680" t="s">
        <v>40</v>
      </c>
      <c r="C680" t="s">
        <v>103</v>
      </c>
      <c r="D680" s="22" t="str">
        <f t="shared" si="50"/>
        <v>2023-09-28</v>
      </c>
      <c r="E680" s="22" t="str">
        <f t="shared" si="51"/>
        <v>2024-02-19</v>
      </c>
      <c r="F680" s="22">
        <f t="shared" si="52"/>
        <v>144</v>
      </c>
      <c r="J680" t="str">
        <f t="shared" si="53"/>
        <v>Ткаченко Андрей ОлеговичНовикова Людмила Кирилловна</v>
      </c>
      <c r="K680" t="s">
        <v>5</v>
      </c>
      <c r="L680" t="s">
        <v>42</v>
      </c>
      <c r="M680" t="s">
        <v>368</v>
      </c>
      <c r="N680" t="str">
        <f t="shared" si="54"/>
        <v>Белов Алексей КонстантиновичСеменов Максим Геннадьевич</v>
      </c>
      <c r="O680" t="s">
        <v>21</v>
      </c>
      <c r="P680" t="s">
        <v>111</v>
      </c>
      <c r="Q680" t="s">
        <v>249</v>
      </c>
    </row>
    <row r="681" spans="2:17" x14ac:dyDescent="0.3">
      <c r="B681" t="s">
        <v>40</v>
      </c>
      <c r="C681" t="s">
        <v>25</v>
      </c>
      <c r="D681" s="22" t="str">
        <f t="shared" si="50"/>
        <v>2024-02-08</v>
      </c>
      <c r="E681" s="22" t="str">
        <f t="shared" si="51"/>
        <v>2024-07-22</v>
      </c>
      <c r="F681" s="22">
        <f t="shared" si="52"/>
        <v>165</v>
      </c>
      <c r="J681" t="str">
        <f t="shared" si="53"/>
        <v>Иванова Анна СергеевнаКозлова София Станиславовна</v>
      </c>
      <c r="K681" t="s">
        <v>28</v>
      </c>
      <c r="L681" t="s">
        <v>54</v>
      </c>
      <c r="M681" t="s">
        <v>368</v>
      </c>
      <c r="N681" t="str">
        <f t="shared" si="54"/>
        <v>Семенова Ирина ВалерьевнаНовиков Иван Андреевич</v>
      </c>
      <c r="O681" t="s">
        <v>12</v>
      </c>
      <c r="P681" t="s">
        <v>81</v>
      </c>
      <c r="Q681" t="s">
        <v>249</v>
      </c>
    </row>
    <row r="682" spans="2:17" x14ac:dyDescent="0.3">
      <c r="B682" t="s">
        <v>40</v>
      </c>
      <c r="C682" t="s">
        <v>112</v>
      </c>
      <c r="D682" s="22" t="str">
        <f t="shared" si="50"/>
        <v>2024-02-15</v>
      </c>
      <c r="E682" s="22" t="str">
        <f t="shared" si="51"/>
        <v>2024-02-15</v>
      </c>
      <c r="F682" s="22">
        <f t="shared" si="52"/>
        <v>0</v>
      </c>
      <c r="J682" t="str">
        <f t="shared" si="53"/>
        <v>Петров Владимир КирилловичЛебедев Дмитрий Викторович</v>
      </c>
      <c r="K682" t="s">
        <v>50</v>
      </c>
      <c r="L682" t="s">
        <v>85</v>
      </c>
      <c r="M682" t="s">
        <v>368</v>
      </c>
      <c r="N682" t="str">
        <f t="shared" si="54"/>
        <v>Белов Алексей КонстантиновичКузнецов Георгий Кириллович</v>
      </c>
      <c r="O682" t="s">
        <v>21</v>
      </c>
      <c r="P682" t="s">
        <v>252</v>
      </c>
      <c r="Q682" t="s">
        <v>249</v>
      </c>
    </row>
    <row r="683" spans="2:17" x14ac:dyDescent="0.3">
      <c r="B683" t="s">
        <v>40</v>
      </c>
      <c r="C683" t="s">
        <v>63</v>
      </c>
      <c r="D683" s="22" t="str">
        <f t="shared" si="50"/>
        <v>2023-11-24</v>
      </c>
      <c r="E683" s="22" t="str">
        <f t="shared" si="51"/>
        <v>2023-11-24</v>
      </c>
      <c r="F683" s="22">
        <f t="shared" si="52"/>
        <v>0</v>
      </c>
      <c r="J683" t="str">
        <f t="shared" si="53"/>
        <v>Ткаченко Андрей ОлеговичСмирнова Алиса Сергеевна</v>
      </c>
      <c r="K683" t="s">
        <v>5</v>
      </c>
      <c r="L683" t="s">
        <v>117</v>
      </c>
      <c r="M683" t="s">
        <v>368</v>
      </c>
      <c r="N683" t="str">
        <f t="shared" si="54"/>
        <v>Орлов Павел ДенисовичПетров Илья Андреевич</v>
      </c>
      <c r="O683" t="s">
        <v>45</v>
      </c>
      <c r="P683" t="s">
        <v>70</v>
      </c>
      <c r="Q683" t="s">
        <v>249</v>
      </c>
    </row>
    <row r="684" spans="2:17" x14ac:dyDescent="0.3">
      <c r="B684" t="s">
        <v>40</v>
      </c>
      <c r="C684" t="s">
        <v>251</v>
      </c>
      <c r="D684" s="22" t="str">
        <f t="shared" si="50"/>
        <v>2024-06-25</v>
      </c>
      <c r="E684" s="22" t="str">
        <f t="shared" si="51"/>
        <v>2024-06-25</v>
      </c>
      <c r="F684" s="22">
        <f t="shared" si="52"/>
        <v>0</v>
      </c>
      <c r="J684" t="str">
        <f t="shared" si="53"/>
        <v>Громова Мария ИльиничнаКозлова София Станиславовна</v>
      </c>
      <c r="K684" t="s">
        <v>14</v>
      </c>
      <c r="L684" t="s">
        <v>54</v>
      </c>
      <c r="M684" t="s">
        <v>368</v>
      </c>
      <c r="N684" t="str">
        <f t="shared" si="54"/>
        <v>Яковлев Артем ИгоревичПопова Алиса Ильинична</v>
      </c>
      <c r="O684" t="s">
        <v>8</v>
      </c>
      <c r="P684" t="s">
        <v>90</v>
      </c>
      <c r="Q684" t="s">
        <v>248</v>
      </c>
    </row>
    <row r="685" spans="2:17" x14ac:dyDescent="0.3">
      <c r="B685" t="s">
        <v>40</v>
      </c>
      <c r="C685" t="s">
        <v>37</v>
      </c>
      <c r="D685" s="22" t="str">
        <f t="shared" si="50"/>
        <v>2024-02-08</v>
      </c>
      <c r="E685" s="22" t="str">
        <f t="shared" si="51"/>
        <v>2024-02-08</v>
      </c>
      <c r="F685" s="22">
        <f t="shared" si="52"/>
        <v>0</v>
      </c>
      <c r="J685" t="str">
        <f t="shared" si="53"/>
        <v>Ткаченко Андрей ОлеговичИванов Дмитрий Павлович</v>
      </c>
      <c r="K685" t="s">
        <v>5</v>
      </c>
      <c r="L685" t="s">
        <v>124</v>
      </c>
      <c r="M685" t="s">
        <v>368</v>
      </c>
      <c r="N685" t="str">
        <f t="shared" si="54"/>
        <v>Петров Владимир КирилловичФедорова Ольга Викторовна</v>
      </c>
      <c r="O685" t="s">
        <v>50</v>
      </c>
      <c r="P685" t="s">
        <v>87</v>
      </c>
      <c r="Q685" t="s">
        <v>248</v>
      </c>
    </row>
    <row r="686" spans="2:17" x14ac:dyDescent="0.3">
      <c r="B686" t="s">
        <v>40</v>
      </c>
      <c r="C686" t="s">
        <v>124</v>
      </c>
      <c r="D686" s="22" t="str">
        <f t="shared" si="50"/>
        <v>2024-03-28</v>
      </c>
      <c r="E686" s="22" t="str">
        <f t="shared" si="51"/>
        <v>2024-08-12</v>
      </c>
      <c r="F686" s="22">
        <f t="shared" si="52"/>
        <v>137</v>
      </c>
      <c r="J686" t="str">
        <f t="shared" si="53"/>
        <v>Белов Алексей КонстантиновичСмирнова Юлия Олеговна</v>
      </c>
      <c r="K686" t="s">
        <v>21</v>
      </c>
      <c r="L686" t="s">
        <v>163</v>
      </c>
      <c r="M686" t="s">
        <v>368</v>
      </c>
      <c r="N686" t="str">
        <f t="shared" si="54"/>
        <v>Новикова Ольга ПетровнаСеменов Артур Михайлович</v>
      </c>
      <c r="O686" t="s">
        <v>47</v>
      </c>
      <c r="P686" t="s">
        <v>245</v>
      </c>
      <c r="Q686" t="s">
        <v>246</v>
      </c>
    </row>
    <row r="687" spans="2:17" x14ac:dyDescent="0.3">
      <c r="B687" t="s">
        <v>40</v>
      </c>
      <c r="C687" t="s">
        <v>152</v>
      </c>
      <c r="D687" s="22" t="str">
        <f t="shared" si="50"/>
        <v>2024-07-08</v>
      </c>
      <c r="E687" s="22" t="str">
        <f t="shared" si="51"/>
        <v>2024-07-08</v>
      </c>
      <c r="F687" s="22">
        <f t="shared" si="52"/>
        <v>0</v>
      </c>
      <c r="J687" t="str">
        <f t="shared" si="53"/>
        <v>Иванова Анна СергеевнаВасильев Матвей Геннадьевич</v>
      </c>
      <c r="K687" t="s">
        <v>28</v>
      </c>
      <c r="L687" t="s">
        <v>160</v>
      </c>
      <c r="M687" t="s">
        <v>368</v>
      </c>
      <c r="N687" t="str">
        <f t="shared" si="54"/>
        <v>Фролов Сергей ВикторовичВасильев Павел Егорович</v>
      </c>
      <c r="O687" t="s">
        <v>40</v>
      </c>
      <c r="P687" t="s">
        <v>173</v>
      </c>
      <c r="Q687" t="s">
        <v>246</v>
      </c>
    </row>
    <row r="688" spans="2:17" x14ac:dyDescent="0.3">
      <c r="B688" t="s">
        <v>40</v>
      </c>
      <c r="C688" t="s">
        <v>61</v>
      </c>
      <c r="D688" s="22" t="str">
        <f t="shared" si="50"/>
        <v>2023-09-12</v>
      </c>
      <c r="E688" s="22" t="str">
        <f t="shared" si="51"/>
        <v>2023-09-12</v>
      </c>
      <c r="F688" s="22">
        <f t="shared" si="52"/>
        <v>0</v>
      </c>
      <c r="J688" t="str">
        <f t="shared" si="53"/>
        <v>Белов Алексей КонстантиновичПопова Алиса Ильинична</v>
      </c>
      <c r="K688" t="s">
        <v>21</v>
      </c>
      <c r="L688" t="s">
        <v>90</v>
      </c>
      <c r="M688" t="s">
        <v>369</v>
      </c>
      <c r="N688" t="str">
        <f t="shared" si="54"/>
        <v>Кузнецов Дмитрий ЛьвовичНовикова Мария Викторовна</v>
      </c>
      <c r="O688" t="s">
        <v>10</v>
      </c>
      <c r="P688" t="s">
        <v>247</v>
      </c>
      <c r="Q688" t="s">
        <v>246</v>
      </c>
    </row>
    <row r="689" spans="2:17" x14ac:dyDescent="0.3">
      <c r="B689" t="s">
        <v>40</v>
      </c>
      <c r="C689" t="s">
        <v>178</v>
      </c>
      <c r="D689" s="22" t="str">
        <f t="shared" si="50"/>
        <v>2023-11-06</v>
      </c>
      <c r="E689" s="22" t="str">
        <f t="shared" si="51"/>
        <v>2023-11-06</v>
      </c>
      <c r="F689" s="22">
        <f t="shared" si="52"/>
        <v>0</v>
      </c>
      <c r="J689" t="str">
        <f t="shared" si="53"/>
        <v>Семенова Ирина ВалерьевнаПетров Алексей Олегович</v>
      </c>
      <c r="K689" t="s">
        <v>12</v>
      </c>
      <c r="L689" t="s">
        <v>190</v>
      </c>
      <c r="M689" t="s">
        <v>369</v>
      </c>
      <c r="N689" t="str">
        <f t="shared" si="54"/>
        <v>Ткаченко Андрей ОлеговичВасильев Матвей Андреевич</v>
      </c>
      <c r="O689" t="s">
        <v>5</v>
      </c>
      <c r="P689" t="s">
        <v>95</v>
      </c>
      <c r="Q689" t="s">
        <v>243</v>
      </c>
    </row>
    <row r="690" spans="2:17" x14ac:dyDescent="0.3">
      <c r="B690" t="s">
        <v>40</v>
      </c>
      <c r="C690" t="s">
        <v>43</v>
      </c>
      <c r="D690" s="22" t="str">
        <f t="shared" si="50"/>
        <v>2023-09-11</v>
      </c>
      <c r="E690" s="22" t="str">
        <f t="shared" si="51"/>
        <v>2023-09-11</v>
      </c>
      <c r="F690" s="22">
        <f t="shared" si="52"/>
        <v>0</v>
      </c>
      <c r="J690" t="str">
        <f t="shared" si="53"/>
        <v>Семенова Ирина ВалерьевнаНовиков Георгий Романович</v>
      </c>
      <c r="K690" t="s">
        <v>12</v>
      </c>
      <c r="L690" t="s">
        <v>270</v>
      </c>
      <c r="M690" t="s">
        <v>369</v>
      </c>
      <c r="N690" t="str">
        <f t="shared" si="54"/>
        <v>Семенова Ирина ВалерьевнаКузнецов Илья Артемович</v>
      </c>
      <c r="O690" t="s">
        <v>12</v>
      </c>
      <c r="P690" t="s">
        <v>185</v>
      </c>
      <c r="Q690" t="s">
        <v>243</v>
      </c>
    </row>
    <row r="691" spans="2:17" x14ac:dyDescent="0.3">
      <c r="B691" t="s">
        <v>40</v>
      </c>
      <c r="C691" t="s">
        <v>22</v>
      </c>
      <c r="D691" s="22" t="str">
        <f t="shared" si="50"/>
        <v>2024-03-11</v>
      </c>
      <c r="E691" s="22" t="str">
        <f t="shared" si="51"/>
        <v>2024-05-27</v>
      </c>
      <c r="F691" s="22">
        <f t="shared" si="52"/>
        <v>77</v>
      </c>
      <c r="J691" t="str">
        <f t="shared" si="53"/>
        <v>Фролов Сергей ВикторовичНовиков Иван Андреевич</v>
      </c>
      <c r="K691" t="s">
        <v>40</v>
      </c>
      <c r="L691" t="s">
        <v>81</v>
      </c>
      <c r="M691" t="s">
        <v>369</v>
      </c>
      <c r="N691" t="str">
        <f t="shared" si="54"/>
        <v>Новикова Ольга ПетровнаФедоров Илья Владимирович</v>
      </c>
      <c r="O691" t="s">
        <v>47</v>
      </c>
      <c r="P691" t="s">
        <v>34</v>
      </c>
      <c r="Q691" t="s">
        <v>243</v>
      </c>
    </row>
    <row r="692" spans="2:17" x14ac:dyDescent="0.3">
      <c r="B692" t="s">
        <v>40</v>
      </c>
      <c r="C692" t="s">
        <v>49</v>
      </c>
      <c r="D692" s="22" t="str">
        <f t="shared" si="50"/>
        <v>2024-04-18</v>
      </c>
      <c r="E692" s="22" t="str">
        <f t="shared" si="51"/>
        <v>2024-04-18</v>
      </c>
      <c r="F692" s="22">
        <f t="shared" si="52"/>
        <v>0</v>
      </c>
      <c r="J692" t="str">
        <f t="shared" si="53"/>
        <v>Сидорова Елена ВасильевнаПопов Алексей Кириллович</v>
      </c>
      <c r="K692" t="s">
        <v>18</v>
      </c>
      <c r="L692" t="s">
        <v>92</v>
      </c>
      <c r="M692" t="s">
        <v>370</v>
      </c>
      <c r="N692" t="str">
        <f t="shared" si="54"/>
        <v>Яковлев Артем ИгоревичКузнецов Никита Андреевич</v>
      </c>
      <c r="O692" t="s">
        <v>8</v>
      </c>
      <c r="P692" t="s">
        <v>20</v>
      </c>
      <c r="Q692" t="s">
        <v>243</v>
      </c>
    </row>
    <row r="693" spans="2:17" x14ac:dyDescent="0.3">
      <c r="B693" t="s">
        <v>40</v>
      </c>
      <c r="C693" t="s">
        <v>262</v>
      </c>
      <c r="D693" s="22" t="str">
        <f t="shared" si="50"/>
        <v>2024-03-20</v>
      </c>
      <c r="E693" s="22" t="str">
        <f t="shared" si="51"/>
        <v>2024-03-20</v>
      </c>
      <c r="F693" s="22">
        <f t="shared" si="52"/>
        <v>0</v>
      </c>
      <c r="J693" t="str">
        <f t="shared" si="53"/>
        <v>Яковлев Артем ИгоревичПопова Алиса Ильинична</v>
      </c>
      <c r="K693" t="s">
        <v>8</v>
      </c>
      <c r="L693" t="s">
        <v>90</v>
      </c>
      <c r="M693" t="s">
        <v>370</v>
      </c>
      <c r="N693" t="str">
        <f t="shared" si="54"/>
        <v>Петров Владимир КирилловичКузнецов Георгий Алексеевич</v>
      </c>
      <c r="O693" t="s">
        <v>50</v>
      </c>
      <c r="P693" t="s">
        <v>244</v>
      </c>
      <c r="Q693" t="s">
        <v>243</v>
      </c>
    </row>
    <row r="694" spans="2:17" x14ac:dyDescent="0.3">
      <c r="B694" t="s">
        <v>40</v>
      </c>
      <c r="C694" t="s">
        <v>51</v>
      </c>
      <c r="D694" s="22" t="str">
        <f t="shared" si="50"/>
        <v>2024-03-19</v>
      </c>
      <c r="E694" s="22" t="str">
        <f t="shared" si="51"/>
        <v>2024-03-19</v>
      </c>
      <c r="F694" s="22">
        <f t="shared" si="52"/>
        <v>0</v>
      </c>
      <c r="J694" t="str">
        <f t="shared" si="53"/>
        <v>Кузнецов Дмитрий ЛьвовичАлексеева Светлана Станиславовна</v>
      </c>
      <c r="K694" t="s">
        <v>10</v>
      </c>
      <c r="L694" t="s">
        <v>71</v>
      </c>
      <c r="M694" t="s">
        <v>371</v>
      </c>
      <c r="N694" t="str">
        <f t="shared" si="54"/>
        <v>Яковлев Артем ИгоревичЛебедева Анна Викторовна</v>
      </c>
      <c r="O694" t="s">
        <v>8</v>
      </c>
      <c r="P694" t="s">
        <v>48</v>
      </c>
      <c r="Q694" t="s">
        <v>241</v>
      </c>
    </row>
    <row r="695" spans="2:17" x14ac:dyDescent="0.3">
      <c r="B695" t="s">
        <v>40</v>
      </c>
      <c r="C695" t="s">
        <v>323</v>
      </c>
      <c r="D695" s="22" t="str">
        <f t="shared" si="50"/>
        <v>2024-03-04</v>
      </c>
      <c r="E695" s="22" t="str">
        <f t="shared" si="51"/>
        <v>2024-03-04</v>
      </c>
      <c r="F695" s="22">
        <f t="shared" si="52"/>
        <v>0</v>
      </c>
      <c r="J695" t="str">
        <f t="shared" si="53"/>
        <v>Сидорова Елена ВасильевнаОрлова Ирина Ильинична</v>
      </c>
      <c r="K695" t="s">
        <v>18</v>
      </c>
      <c r="L695" t="s">
        <v>29</v>
      </c>
      <c r="M695" t="s">
        <v>371</v>
      </c>
      <c r="N695" t="str">
        <f t="shared" si="54"/>
        <v>Ткаченко Андрей ОлеговичОрлов Илья Владимирович</v>
      </c>
      <c r="O695" t="s">
        <v>5</v>
      </c>
      <c r="P695" t="s">
        <v>242</v>
      </c>
      <c r="Q695" t="s">
        <v>241</v>
      </c>
    </row>
    <row r="696" spans="2:17" x14ac:dyDescent="0.3">
      <c r="B696" t="s">
        <v>40</v>
      </c>
      <c r="C696" t="s">
        <v>123</v>
      </c>
      <c r="D696" s="22" t="str">
        <f t="shared" si="50"/>
        <v>2023-12-04</v>
      </c>
      <c r="E696" s="22" t="str">
        <f t="shared" si="51"/>
        <v>2023-12-04</v>
      </c>
      <c r="F696" s="22">
        <f t="shared" si="52"/>
        <v>0</v>
      </c>
      <c r="J696" t="str">
        <f t="shared" si="53"/>
        <v>Новикова Ольга ПетровнаЛебедев Владимир Сергеевич</v>
      </c>
      <c r="K696" t="s">
        <v>47</v>
      </c>
      <c r="L696" t="s">
        <v>55</v>
      </c>
      <c r="M696" t="s">
        <v>371</v>
      </c>
      <c r="N696" t="str">
        <f t="shared" si="54"/>
        <v>Сидорова Елена ВасильевнаМорозова Мария Дмитриевна</v>
      </c>
      <c r="O696" t="s">
        <v>18</v>
      </c>
      <c r="P696" t="s">
        <v>84</v>
      </c>
      <c r="Q696" t="s">
        <v>241</v>
      </c>
    </row>
    <row r="697" spans="2:17" x14ac:dyDescent="0.3">
      <c r="B697" t="s">
        <v>40</v>
      </c>
      <c r="C697" t="s">
        <v>75</v>
      </c>
      <c r="D697" s="22" t="str">
        <f t="shared" si="50"/>
        <v>2024-08-12</v>
      </c>
      <c r="E697" s="22" t="str">
        <f t="shared" si="51"/>
        <v>2024-08-12</v>
      </c>
      <c r="F697" s="22">
        <f t="shared" si="52"/>
        <v>0</v>
      </c>
      <c r="J697" t="str">
        <f t="shared" si="53"/>
        <v>Яковлев Артем ИгоревичОрлов Михаил Никитич</v>
      </c>
      <c r="K697" t="s">
        <v>8</v>
      </c>
      <c r="L697" t="s">
        <v>60</v>
      </c>
      <c r="M697" t="s">
        <v>372</v>
      </c>
      <c r="N697" t="str">
        <f t="shared" si="54"/>
        <v>Яковлев Артем ИгоревичНиколаев Роман Викторович</v>
      </c>
      <c r="O697" t="s">
        <v>8</v>
      </c>
      <c r="P697" t="s">
        <v>227</v>
      </c>
      <c r="Q697" t="s">
        <v>240</v>
      </c>
    </row>
    <row r="698" spans="2:17" x14ac:dyDescent="0.3">
      <c r="B698" t="s">
        <v>40</v>
      </c>
      <c r="C698" t="s">
        <v>312</v>
      </c>
      <c r="D698" s="22" t="str">
        <f t="shared" si="50"/>
        <v>2024-02-19</v>
      </c>
      <c r="E698" s="22" t="str">
        <f t="shared" si="51"/>
        <v>2024-02-19</v>
      </c>
      <c r="F698" s="22">
        <f t="shared" si="52"/>
        <v>0</v>
      </c>
      <c r="J698" t="str">
        <f t="shared" si="53"/>
        <v>Орлов Павел ДенисовичЛебедева Полина Ивановна</v>
      </c>
      <c r="K698" t="s">
        <v>45</v>
      </c>
      <c r="L698" t="s">
        <v>19</v>
      </c>
      <c r="M698" t="s">
        <v>373</v>
      </c>
      <c r="N698" t="str">
        <f t="shared" si="54"/>
        <v>Белов Алексей КонстантиновичМорозов Андрей Никитич</v>
      </c>
      <c r="O698" t="s">
        <v>21</v>
      </c>
      <c r="P698" t="s">
        <v>147</v>
      </c>
      <c r="Q698" t="s">
        <v>240</v>
      </c>
    </row>
    <row r="699" spans="2:17" x14ac:dyDescent="0.3">
      <c r="B699" t="s">
        <v>40</v>
      </c>
      <c r="C699" t="s">
        <v>147</v>
      </c>
      <c r="D699" s="22" t="str">
        <f t="shared" si="50"/>
        <v>2024-01-15</v>
      </c>
      <c r="E699" s="22" t="str">
        <f t="shared" si="51"/>
        <v>2024-01-15</v>
      </c>
      <c r="F699" s="22">
        <f t="shared" si="52"/>
        <v>0</v>
      </c>
      <c r="J699" t="str">
        <f t="shared" si="53"/>
        <v>Громова Мария ИльиничнаКузнецов Сергей Кириллович</v>
      </c>
      <c r="K699" t="s">
        <v>14</v>
      </c>
      <c r="L699" t="s">
        <v>225</v>
      </c>
      <c r="M699" t="s">
        <v>373</v>
      </c>
      <c r="N699" t="str">
        <f t="shared" si="54"/>
        <v>Кузнецов Дмитрий ЛьвовичПопов Иван Михайлович</v>
      </c>
      <c r="O699" t="s">
        <v>10</v>
      </c>
      <c r="P699" t="s">
        <v>109</v>
      </c>
      <c r="Q699" t="s">
        <v>240</v>
      </c>
    </row>
    <row r="700" spans="2:17" x14ac:dyDescent="0.3">
      <c r="B700" t="s">
        <v>40</v>
      </c>
      <c r="C700" t="s">
        <v>52</v>
      </c>
      <c r="D700" s="22" t="str">
        <f t="shared" si="50"/>
        <v>2023-09-11</v>
      </c>
      <c r="E700" s="22" t="str">
        <f t="shared" si="51"/>
        <v>2023-09-11</v>
      </c>
      <c r="F700" s="22">
        <f t="shared" si="52"/>
        <v>0</v>
      </c>
      <c r="J700" t="str">
        <f t="shared" si="53"/>
        <v>Кузнецов Дмитрий ЛьвовичИванов Константин Никитич</v>
      </c>
      <c r="K700" t="s">
        <v>10</v>
      </c>
      <c r="L700" t="s">
        <v>284</v>
      </c>
      <c r="M700" t="s">
        <v>373</v>
      </c>
      <c r="N700" t="str">
        <f t="shared" si="54"/>
        <v>Яковлев Артем ИгоревичАлексеева Светлана Станиславовна</v>
      </c>
      <c r="O700" t="s">
        <v>8</v>
      </c>
      <c r="P700" t="s">
        <v>71</v>
      </c>
      <c r="Q700" t="s">
        <v>240</v>
      </c>
    </row>
    <row r="701" spans="2:17" x14ac:dyDescent="0.3">
      <c r="B701" t="s">
        <v>40</v>
      </c>
      <c r="C701" t="s">
        <v>146</v>
      </c>
      <c r="D701" s="22" t="str">
        <f t="shared" si="50"/>
        <v>2023-10-20</v>
      </c>
      <c r="E701" s="22" t="str">
        <f t="shared" si="51"/>
        <v>2023-11-06</v>
      </c>
      <c r="F701" s="22">
        <f t="shared" si="52"/>
        <v>17</v>
      </c>
      <c r="J701" t="str">
        <f t="shared" si="53"/>
        <v>Громова Мария ИльиничнаНовикова Екатерина Ивановна</v>
      </c>
      <c r="K701" t="s">
        <v>14</v>
      </c>
      <c r="L701" t="s">
        <v>11</v>
      </c>
      <c r="M701" t="s">
        <v>373</v>
      </c>
      <c r="N701" t="str">
        <f t="shared" si="54"/>
        <v>Яковлев Артем ИгоревичВасильев Константин Геннадьевич</v>
      </c>
      <c r="O701" t="s">
        <v>8</v>
      </c>
      <c r="P701" t="s">
        <v>221</v>
      </c>
      <c r="Q701" t="s">
        <v>240</v>
      </c>
    </row>
    <row r="702" spans="2:17" x14ac:dyDescent="0.3">
      <c r="B702" t="s">
        <v>40</v>
      </c>
      <c r="C702" t="s">
        <v>62</v>
      </c>
      <c r="D702" s="22" t="str">
        <f t="shared" si="50"/>
        <v>2024-04-22</v>
      </c>
      <c r="E702" s="22" t="str">
        <f t="shared" si="51"/>
        <v>2024-04-22</v>
      </c>
      <c r="F702" s="22">
        <f t="shared" si="52"/>
        <v>0</v>
      </c>
      <c r="J702" t="str">
        <f t="shared" si="53"/>
        <v>Сидорова Елена ВасильевнаФедорова Ксения Романовна</v>
      </c>
      <c r="K702" t="s">
        <v>18</v>
      </c>
      <c r="L702" t="s">
        <v>192</v>
      </c>
      <c r="M702" t="s">
        <v>373</v>
      </c>
      <c r="N702" t="str">
        <f t="shared" si="54"/>
        <v>Орлов Павел ДенисовичИванов Кирилл Владимирович</v>
      </c>
      <c r="O702" t="s">
        <v>45</v>
      </c>
      <c r="P702" t="s">
        <v>152</v>
      </c>
      <c r="Q702" t="s">
        <v>240</v>
      </c>
    </row>
    <row r="703" spans="2:17" x14ac:dyDescent="0.3">
      <c r="B703" t="s">
        <v>40</v>
      </c>
      <c r="C703" t="s">
        <v>115</v>
      </c>
      <c r="D703" s="22" t="str">
        <f t="shared" si="50"/>
        <v>2024-06-24</v>
      </c>
      <c r="E703" s="22" t="str">
        <f t="shared" si="51"/>
        <v>2024-06-24</v>
      </c>
      <c r="F703" s="22">
        <f t="shared" si="52"/>
        <v>0</v>
      </c>
      <c r="J703" t="str">
        <f t="shared" si="53"/>
        <v>Белов Алексей КонстантиновичВолкова Татьяна Кирилловна</v>
      </c>
      <c r="K703" t="s">
        <v>21</v>
      </c>
      <c r="L703" t="s">
        <v>53</v>
      </c>
      <c r="M703" t="s">
        <v>373</v>
      </c>
      <c r="N703" t="str">
        <f t="shared" si="54"/>
        <v>Фролов Сергей ВикторовичАлексеева Светлана Станиславовна</v>
      </c>
      <c r="O703" t="s">
        <v>40</v>
      </c>
      <c r="P703" t="s">
        <v>71</v>
      </c>
      <c r="Q703" t="s">
        <v>239</v>
      </c>
    </row>
    <row r="704" spans="2:17" x14ac:dyDescent="0.3">
      <c r="B704" t="s">
        <v>40</v>
      </c>
      <c r="C704" t="s">
        <v>193</v>
      </c>
      <c r="D704" s="22" t="str">
        <f t="shared" si="50"/>
        <v>2024-04-25</v>
      </c>
      <c r="E704" s="22" t="str">
        <f t="shared" si="51"/>
        <v>2024-04-25</v>
      </c>
      <c r="F704" s="22">
        <f t="shared" si="52"/>
        <v>0</v>
      </c>
      <c r="J704" t="str">
        <f t="shared" si="53"/>
        <v>Семенова Ирина ВалерьевнаКузнецов Иван Ильич</v>
      </c>
      <c r="K704" t="s">
        <v>12</v>
      </c>
      <c r="L704" t="s">
        <v>178</v>
      </c>
      <c r="M704" t="s">
        <v>373</v>
      </c>
      <c r="N704" t="str">
        <f t="shared" si="54"/>
        <v>Кузнецов Дмитрий ЛьвовичВасильев Матвей Геннадьевич</v>
      </c>
      <c r="O704" t="s">
        <v>10</v>
      </c>
      <c r="P704" t="s">
        <v>160</v>
      </c>
      <c r="Q704" t="s">
        <v>237</v>
      </c>
    </row>
    <row r="705" spans="2:17" x14ac:dyDescent="0.3">
      <c r="B705" t="s">
        <v>40</v>
      </c>
      <c r="C705" t="s">
        <v>315</v>
      </c>
      <c r="D705" s="22" t="str">
        <f t="shared" si="50"/>
        <v>2024-06-18</v>
      </c>
      <c r="E705" s="22" t="str">
        <f t="shared" si="51"/>
        <v>2024-06-18</v>
      </c>
      <c r="F705" s="22">
        <f t="shared" si="52"/>
        <v>0</v>
      </c>
      <c r="J705" t="str">
        <f t="shared" si="53"/>
        <v>Белов Алексей КонстантиновичСмирнова Алиса Сергеевна</v>
      </c>
      <c r="K705" t="s">
        <v>21</v>
      </c>
      <c r="L705" t="s">
        <v>117</v>
      </c>
      <c r="M705" t="s">
        <v>373</v>
      </c>
      <c r="N705" t="str">
        <f t="shared" si="54"/>
        <v>Яковлев Артем ИгоревичЕгоров Артур Егорович</v>
      </c>
      <c r="O705" t="s">
        <v>8</v>
      </c>
      <c r="P705" t="s">
        <v>238</v>
      </c>
      <c r="Q705" t="s">
        <v>237</v>
      </c>
    </row>
    <row r="706" spans="2:17" x14ac:dyDescent="0.3">
      <c r="B706" t="s">
        <v>40</v>
      </c>
      <c r="C706" t="s">
        <v>81</v>
      </c>
      <c r="D706" s="22" t="str">
        <f t="shared" si="50"/>
        <v>2023-09-19</v>
      </c>
      <c r="E706" s="22" t="str">
        <f t="shared" si="51"/>
        <v>2024-05-07</v>
      </c>
      <c r="F706" s="22">
        <f t="shared" si="52"/>
        <v>231</v>
      </c>
      <c r="J706" t="str">
        <f t="shared" si="53"/>
        <v>Иванова Анна СергеевнаКузнецов Михаил Артемович</v>
      </c>
      <c r="K706" t="s">
        <v>28</v>
      </c>
      <c r="L706" t="s">
        <v>67</v>
      </c>
      <c r="M706" t="s">
        <v>373</v>
      </c>
      <c r="N706" t="str">
        <f t="shared" si="54"/>
        <v>Яковлев Артем ИгоревичВасильева София Александровна</v>
      </c>
      <c r="O706" t="s">
        <v>8</v>
      </c>
      <c r="P706" t="s">
        <v>235</v>
      </c>
      <c r="Q706" t="s">
        <v>236</v>
      </c>
    </row>
    <row r="707" spans="2:17" x14ac:dyDescent="0.3">
      <c r="B707" t="s">
        <v>40</v>
      </c>
      <c r="C707" t="s">
        <v>36</v>
      </c>
      <c r="D707" s="22" t="str">
        <f t="shared" ref="D707:D770" si="55">VLOOKUP(B707&amp;C707,J:M,4,0)</f>
        <v>2024-08-12</v>
      </c>
      <c r="E707" s="22" t="str">
        <f t="shared" ref="E707:E770" si="56">VLOOKUP(B707&amp;C707,N:Q,4,0)</f>
        <v>2024-08-12</v>
      </c>
      <c r="F707" s="22">
        <f t="shared" ref="F707:F770" si="57">E707-D707</f>
        <v>0</v>
      </c>
      <c r="J707" t="str">
        <f t="shared" ref="J707:J770" si="58">K707&amp;L707</f>
        <v>Яковлев Артем ИгоревичЛебедева Виктория Дмитриевна</v>
      </c>
      <c r="K707" t="s">
        <v>8</v>
      </c>
      <c r="L707" t="s">
        <v>6</v>
      </c>
      <c r="M707" t="s">
        <v>373</v>
      </c>
      <c r="N707" t="str">
        <f t="shared" ref="N707:N770" si="59">O707&amp;P707</f>
        <v>Ткаченко Андрей ОлеговичКузнецов Иван Ильич</v>
      </c>
      <c r="O707" t="s">
        <v>5</v>
      </c>
      <c r="P707" t="s">
        <v>178</v>
      </c>
      <c r="Q707" t="s">
        <v>236</v>
      </c>
    </row>
    <row r="708" spans="2:17" x14ac:dyDescent="0.3">
      <c r="B708" t="s">
        <v>40</v>
      </c>
      <c r="C708" t="s">
        <v>402</v>
      </c>
      <c r="D708" s="22" t="str">
        <f t="shared" si="55"/>
        <v>2024-06-13</v>
      </c>
      <c r="E708" s="22" t="str">
        <f t="shared" si="56"/>
        <v>2024-06-13</v>
      </c>
      <c r="F708" s="22">
        <f t="shared" si="57"/>
        <v>0</v>
      </c>
      <c r="J708" t="str">
        <f t="shared" si="58"/>
        <v>Петров Владимир КирилловичКузнецова Ирина Владимировна</v>
      </c>
      <c r="K708" t="s">
        <v>50</v>
      </c>
      <c r="L708" t="s">
        <v>276</v>
      </c>
      <c r="M708" t="s">
        <v>373</v>
      </c>
      <c r="N708" t="str">
        <f t="shared" si="59"/>
        <v>Кузнецов Дмитрий ЛьвовичФедоров Илья Егорович</v>
      </c>
      <c r="O708" t="s">
        <v>10</v>
      </c>
      <c r="P708" t="s">
        <v>151</v>
      </c>
      <c r="Q708" t="s">
        <v>233</v>
      </c>
    </row>
    <row r="709" spans="2:17" x14ac:dyDescent="0.3">
      <c r="B709" t="s">
        <v>40</v>
      </c>
      <c r="C709" t="s">
        <v>247</v>
      </c>
      <c r="D709" s="22" t="str">
        <f t="shared" si="55"/>
        <v>2024-02-05</v>
      </c>
      <c r="E709" s="22" t="str">
        <f t="shared" si="56"/>
        <v>2024-02-05</v>
      </c>
      <c r="F709" s="22">
        <f t="shared" si="57"/>
        <v>0</v>
      </c>
      <c r="J709" t="str">
        <f t="shared" si="58"/>
        <v>Громова Мария ИльиничнаМорозова София Геннадьевна</v>
      </c>
      <c r="K709" t="s">
        <v>14</v>
      </c>
      <c r="L709" t="s">
        <v>115</v>
      </c>
      <c r="M709" t="s">
        <v>373</v>
      </c>
      <c r="N709" t="str">
        <f t="shared" si="59"/>
        <v>Кузнецов Дмитрий ЛьвовичНовиков Роман Романович</v>
      </c>
      <c r="O709" t="s">
        <v>10</v>
      </c>
      <c r="P709" t="s">
        <v>97</v>
      </c>
      <c r="Q709" t="s">
        <v>233</v>
      </c>
    </row>
    <row r="710" spans="2:17" x14ac:dyDescent="0.3">
      <c r="B710" t="s">
        <v>40</v>
      </c>
      <c r="C710" t="s">
        <v>69</v>
      </c>
      <c r="D710" s="22" t="str">
        <f t="shared" si="55"/>
        <v>2024-06-14</v>
      </c>
      <c r="E710" s="22" t="str">
        <f t="shared" si="56"/>
        <v>2024-06-14</v>
      </c>
      <c r="F710" s="22">
        <f t="shared" si="57"/>
        <v>0</v>
      </c>
      <c r="J710" t="str">
        <f t="shared" si="58"/>
        <v>Ткаченко Андрей ОлеговичНиколаев Артем Олегович</v>
      </c>
      <c r="K710" t="s">
        <v>5</v>
      </c>
      <c r="L710" t="s">
        <v>80</v>
      </c>
      <c r="M710" t="s">
        <v>374</v>
      </c>
      <c r="N710" t="str">
        <f t="shared" si="59"/>
        <v>Семенова Ирина ВалерьевнаПопов Егор Викторович</v>
      </c>
      <c r="O710" t="s">
        <v>12</v>
      </c>
      <c r="P710" t="s">
        <v>234</v>
      </c>
      <c r="Q710" t="s">
        <v>233</v>
      </c>
    </row>
    <row r="711" spans="2:17" x14ac:dyDescent="0.3">
      <c r="B711" t="s">
        <v>40</v>
      </c>
      <c r="C711" t="s">
        <v>30</v>
      </c>
      <c r="D711" s="22" t="str">
        <f t="shared" si="55"/>
        <v>2024-05-20</v>
      </c>
      <c r="E711" s="22" t="str">
        <f t="shared" si="56"/>
        <v>2024-05-20</v>
      </c>
      <c r="F711" s="22">
        <f t="shared" si="57"/>
        <v>0</v>
      </c>
      <c r="J711" t="str">
        <f t="shared" si="58"/>
        <v>Ткаченко Андрей ОлеговичСмирнов Андрей Алексеевич</v>
      </c>
      <c r="K711" t="s">
        <v>5</v>
      </c>
      <c r="L711" t="s">
        <v>318</v>
      </c>
      <c r="M711" t="s">
        <v>374</v>
      </c>
      <c r="N711" t="str">
        <f t="shared" si="59"/>
        <v>Кузнецов Дмитрий ЛьвовичАлексеева Светлана Станиславовна</v>
      </c>
      <c r="O711" t="s">
        <v>10</v>
      </c>
      <c r="P711" t="s">
        <v>71</v>
      </c>
      <c r="Q711" t="s">
        <v>230</v>
      </c>
    </row>
    <row r="712" spans="2:17" x14ac:dyDescent="0.3">
      <c r="B712" t="s">
        <v>40</v>
      </c>
      <c r="C712" t="s">
        <v>116</v>
      </c>
      <c r="D712" s="22" t="str">
        <f t="shared" si="55"/>
        <v>2023-10-30</v>
      </c>
      <c r="E712" s="22" t="str">
        <f t="shared" si="56"/>
        <v>2024-02-02</v>
      </c>
      <c r="F712" s="22">
        <f t="shared" si="57"/>
        <v>95</v>
      </c>
      <c r="J712" t="str">
        <f t="shared" si="58"/>
        <v>Кузнецов Дмитрий ЛьвовичЕгоров Никита Ильич</v>
      </c>
      <c r="K712" t="s">
        <v>10</v>
      </c>
      <c r="L712" t="s">
        <v>112</v>
      </c>
      <c r="M712" t="s">
        <v>374</v>
      </c>
      <c r="N712" t="str">
        <f t="shared" si="59"/>
        <v>Орлов Павел ДенисовичИванов Александр Павлович</v>
      </c>
      <c r="O712" t="s">
        <v>45</v>
      </c>
      <c r="P712" t="s">
        <v>37</v>
      </c>
      <c r="Q712" t="s">
        <v>230</v>
      </c>
    </row>
    <row r="713" spans="2:17" x14ac:dyDescent="0.3">
      <c r="B713" t="s">
        <v>40</v>
      </c>
      <c r="C713" t="s">
        <v>364</v>
      </c>
      <c r="D713" s="22" t="str">
        <f t="shared" si="55"/>
        <v>2024-07-12</v>
      </c>
      <c r="E713" s="22" t="str">
        <f t="shared" si="56"/>
        <v>2024-07-12</v>
      </c>
      <c r="F713" s="22">
        <f t="shared" si="57"/>
        <v>0</v>
      </c>
      <c r="J713" t="str">
        <f t="shared" si="58"/>
        <v>Новикова Ольга ПетровнаОрлов Матвей Алексеевич</v>
      </c>
      <c r="K713" t="s">
        <v>47</v>
      </c>
      <c r="L713" t="s">
        <v>116</v>
      </c>
      <c r="M713" t="s">
        <v>375</v>
      </c>
      <c r="N713" t="str">
        <f t="shared" si="59"/>
        <v>Иванова Анна СергеевнаПавлов Георгий Андреевич</v>
      </c>
      <c r="O713" t="s">
        <v>28</v>
      </c>
      <c r="P713" t="s">
        <v>72</v>
      </c>
      <c r="Q713" t="s">
        <v>230</v>
      </c>
    </row>
    <row r="714" spans="2:17" x14ac:dyDescent="0.3">
      <c r="B714" t="s">
        <v>40</v>
      </c>
      <c r="C714" t="s">
        <v>258</v>
      </c>
      <c r="D714" s="22" t="str">
        <f t="shared" si="55"/>
        <v>2024-08-13</v>
      </c>
      <c r="E714" s="22" t="str">
        <f t="shared" si="56"/>
        <v>2024-08-13</v>
      </c>
      <c r="F714" s="22">
        <f t="shared" si="57"/>
        <v>0</v>
      </c>
      <c r="J714" t="str">
        <f t="shared" si="58"/>
        <v>Ткаченко Андрей ОлеговичФедорова Ольга Викторовна</v>
      </c>
      <c r="K714" t="s">
        <v>5</v>
      </c>
      <c r="L714" t="s">
        <v>87</v>
      </c>
      <c r="M714" t="s">
        <v>375</v>
      </c>
      <c r="N714" t="str">
        <f t="shared" si="59"/>
        <v>Громова Мария ИльиничнаСмирнов Михаил Никитич</v>
      </c>
      <c r="O714" t="s">
        <v>14</v>
      </c>
      <c r="P714" t="s">
        <v>231</v>
      </c>
      <c r="Q714" t="s">
        <v>230</v>
      </c>
    </row>
    <row r="715" spans="2:17" x14ac:dyDescent="0.3">
      <c r="B715" t="s">
        <v>40</v>
      </c>
      <c r="C715" t="s">
        <v>171</v>
      </c>
      <c r="D715" s="22" t="str">
        <f t="shared" si="55"/>
        <v>2024-06-03</v>
      </c>
      <c r="E715" s="22" t="str">
        <f t="shared" si="56"/>
        <v>2024-06-03</v>
      </c>
      <c r="F715" s="22">
        <f t="shared" si="57"/>
        <v>0</v>
      </c>
      <c r="J715" t="str">
        <f t="shared" si="58"/>
        <v>Белов Алексей КонстантиновичПетров Алексей Сергеевич</v>
      </c>
      <c r="K715" t="s">
        <v>21</v>
      </c>
      <c r="L715" t="s">
        <v>66</v>
      </c>
      <c r="M715" t="s">
        <v>376</v>
      </c>
      <c r="N715" t="str">
        <f t="shared" si="59"/>
        <v>Семенова Ирина ВалерьевнаПавлов Алексей Геннадьевич</v>
      </c>
      <c r="O715" t="s">
        <v>12</v>
      </c>
      <c r="P715" t="s">
        <v>191</v>
      </c>
      <c r="Q715" t="s">
        <v>230</v>
      </c>
    </row>
    <row r="716" spans="2:17" x14ac:dyDescent="0.3">
      <c r="B716" t="s">
        <v>40</v>
      </c>
      <c r="C716" t="s">
        <v>191</v>
      </c>
      <c r="D716" s="22" t="str">
        <f t="shared" si="55"/>
        <v>2024-03-26</v>
      </c>
      <c r="E716" s="22" t="str">
        <f t="shared" si="56"/>
        <v>2024-03-26</v>
      </c>
      <c r="F716" s="22">
        <f t="shared" si="57"/>
        <v>0</v>
      </c>
      <c r="J716" t="str">
        <f t="shared" si="58"/>
        <v>Кузнецов Дмитрий ЛьвовичФедоров Роман Дмитриевич</v>
      </c>
      <c r="K716" t="s">
        <v>10</v>
      </c>
      <c r="L716" t="s">
        <v>41</v>
      </c>
      <c r="M716" t="s">
        <v>376</v>
      </c>
      <c r="N716" t="str">
        <f t="shared" si="59"/>
        <v>Яковлев Артем ИгоревичМорозова Мария Дмитриевна</v>
      </c>
      <c r="O716" t="s">
        <v>8</v>
      </c>
      <c r="P716" t="s">
        <v>84</v>
      </c>
      <c r="Q716" t="s">
        <v>230</v>
      </c>
    </row>
    <row r="717" spans="2:17" x14ac:dyDescent="0.3">
      <c r="B717" t="s">
        <v>40</v>
      </c>
      <c r="C717" t="s">
        <v>72</v>
      </c>
      <c r="D717" s="22" t="str">
        <f t="shared" si="55"/>
        <v>2023-11-06</v>
      </c>
      <c r="E717" s="22" t="str">
        <f t="shared" si="56"/>
        <v>2023-11-06</v>
      </c>
      <c r="F717" s="22">
        <f t="shared" si="57"/>
        <v>0</v>
      </c>
      <c r="J717" t="str">
        <f t="shared" si="58"/>
        <v>Белов Алексей КонстантиновичЕгорова Наталья Дмитриевна</v>
      </c>
      <c r="K717" t="s">
        <v>21</v>
      </c>
      <c r="L717" t="s">
        <v>251</v>
      </c>
      <c r="M717" t="s">
        <v>377</v>
      </c>
      <c r="N717" t="str">
        <f t="shared" si="59"/>
        <v>Новикова Ольга ПетровнаНовиков Иван Андреевич</v>
      </c>
      <c r="O717" t="s">
        <v>47</v>
      </c>
      <c r="P717" t="s">
        <v>81</v>
      </c>
      <c r="Q717" t="s">
        <v>230</v>
      </c>
    </row>
    <row r="718" spans="2:17" x14ac:dyDescent="0.3">
      <c r="B718" t="s">
        <v>40</v>
      </c>
      <c r="C718" t="s">
        <v>324</v>
      </c>
      <c r="D718" s="22" t="str">
        <f t="shared" si="55"/>
        <v>2024-04-08</v>
      </c>
      <c r="E718" s="22" t="str">
        <f t="shared" si="56"/>
        <v>2024-06-03</v>
      </c>
      <c r="F718" s="22">
        <f t="shared" si="57"/>
        <v>56</v>
      </c>
      <c r="J718" t="str">
        <f t="shared" si="58"/>
        <v>Петров Владимир КирилловичЕгоров Артур Владимирович</v>
      </c>
      <c r="K718" t="s">
        <v>50</v>
      </c>
      <c r="L718" t="s">
        <v>150</v>
      </c>
      <c r="M718" t="s">
        <v>377</v>
      </c>
      <c r="N718" t="str">
        <f t="shared" si="59"/>
        <v>Яковлев Артем ИгоревичСеменов Артем Дмитриевич</v>
      </c>
      <c r="O718" t="s">
        <v>8</v>
      </c>
      <c r="P718" t="s">
        <v>232</v>
      </c>
      <c r="Q718" t="s">
        <v>230</v>
      </c>
    </row>
    <row r="719" spans="2:17" x14ac:dyDescent="0.3">
      <c r="B719" t="s">
        <v>40</v>
      </c>
      <c r="C719" t="s">
        <v>94</v>
      </c>
      <c r="D719" s="22" t="str">
        <f t="shared" si="55"/>
        <v>2023-10-13</v>
      </c>
      <c r="E719" s="22" t="str">
        <f t="shared" si="56"/>
        <v>2023-10-13</v>
      </c>
      <c r="F719" s="22">
        <f t="shared" si="57"/>
        <v>0</v>
      </c>
      <c r="J719" t="str">
        <f t="shared" si="58"/>
        <v>Орлов Павел ДенисовичНовикова Екатерина Ивановна</v>
      </c>
      <c r="K719" t="s">
        <v>45</v>
      </c>
      <c r="L719" t="s">
        <v>11</v>
      </c>
      <c r="M719" t="s">
        <v>377</v>
      </c>
      <c r="N719" t="str">
        <f t="shared" si="59"/>
        <v>Петров Владимир КирилловичМорозов Павел Ильич</v>
      </c>
      <c r="O719" t="s">
        <v>50</v>
      </c>
      <c r="P719" t="s">
        <v>146</v>
      </c>
      <c r="Q719" t="s">
        <v>230</v>
      </c>
    </row>
    <row r="720" spans="2:17" x14ac:dyDescent="0.3">
      <c r="B720" t="s">
        <v>40</v>
      </c>
      <c r="C720" t="s">
        <v>154</v>
      </c>
      <c r="D720" s="22" t="str">
        <f t="shared" si="55"/>
        <v>2023-10-24</v>
      </c>
      <c r="E720" s="22" t="str">
        <f t="shared" si="56"/>
        <v>2023-10-24</v>
      </c>
      <c r="F720" s="22">
        <f t="shared" si="57"/>
        <v>0</v>
      </c>
      <c r="J720" t="str">
        <f t="shared" si="58"/>
        <v>Белов Алексей КонстантиновичИванов Илья Артемович</v>
      </c>
      <c r="K720" t="s">
        <v>21</v>
      </c>
      <c r="L720" t="s">
        <v>83</v>
      </c>
      <c r="M720" t="s">
        <v>378</v>
      </c>
      <c r="N720" t="str">
        <f t="shared" si="59"/>
        <v>Громова Мария ИльиничнаМорозова Светлана Артемовна</v>
      </c>
      <c r="O720" t="s">
        <v>14</v>
      </c>
      <c r="P720" t="s">
        <v>107</v>
      </c>
      <c r="Q720" t="s">
        <v>229</v>
      </c>
    </row>
    <row r="721" spans="2:17" x14ac:dyDescent="0.3">
      <c r="B721" t="s">
        <v>40</v>
      </c>
      <c r="C721" t="s">
        <v>141</v>
      </c>
      <c r="D721" s="22" t="str">
        <f t="shared" si="55"/>
        <v>2023-10-17</v>
      </c>
      <c r="E721" s="22" t="str">
        <f t="shared" si="56"/>
        <v>2024-01-15</v>
      </c>
      <c r="F721" s="22">
        <f t="shared" si="57"/>
        <v>90</v>
      </c>
      <c r="J721" t="str">
        <f t="shared" si="58"/>
        <v>Фролов Сергей ВикторовичОрлов Георгий Кириллович</v>
      </c>
      <c r="K721" t="s">
        <v>40</v>
      </c>
      <c r="L721" t="s">
        <v>30</v>
      </c>
      <c r="M721" t="s">
        <v>378</v>
      </c>
      <c r="N721" t="str">
        <f t="shared" si="59"/>
        <v>Громова Мария ИльиничнаНиколаев Роман Викторович</v>
      </c>
      <c r="O721" t="s">
        <v>14</v>
      </c>
      <c r="P721" t="s">
        <v>227</v>
      </c>
      <c r="Q721" t="s">
        <v>228</v>
      </c>
    </row>
    <row r="722" spans="2:17" x14ac:dyDescent="0.3">
      <c r="B722" t="s">
        <v>40</v>
      </c>
      <c r="C722" t="s">
        <v>190</v>
      </c>
      <c r="D722" s="22" t="str">
        <f t="shared" si="55"/>
        <v>2024-03-18</v>
      </c>
      <c r="E722" s="22" t="str">
        <f t="shared" si="56"/>
        <v>2024-03-18</v>
      </c>
      <c r="F722" s="22">
        <f t="shared" si="57"/>
        <v>0</v>
      </c>
      <c r="J722" t="str">
        <f t="shared" si="58"/>
        <v>Орлов Павел ДенисовичМорозов Максим Андреевич</v>
      </c>
      <c r="K722" t="s">
        <v>45</v>
      </c>
      <c r="L722" t="s">
        <v>52</v>
      </c>
      <c r="M722" t="s">
        <v>378</v>
      </c>
      <c r="N722" t="str">
        <f t="shared" si="59"/>
        <v>Громова Мария ИльиничнаМорозов Павел Ильич</v>
      </c>
      <c r="O722" t="s">
        <v>14</v>
      </c>
      <c r="P722" t="s">
        <v>146</v>
      </c>
      <c r="Q722" t="s">
        <v>228</v>
      </c>
    </row>
    <row r="723" spans="2:17" x14ac:dyDescent="0.3">
      <c r="B723" t="s">
        <v>40</v>
      </c>
      <c r="C723" t="s">
        <v>70</v>
      </c>
      <c r="D723" s="22" t="str">
        <f t="shared" si="55"/>
        <v>2023-11-16</v>
      </c>
      <c r="E723" s="22" t="str">
        <f t="shared" si="56"/>
        <v>2023-11-16</v>
      </c>
      <c r="F723" s="22">
        <f t="shared" si="57"/>
        <v>0</v>
      </c>
      <c r="J723" t="str">
        <f t="shared" si="58"/>
        <v>Ткаченко Андрей ОлеговичПавлов Кирилл Артемович</v>
      </c>
      <c r="K723" t="s">
        <v>5</v>
      </c>
      <c r="L723" t="s">
        <v>94</v>
      </c>
      <c r="M723" t="s">
        <v>378</v>
      </c>
      <c r="N723" t="str">
        <f t="shared" si="59"/>
        <v>Орлов Павел ДенисовичКозлова София Станиславовна</v>
      </c>
      <c r="O723" t="s">
        <v>45</v>
      </c>
      <c r="P723" t="s">
        <v>54</v>
      </c>
      <c r="Q723" t="s">
        <v>228</v>
      </c>
    </row>
    <row r="724" spans="2:17" x14ac:dyDescent="0.3">
      <c r="B724" t="s">
        <v>40</v>
      </c>
      <c r="C724" t="s">
        <v>78</v>
      </c>
      <c r="D724" s="22" t="str">
        <f t="shared" si="55"/>
        <v>2024-08-30</v>
      </c>
      <c r="E724" s="22" t="str">
        <f t="shared" si="56"/>
        <v>2024-08-30</v>
      </c>
      <c r="F724" s="22">
        <f t="shared" si="57"/>
        <v>0</v>
      </c>
      <c r="J724" t="str">
        <f t="shared" si="58"/>
        <v>Белов Алексей КонстантиновичМорозов Артем Александрович</v>
      </c>
      <c r="K724" t="s">
        <v>21</v>
      </c>
      <c r="L724" t="s">
        <v>289</v>
      </c>
      <c r="M724" t="s">
        <v>378</v>
      </c>
      <c r="N724" t="str">
        <f t="shared" si="59"/>
        <v>Орлов Павел ДенисовичНовикова Екатерина Михайловна</v>
      </c>
      <c r="O724" t="s">
        <v>45</v>
      </c>
      <c r="P724" t="s">
        <v>181</v>
      </c>
      <c r="Q724" t="s">
        <v>226</v>
      </c>
    </row>
    <row r="725" spans="2:17" x14ac:dyDescent="0.3">
      <c r="B725" t="s">
        <v>40</v>
      </c>
      <c r="C725" t="s">
        <v>32</v>
      </c>
      <c r="D725" s="22" t="str">
        <f t="shared" si="55"/>
        <v>2023-09-11</v>
      </c>
      <c r="E725" s="22" t="str">
        <f t="shared" si="56"/>
        <v>2023-09-11</v>
      </c>
      <c r="F725" s="22">
        <f t="shared" si="57"/>
        <v>0</v>
      </c>
      <c r="J725" t="str">
        <f t="shared" si="58"/>
        <v>Новикова Ольга ПетровнаКозлов Роман Александрович</v>
      </c>
      <c r="K725" t="s">
        <v>47</v>
      </c>
      <c r="L725" t="s">
        <v>74</v>
      </c>
      <c r="M725" t="s">
        <v>378</v>
      </c>
      <c r="N725" t="str">
        <f t="shared" si="59"/>
        <v>Орлов Павел ДенисовичНовиков Дмитрий Станиславович</v>
      </c>
      <c r="O725" t="s">
        <v>45</v>
      </c>
      <c r="P725" t="s">
        <v>205</v>
      </c>
      <c r="Q725" t="s">
        <v>226</v>
      </c>
    </row>
    <row r="726" spans="2:17" x14ac:dyDescent="0.3">
      <c r="B726" t="s">
        <v>40</v>
      </c>
      <c r="C726" t="s">
        <v>194</v>
      </c>
      <c r="D726" s="22" t="str">
        <f t="shared" si="55"/>
        <v>2024-07-15</v>
      </c>
      <c r="E726" s="22" t="str">
        <f t="shared" si="56"/>
        <v>2024-07-15</v>
      </c>
      <c r="F726" s="22">
        <f t="shared" si="57"/>
        <v>0</v>
      </c>
      <c r="J726" t="str">
        <f t="shared" si="58"/>
        <v>Орлов Павел ДенисовичВасильев Матвей Романович</v>
      </c>
      <c r="K726" t="s">
        <v>45</v>
      </c>
      <c r="L726" t="s">
        <v>24</v>
      </c>
      <c r="M726" t="s">
        <v>378</v>
      </c>
      <c r="N726" t="str">
        <f t="shared" si="59"/>
        <v>Орлов Павел ДенисовичВасильев Никита Павлович</v>
      </c>
      <c r="O726" t="s">
        <v>45</v>
      </c>
      <c r="P726" t="s">
        <v>89</v>
      </c>
      <c r="Q726" t="s">
        <v>224</v>
      </c>
    </row>
    <row r="727" spans="2:17" x14ac:dyDescent="0.3">
      <c r="B727" t="s">
        <v>40</v>
      </c>
      <c r="C727" t="s">
        <v>77</v>
      </c>
      <c r="D727" s="22" t="str">
        <f t="shared" si="55"/>
        <v>2024-04-25</v>
      </c>
      <c r="E727" s="22" t="str">
        <f t="shared" si="56"/>
        <v>2024-04-25</v>
      </c>
      <c r="F727" s="22">
        <f t="shared" si="57"/>
        <v>0</v>
      </c>
      <c r="J727" t="str">
        <f t="shared" si="58"/>
        <v>Кузнецов Дмитрий ЛьвовичСидорова Елена Кирилловна</v>
      </c>
      <c r="K727" t="s">
        <v>10</v>
      </c>
      <c r="L727" t="s">
        <v>180</v>
      </c>
      <c r="M727" t="s">
        <v>378</v>
      </c>
      <c r="N727" t="str">
        <f t="shared" si="59"/>
        <v>Петров Владимир КирилловичКузнецов Сергей Кириллович</v>
      </c>
      <c r="O727" t="s">
        <v>50</v>
      </c>
      <c r="P727" t="s">
        <v>225</v>
      </c>
      <c r="Q727" t="s">
        <v>224</v>
      </c>
    </row>
    <row r="728" spans="2:17" x14ac:dyDescent="0.3">
      <c r="B728" t="s">
        <v>40</v>
      </c>
      <c r="C728" t="s">
        <v>166</v>
      </c>
      <c r="D728" s="22" t="str">
        <f t="shared" si="55"/>
        <v>2024-07-01</v>
      </c>
      <c r="E728" s="22" t="str">
        <f t="shared" si="56"/>
        <v>2024-07-01</v>
      </c>
      <c r="F728" s="22">
        <f t="shared" si="57"/>
        <v>0</v>
      </c>
      <c r="J728" t="str">
        <f t="shared" si="58"/>
        <v>Кузнецов Дмитрий ЛьвовичМорозов Максим Андреевич</v>
      </c>
      <c r="K728" t="s">
        <v>10</v>
      </c>
      <c r="L728" t="s">
        <v>52</v>
      </c>
      <c r="M728" t="s">
        <v>378</v>
      </c>
      <c r="N728" t="str">
        <f t="shared" si="59"/>
        <v>Яковлев Артем ИгоревичКузнецов Иван Ильич</v>
      </c>
      <c r="O728" t="s">
        <v>8</v>
      </c>
      <c r="P728" t="s">
        <v>178</v>
      </c>
      <c r="Q728" t="s">
        <v>224</v>
      </c>
    </row>
    <row r="729" spans="2:17" x14ac:dyDescent="0.3">
      <c r="B729" t="s">
        <v>40</v>
      </c>
      <c r="C729" t="s">
        <v>137</v>
      </c>
      <c r="D729" s="22" t="str">
        <f t="shared" si="55"/>
        <v>2024-06-24</v>
      </c>
      <c r="E729" s="22" t="str">
        <f t="shared" si="56"/>
        <v>2024-06-24</v>
      </c>
      <c r="F729" s="22">
        <f t="shared" si="57"/>
        <v>0</v>
      </c>
      <c r="J729" t="str">
        <f t="shared" si="58"/>
        <v>Сидорова Елена ВасильевнаОрлова София Станиславовна</v>
      </c>
      <c r="K729" t="s">
        <v>18</v>
      </c>
      <c r="L729" t="s">
        <v>27</v>
      </c>
      <c r="M729" t="s">
        <v>379</v>
      </c>
      <c r="N729" t="str">
        <f t="shared" si="59"/>
        <v>Фролов Сергей ВикторовичЛебедев Матвей Кириллович</v>
      </c>
      <c r="O729" t="s">
        <v>40</v>
      </c>
      <c r="P729" t="s">
        <v>123</v>
      </c>
      <c r="Q729" t="s">
        <v>224</v>
      </c>
    </row>
    <row r="730" spans="2:17" x14ac:dyDescent="0.3">
      <c r="B730" t="s">
        <v>40</v>
      </c>
      <c r="C730" t="s">
        <v>180</v>
      </c>
      <c r="D730" s="22" t="str">
        <f t="shared" si="55"/>
        <v>2024-08-29</v>
      </c>
      <c r="E730" s="22" t="str">
        <f t="shared" si="56"/>
        <v>2024-08-29</v>
      </c>
      <c r="F730" s="22">
        <f t="shared" si="57"/>
        <v>0</v>
      </c>
      <c r="J730" t="str">
        <f t="shared" si="58"/>
        <v>Новикова Ольга ПетровнаКузнецова Людмила Егоровна</v>
      </c>
      <c r="K730" t="s">
        <v>47</v>
      </c>
      <c r="L730" t="s">
        <v>214</v>
      </c>
      <c r="M730" t="s">
        <v>379</v>
      </c>
      <c r="N730" t="str">
        <f t="shared" si="59"/>
        <v>Яковлев Артем ИгоревичВасильев Константин Геннадьевич</v>
      </c>
      <c r="O730" t="s">
        <v>8</v>
      </c>
      <c r="P730" t="s">
        <v>221</v>
      </c>
      <c r="Q730" t="s">
        <v>224</v>
      </c>
    </row>
    <row r="731" spans="2:17" x14ac:dyDescent="0.3">
      <c r="B731" t="s">
        <v>40</v>
      </c>
      <c r="C731" t="s">
        <v>99</v>
      </c>
      <c r="D731" s="22" t="str">
        <f t="shared" si="55"/>
        <v>2023-10-19</v>
      </c>
      <c r="E731" s="22" t="str">
        <f t="shared" si="56"/>
        <v>2024-02-28</v>
      </c>
      <c r="F731" s="22">
        <f t="shared" si="57"/>
        <v>132</v>
      </c>
      <c r="J731" t="str">
        <f t="shared" si="58"/>
        <v>Сидорова Елена ВасильевнаОрлов Александр Иванович</v>
      </c>
      <c r="K731" t="s">
        <v>18</v>
      </c>
      <c r="L731" t="s">
        <v>69</v>
      </c>
      <c r="M731" t="s">
        <v>379</v>
      </c>
      <c r="N731" t="str">
        <f t="shared" si="59"/>
        <v>Ткаченко Андрей ОлеговичПавлов Михаил Геннадьевич</v>
      </c>
      <c r="O731" t="s">
        <v>5</v>
      </c>
      <c r="P731" t="s">
        <v>154</v>
      </c>
      <c r="Q731" t="s">
        <v>224</v>
      </c>
    </row>
    <row r="732" spans="2:17" x14ac:dyDescent="0.3">
      <c r="B732" t="s">
        <v>40</v>
      </c>
      <c r="C732" t="s">
        <v>163</v>
      </c>
      <c r="D732" s="22" t="str">
        <f t="shared" si="55"/>
        <v>2024-07-08</v>
      </c>
      <c r="E732" s="22" t="str">
        <f t="shared" si="56"/>
        <v>2024-07-08</v>
      </c>
      <c r="F732" s="22">
        <f t="shared" si="57"/>
        <v>0</v>
      </c>
      <c r="J732" t="str">
        <f t="shared" si="58"/>
        <v>Сидорова Елена ВасильевнаПавлов Павел Юрьевич</v>
      </c>
      <c r="K732" t="s">
        <v>18</v>
      </c>
      <c r="L732" t="s">
        <v>380</v>
      </c>
      <c r="M732" t="s">
        <v>379</v>
      </c>
      <c r="N732" t="str">
        <f t="shared" si="59"/>
        <v>Иванова Анна СергеевнаФедоров Владимир Артемович</v>
      </c>
      <c r="O732" t="s">
        <v>28</v>
      </c>
      <c r="P732" t="s">
        <v>88</v>
      </c>
      <c r="Q732" t="s">
        <v>224</v>
      </c>
    </row>
    <row r="733" spans="2:17" x14ac:dyDescent="0.3">
      <c r="B733" t="s">
        <v>40</v>
      </c>
      <c r="C733" t="s">
        <v>311</v>
      </c>
      <c r="D733" s="22" t="str">
        <f t="shared" si="55"/>
        <v>2024-03-22</v>
      </c>
      <c r="E733" s="22" t="str">
        <f t="shared" si="56"/>
        <v>2024-03-22</v>
      </c>
      <c r="F733" s="22">
        <f t="shared" si="57"/>
        <v>0</v>
      </c>
      <c r="J733" t="str">
        <f t="shared" si="58"/>
        <v>Орлов Павел ДенисовичПавлов Илья Никитич</v>
      </c>
      <c r="K733" t="s">
        <v>45</v>
      </c>
      <c r="L733" t="s">
        <v>324</v>
      </c>
      <c r="M733" t="s">
        <v>379</v>
      </c>
      <c r="N733" t="str">
        <f t="shared" si="59"/>
        <v>Петров Владимир КирилловичЕгоров Артур Владимирович</v>
      </c>
      <c r="O733" t="s">
        <v>50</v>
      </c>
      <c r="P733" t="s">
        <v>150</v>
      </c>
      <c r="Q733" t="s">
        <v>223</v>
      </c>
    </row>
    <row r="734" spans="2:17" x14ac:dyDescent="0.3">
      <c r="B734" t="s">
        <v>40</v>
      </c>
      <c r="C734" t="s">
        <v>100</v>
      </c>
      <c r="D734" s="22" t="str">
        <f t="shared" si="55"/>
        <v>2023-09-27</v>
      </c>
      <c r="E734" s="22" t="str">
        <f t="shared" si="56"/>
        <v>2024-03-18</v>
      </c>
      <c r="F734" s="22">
        <f t="shared" si="57"/>
        <v>173</v>
      </c>
      <c r="J734" t="str">
        <f t="shared" si="58"/>
        <v>Петров Владимир КирилловичФедоров Роман Дмитриевич</v>
      </c>
      <c r="K734" t="s">
        <v>50</v>
      </c>
      <c r="L734" t="s">
        <v>41</v>
      </c>
      <c r="M734" t="s">
        <v>381</v>
      </c>
      <c r="N734" t="str">
        <f t="shared" si="59"/>
        <v>Громова Мария ИльиничнаКузнецова Дарья Дмитриевна</v>
      </c>
      <c r="O734" t="s">
        <v>14</v>
      </c>
      <c r="P734" t="s">
        <v>43</v>
      </c>
      <c r="Q734" t="s">
        <v>223</v>
      </c>
    </row>
    <row r="735" spans="2:17" x14ac:dyDescent="0.3">
      <c r="B735" t="s">
        <v>40</v>
      </c>
      <c r="C735" t="s">
        <v>151</v>
      </c>
      <c r="D735" s="22" t="str">
        <f t="shared" si="55"/>
        <v>2024-01-22</v>
      </c>
      <c r="E735" s="22" t="str">
        <f t="shared" si="56"/>
        <v>2024-01-22</v>
      </c>
      <c r="F735" s="22">
        <f t="shared" si="57"/>
        <v>0</v>
      </c>
      <c r="J735" t="str">
        <f t="shared" si="58"/>
        <v>Белов Алексей КонстантиновичЕгорова Ирина Павловна</v>
      </c>
      <c r="K735" t="s">
        <v>21</v>
      </c>
      <c r="L735" t="s">
        <v>63</v>
      </c>
      <c r="M735" t="s">
        <v>382</v>
      </c>
      <c r="N735" t="str">
        <f t="shared" si="59"/>
        <v>Семенова Ирина ВалерьевнаОрлова София Станиславовна</v>
      </c>
      <c r="O735" t="s">
        <v>12</v>
      </c>
      <c r="P735" t="s">
        <v>27</v>
      </c>
      <c r="Q735" t="s">
        <v>220</v>
      </c>
    </row>
    <row r="736" spans="2:17" x14ac:dyDescent="0.3">
      <c r="B736" t="s">
        <v>40</v>
      </c>
      <c r="C736" t="s">
        <v>76</v>
      </c>
      <c r="D736" s="22" t="str">
        <f t="shared" si="55"/>
        <v>2024-01-18</v>
      </c>
      <c r="E736" s="22" t="str">
        <f t="shared" si="56"/>
        <v>2024-01-18</v>
      </c>
      <c r="F736" s="22">
        <f t="shared" si="57"/>
        <v>0</v>
      </c>
      <c r="J736" t="str">
        <f t="shared" si="58"/>
        <v>Новикова Ольга ПетровнаОрлова Валерия Юрьевна</v>
      </c>
      <c r="K736" t="s">
        <v>47</v>
      </c>
      <c r="L736" t="s">
        <v>258</v>
      </c>
      <c r="M736" t="s">
        <v>382</v>
      </c>
      <c r="N736" t="str">
        <f t="shared" si="59"/>
        <v>Кузнецов Дмитрий ЛьвовичВасильев Константин Геннадьевич</v>
      </c>
      <c r="O736" t="s">
        <v>10</v>
      </c>
      <c r="P736" t="s">
        <v>221</v>
      </c>
      <c r="Q736" t="s">
        <v>220</v>
      </c>
    </row>
    <row r="737" spans="2:17" x14ac:dyDescent="0.3">
      <c r="B737" t="s">
        <v>40</v>
      </c>
      <c r="C737" t="s">
        <v>41</v>
      </c>
      <c r="D737" s="22" t="str">
        <f t="shared" si="55"/>
        <v>2023-09-08</v>
      </c>
      <c r="E737" s="22" t="str">
        <f t="shared" si="56"/>
        <v>2023-09-08</v>
      </c>
      <c r="F737" s="22">
        <f t="shared" si="57"/>
        <v>0</v>
      </c>
      <c r="J737" t="str">
        <f t="shared" si="58"/>
        <v>Громова Мария ИльиничнаСидоров Дмитрий Кириллович</v>
      </c>
      <c r="K737" t="s">
        <v>14</v>
      </c>
      <c r="L737" t="s">
        <v>166</v>
      </c>
      <c r="M737" t="s">
        <v>382</v>
      </c>
      <c r="N737" t="str">
        <f t="shared" si="59"/>
        <v>Сидорова Елена ВасильевнаПопова Алиса Ильинична</v>
      </c>
      <c r="O737" t="s">
        <v>18</v>
      </c>
      <c r="P737" t="s">
        <v>90</v>
      </c>
      <c r="Q737" t="s">
        <v>220</v>
      </c>
    </row>
    <row r="738" spans="2:17" x14ac:dyDescent="0.3">
      <c r="B738" t="s">
        <v>40</v>
      </c>
      <c r="C738" t="s">
        <v>197</v>
      </c>
      <c r="D738" s="22" t="str">
        <f t="shared" si="55"/>
        <v>2023-11-15</v>
      </c>
      <c r="E738" s="22" t="str">
        <f t="shared" si="56"/>
        <v>2023-11-15</v>
      </c>
      <c r="F738" s="22">
        <f t="shared" si="57"/>
        <v>0</v>
      </c>
      <c r="J738" t="str">
        <f t="shared" si="58"/>
        <v>Яковлев Артем ИгоревичПопов Иван Михайлович</v>
      </c>
      <c r="K738" t="s">
        <v>8</v>
      </c>
      <c r="L738" t="s">
        <v>109</v>
      </c>
      <c r="M738" t="s">
        <v>382</v>
      </c>
      <c r="N738" t="str">
        <f t="shared" si="59"/>
        <v>Яковлев Артем ИгоревичЛебедев Максим Михайлович</v>
      </c>
      <c r="O738" t="s">
        <v>8</v>
      </c>
      <c r="P738" t="s">
        <v>183</v>
      </c>
      <c r="Q738" t="s">
        <v>220</v>
      </c>
    </row>
    <row r="739" spans="2:17" x14ac:dyDescent="0.3">
      <c r="B739" t="s">
        <v>40</v>
      </c>
      <c r="C739" t="s">
        <v>87</v>
      </c>
      <c r="D739" s="22" t="str">
        <f t="shared" si="55"/>
        <v>2024-03-22</v>
      </c>
      <c r="E739" s="22" t="str">
        <f t="shared" si="56"/>
        <v>2024-03-22</v>
      </c>
      <c r="F739" s="22">
        <f t="shared" si="57"/>
        <v>0</v>
      </c>
      <c r="J739" t="str">
        <f t="shared" si="58"/>
        <v>Белов Алексей КонстантиновичКозлов Роман Владимирович</v>
      </c>
      <c r="K739" t="s">
        <v>21</v>
      </c>
      <c r="L739" t="s">
        <v>279</v>
      </c>
      <c r="M739" t="s">
        <v>382</v>
      </c>
      <c r="N739" t="str">
        <f t="shared" si="59"/>
        <v>Громова Мария ИльиничнаКозлов Илья Егорович</v>
      </c>
      <c r="O739" t="s">
        <v>14</v>
      </c>
      <c r="P739" t="s">
        <v>222</v>
      </c>
      <c r="Q739" t="s">
        <v>220</v>
      </c>
    </row>
    <row r="740" spans="2:17" x14ac:dyDescent="0.3">
      <c r="B740" t="s">
        <v>8</v>
      </c>
      <c r="C740" t="s">
        <v>71</v>
      </c>
      <c r="D740" s="22" t="str">
        <f t="shared" si="55"/>
        <v>2023-12-18</v>
      </c>
      <c r="E740" s="22" t="str">
        <f t="shared" si="56"/>
        <v>2023-12-18</v>
      </c>
      <c r="F740" s="22">
        <f t="shared" si="57"/>
        <v>0</v>
      </c>
      <c r="J740" t="str">
        <f t="shared" si="58"/>
        <v>Иванова Анна СергеевнаНовиков Дмитрий Станиславович</v>
      </c>
      <c r="K740" t="s">
        <v>28</v>
      </c>
      <c r="L740" t="s">
        <v>205</v>
      </c>
      <c r="M740" t="s">
        <v>383</v>
      </c>
      <c r="N740" t="str">
        <f t="shared" si="59"/>
        <v>Семенова Ирина ВалерьевнаПетров Алексей Сергеевич</v>
      </c>
      <c r="O740" t="s">
        <v>12</v>
      </c>
      <c r="P740" t="s">
        <v>66</v>
      </c>
      <c r="Q740" t="s">
        <v>219</v>
      </c>
    </row>
    <row r="741" spans="2:17" x14ac:dyDescent="0.3">
      <c r="B741" t="s">
        <v>8</v>
      </c>
      <c r="C741" t="s">
        <v>221</v>
      </c>
      <c r="D741" s="22" t="str">
        <f t="shared" si="55"/>
        <v>2023-12-04</v>
      </c>
      <c r="E741" s="22" t="str">
        <f t="shared" si="56"/>
        <v>2023-12-18</v>
      </c>
      <c r="F741" s="22">
        <f t="shared" si="57"/>
        <v>14</v>
      </c>
      <c r="J741" t="str">
        <f t="shared" si="58"/>
        <v>Кузнецов Дмитрий ЛьвовичНовиков Иван Андреевич</v>
      </c>
      <c r="K741" t="s">
        <v>10</v>
      </c>
      <c r="L741" t="s">
        <v>81</v>
      </c>
      <c r="M741" t="s">
        <v>383</v>
      </c>
      <c r="N741" t="str">
        <f t="shared" si="59"/>
        <v>Яковлев Артем ИгоревичКузнецов Дмитрий Павлович</v>
      </c>
      <c r="O741" t="s">
        <v>8</v>
      </c>
      <c r="P741" t="s">
        <v>186</v>
      </c>
      <c r="Q741" t="s">
        <v>219</v>
      </c>
    </row>
    <row r="742" spans="2:17" x14ac:dyDescent="0.3">
      <c r="B742" t="s">
        <v>8</v>
      </c>
      <c r="C742" t="s">
        <v>95</v>
      </c>
      <c r="D742" s="22" t="str">
        <f t="shared" si="55"/>
        <v>2024-02-19</v>
      </c>
      <c r="E742" s="22" t="str">
        <f t="shared" si="56"/>
        <v>2024-02-19</v>
      </c>
      <c r="F742" s="22">
        <f t="shared" si="57"/>
        <v>0</v>
      </c>
      <c r="J742" t="str">
        <f t="shared" si="58"/>
        <v>Иванова Анна СергеевнаМорозов Павел Ильич</v>
      </c>
      <c r="K742" t="s">
        <v>28</v>
      </c>
      <c r="L742" t="s">
        <v>146</v>
      </c>
      <c r="M742" t="s">
        <v>383</v>
      </c>
      <c r="N742" t="str">
        <f t="shared" si="59"/>
        <v>Новикова Ольга ПетровнаНовикова Ирина Геннадьевна</v>
      </c>
      <c r="O742" t="s">
        <v>47</v>
      </c>
      <c r="P742" t="s">
        <v>105</v>
      </c>
      <c r="Q742" t="s">
        <v>218</v>
      </c>
    </row>
    <row r="743" spans="2:17" x14ac:dyDescent="0.3">
      <c r="B743" t="s">
        <v>8</v>
      </c>
      <c r="C743" t="s">
        <v>24</v>
      </c>
      <c r="D743" s="22" t="str">
        <f t="shared" si="55"/>
        <v>2023-09-04</v>
      </c>
      <c r="E743" s="22" t="str">
        <f t="shared" si="56"/>
        <v>2023-09-04</v>
      </c>
      <c r="F743" s="22">
        <f t="shared" si="57"/>
        <v>0</v>
      </c>
      <c r="J743" t="str">
        <f t="shared" si="58"/>
        <v>Фролов Сергей ВикторовичКузнецова Мария Юрьевна</v>
      </c>
      <c r="K743" t="s">
        <v>40</v>
      </c>
      <c r="L743" t="s">
        <v>22</v>
      </c>
      <c r="M743" t="s">
        <v>384</v>
      </c>
      <c r="N743" t="str">
        <f t="shared" si="59"/>
        <v>Кузнецов Дмитрий ЛьвовичЕгорова Алиса Егоровна</v>
      </c>
      <c r="O743" t="s">
        <v>10</v>
      </c>
      <c r="P743" t="s">
        <v>144</v>
      </c>
      <c r="Q743" t="s">
        <v>218</v>
      </c>
    </row>
    <row r="744" spans="2:17" x14ac:dyDescent="0.3">
      <c r="B744" t="s">
        <v>8</v>
      </c>
      <c r="C744" t="s">
        <v>200</v>
      </c>
      <c r="D744" s="22" t="str">
        <f t="shared" si="55"/>
        <v>2024-01-08</v>
      </c>
      <c r="E744" s="22" t="str">
        <f t="shared" si="56"/>
        <v>2024-04-16</v>
      </c>
      <c r="F744" s="22">
        <f t="shared" si="57"/>
        <v>99</v>
      </c>
      <c r="J744" t="str">
        <f t="shared" si="58"/>
        <v>Петров Владимир КирилловичСидоров Роман Кириллович</v>
      </c>
      <c r="K744" t="s">
        <v>50</v>
      </c>
      <c r="L744" t="s">
        <v>110</v>
      </c>
      <c r="M744" t="s">
        <v>384</v>
      </c>
      <c r="N744" t="str">
        <f t="shared" si="59"/>
        <v>Громова Мария ИльиничнаПавлов Алексей Геннадьевич</v>
      </c>
      <c r="O744" t="s">
        <v>14</v>
      </c>
      <c r="P744" t="s">
        <v>191</v>
      </c>
      <c r="Q744" t="s">
        <v>218</v>
      </c>
    </row>
    <row r="745" spans="2:17" x14ac:dyDescent="0.3">
      <c r="B745" t="s">
        <v>8</v>
      </c>
      <c r="C745" t="s">
        <v>130</v>
      </c>
      <c r="D745" s="22" t="str">
        <f t="shared" si="55"/>
        <v>2024-06-10</v>
      </c>
      <c r="E745" s="22" t="str">
        <f t="shared" si="56"/>
        <v>2024-06-10</v>
      </c>
      <c r="F745" s="22">
        <f t="shared" si="57"/>
        <v>0</v>
      </c>
      <c r="J745" t="str">
        <f t="shared" si="58"/>
        <v>Новикова Ольга ПетровнаПетров Иван Егорович</v>
      </c>
      <c r="K745" t="s">
        <v>47</v>
      </c>
      <c r="L745" t="s">
        <v>149</v>
      </c>
      <c r="M745" t="s">
        <v>384</v>
      </c>
      <c r="N745" t="str">
        <f t="shared" si="59"/>
        <v>Иванова Анна СергеевнаФедорова Людмила Кирилловна</v>
      </c>
      <c r="O745" t="s">
        <v>28</v>
      </c>
      <c r="P745" t="s">
        <v>199</v>
      </c>
      <c r="Q745" t="s">
        <v>218</v>
      </c>
    </row>
    <row r="746" spans="2:17" x14ac:dyDescent="0.3">
      <c r="B746" t="s">
        <v>8</v>
      </c>
      <c r="C746" t="s">
        <v>235</v>
      </c>
      <c r="D746" s="22" t="str">
        <f t="shared" si="55"/>
        <v>2023-12-13</v>
      </c>
      <c r="E746" s="22" t="str">
        <f t="shared" si="56"/>
        <v>2023-12-13</v>
      </c>
      <c r="F746" s="22">
        <f t="shared" si="57"/>
        <v>0</v>
      </c>
      <c r="J746" t="str">
        <f t="shared" si="58"/>
        <v>Белов Алексей КонстантиновичМорозов Кирилл Геннадьевич</v>
      </c>
      <c r="K746" t="s">
        <v>21</v>
      </c>
      <c r="L746" t="s">
        <v>360</v>
      </c>
      <c r="M746" t="s">
        <v>385</v>
      </c>
      <c r="N746" t="str">
        <f t="shared" si="59"/>
        <v>Яковлев Артем ИгоревичСидорова Елена Кирилловна</v>
      </c>
      <c r="O746" t="s">
        <v>8</v>
      </c>
      <c r="P746" t="s">
        <v>180</v>
      </c>
      <c r="Q746" t="s">
        <v>216</v>
      </c>
    </row>
    <row r="747" spans="2:17" x14ac:dyDescent="0.3">
      <c r="B747" t="s">
        <v>8</v>
      </c>
      <c r="C747" t="s">
        <v>103</v>
      </c>
      <c r="D747" s="22" t="str">
        <f t="shared" si="55"/>
        <v>2024-01-19</v>
      </c>
      <c r="E747" s="22" t="str">
        <f t="shared" si="56"/>
        <v>2024-04-09</v>
      </c>
      <c r="F747" s="22">
        <f t="shared" si="57"/>
        <v>81</v>
      </c>
      <c r="J747" t="str">
        <f t="shared" si="58"/>
        <v>Орлов Павел ДенисовичСмирнов Дмитрий Никитич</v>
      </c>
      <c r="K747" t="s">
        <v>45</v>
      </c>
      <c r="L747" t="s">
        <v>165</v>
      </c>
      <c r="M747" t="s">
        <v>385</v>
      </c>
      <c r="N747" t="str">
        <f t="shared" si="59"/>
        <v>Семенова Ирина ВалерьевнаПетров Илья Андреевич</v>
      </c>
      <c r="O747" t="s">
        <v>12</v>
      </c>
      <c r="P747" t="s">
        <v>70</v>
      </c>
      <c r="Q747" t="s">
        <v>216</v>
      </c>
    </row>
    <row r="748" spans="2:17" x14ac:dyDescent="0.3">
      <c r="B748" t="s">
        <v>8</v>
      </c>
      <c r="C748" t="s">
        <v>25</v>
      </c>
      <c r="D748" s="22" t="str">
        <f t="shared" si="55"/>
        <v>2024-03-26</v>
      </c>
      <c r="E748" s="22" t="str">
        <f t="shared" si="56"/>
        <v>2024-03-26</v>
      </c>
      <c r="F748" s="22">
        <f t="shared" si="57"/>
        <v>0</v>
      </c>
      <c r="J748" t="str">
        <f t="shared" si="58"/>
        <v>Новикова Ольга ПетровнаСмирнов Дмитрий Никитич</v>
      </c>
      <c r="K748" t="s">
        <v>47</v>
      </c>
      <c r="L748" t="s">
        <v>165</v>
      </c>
      <c r="M748" t="s">
        <v>385</v>
      </c>
      <c r="N748" t="str">
        <f t="shared" si="59"/>
        <v>Громова Мария ИльиничнаКозлова София Станиславовна</v>
      </c>
      <c r="O748" t="s">
        <v>14</v>
      </c>
      <c r="P748" t="s">
        <v>54</v>
      </c>
      <c r="Q748" t="s">
        <v>216</v>
      </c>
    </row>
    <row r="749" spans="2:17" x14ac:dyDescent="0.3">
      <c r="B749" t="s">
        <v>8</v>
      </c>
      <c r="C749" t="s">
        <v>150</v>
      </c>
      <c r="D749" s="22" t="str">
        <f t="shared" si="55"/>
        <v>2024-03-14</v>
      </c>
      <c r="E749" s="22" t="str">
        <f t="shared" si="56"/>
        <v>2024-03-14</v>
      </c>
      <c r="F749" s="22">
        <f t="shared" si="57"/>
        <v>0</v>
      </c>
      <c r="J749" t="str">
        <f t="shared" si="58"/>
        <v>Новикова Ольга ПетровнаКузнецова Мария Юрьевна</v>
      </c>
      <c r="K749" t="s">
        <v>47</v>
      </c>
      <c r="L749" t="s">
        <v>22</v>
      </c>
      <c r="M749" t="s">
        <v>386</v>
      </c>
      <c r="N749" t="str">
        <f t="shared" si="59"/>
        <v>Белов Алексей КонстантиновичМорозов Андрей Никитич</v>
      </c>
      <c r="O749" t="s">
        <v>21</v>
      </c>
      <c r="P749" t="s">
        <v>147</v>
      </c>
      <c r="Q749" t="s">
        <v>216</v>
      </c>
    </row>
    <row r="750" spans="2:17" x14ac:dyDescent="0.3">
      <c r="B750" t="s">
        <v>8</v>
      </c>
      <c r="C750" t="s">
        <v>238</v>
      </c>
      <c r="D750" s="22" t="str">
        <f t="shared" si="55"/>
        <v>2023-12-14</v>
      </c>
      <c r="E750" s="22" t="str">
        <f t="shared" si="56"/>
        <v>2023-12-14</v>
      </c>
      <c r="F750" s="22">
        <f t="shared" si="57"/>
        <v>0</v>
      </c>
      <c r="J750" t="str">
        <f t="shared" si="58"/>
        <v>Белов Алексей КонстантиновичЛебедева Татьяна Павловна</v>
      </c>
      <c r="K750" t="s">
        <v>21</v>
      </c>
      <c r="L750" t="s">
        <v>387</v>
      </c>
      <c r="M750" t="s">
        <v>386</v>
      </c>
      <c r="N750" t="str">
        <f t="shared" si="59"/>
        <v>Орлов Павел ДенисовичСтепанова Юлия Андреевна</v>
      </c>
      <c r="O750" t="s">
        <v>45</v>
      </c>
      <c r="P750" t="s">
        <v>217</v>
      </c>
      <c r="Q750" t="s">
        <v>216</v>
      </c>
    </row>
    <row r="751" spans="2:17" x14ac:dyDescent="0.3">
      <c r="B751" t="s">
        <v>8</v>
      </c>
      <c r="C751" t="s">
        <v>114</v>
      </c>
      <c r="D751" s="22" t="str">
        <f t="shared" si="55"/>
        <v>2024-06-13</v>
      </c>
      <c r="E751" s="22" t="str">
        <f t="shared" si="56"/>
        <v>2024-06-13</v>
      </c>
      <c r="F751" s="22">
        <f t="shared" si="57"/>
        <v>0</v>
      </c>
      <c r="J751" t="str">
        <f t="shared" si="58"/>
        <v>Иванова Анна СергеевнаЛебедева Елена Олеговна</v>
      </c>
      <c r="K751" t="s">
        <v>28</v>
      </c>
      <c r="L751" t="s">
        <v>388</v>
      </c>
      <c r="M751" t="s">
        <v>386</v>
      </c>
      <c r="N751" t="str">
        <f t="shared" si="59"/>
        <v>Петров Владимир КирилловичФедоров Илья Владимирович</v>
      </c>
      <c r="O751" t="s">
        <v>50</v>
      </c>
      <c r="P751" t="s">
        <v>34</v>
      </c>
      <c r="Q751" t="s">
        <v>216</v>
      </c>
    </row>
    <row r="752" spans="2:17" x14ac:dyDescent="0.3">
      <c r="B752" t="s">
        <v>8</v>
      </c>
      <c r="C752" t="s">
        <v>112</v>
      </c>
      <c r="D752" s="22" t="str">
        <f t="shared" si="55"/>
        <v>2024-04-30</v>
      </c>
      <c r="E752" s="22" t="str">
        <f t="shared" si="56"/>
        <v>2024-04-30</v>
      </c>
      <c r="F752" s="22">
        <f t="shared" si="57"/>
        <v>0</v>
      </c>
      <c r="J752" t="str">
        <f t="shared" si="58"/>
        <v>Семенова Ирина ВалерьевнаНовикова Екатерина Михайловна</v>
      </c>
      <c r="K752" t="s">
        <v>12</v>
      </c>
      <c r="L752" t="s">
        <v>181</v>
      </c>
      <c r="M752" t="s">
        <v>386</v>
      </c>
      <c r="N752" t="str">
        <f t="shared" si="59"/>
        <v>Кузнецов Дмитрий ЛьвовичОрлов Александр Иванович</v>
      </c>
      <c r="O752" t="s">
        <v>10</v>
      </c>
      <c r="P752" t="s">
        <v>69</v>
      </c>
      <c r="Q752" t="s">
        <v>216</v>
      </c>
    </row>
    <row r="753" spans="2:17" x14ac:dyDescent="0.3">
      <c r="B753" t="s">
        <v>8</v>
      </c>
      <c r="C753" t="s">
        <v>63</v>
      </c>
      <c r="D753" s="22" t="str">
        <f t="shared" si="55"/>
        <v>2023-09-13</v>
      </c>
      <c r="E753" s="22" t="str">
        <f t="shared" si="56"/>
        <v>2023-09-13</v>
      </c>
      <c r="F753" s="22">
        <f t="shared" si="57"/>
        <v>0</v>
      </c>
      <c r="J753" t="str">
        <f t="shared" si="58"/>
        <v>Орлов Павел ДенисовичФедорова Людмила Кирилловна</v>
      </c>
      <c r="K753" t="s">
        <v>45</v>
      </c>
      <c r="L753" t="s">
        <v>199</v>
      </c>
      <c r="M753" t="s">
        <v>389</v>
      </c>
      <c r="N753" t="str">
        <f t="shared" si="59"/>
        <v>Петров Владимир КирилловичПавлов Роман Владимирович</v>
      </c>
      <c r="O753" t="s">
        <v>50</v>
      </c>
      <c r="P753" t="s">
        <v>169</v>
      </c>
      <c r="Q753" t="s">
        <v>215</v>
      </c>
    </row>
    <row r="754" spans="2:17" x14ac:dyDescent="0.3">
      <c r="B754" t="s">
        <v>8</v>
      </c>
      <c r="C754" t="s">
        <v>168</v>
      </c>
      <c r="D754" s="22" t="str">
        <f t="shared" si="55"/>
        <v>2023-10-30</v>
      </c>
      <c r="E754" s="22" t="str">
        <f t="shared" si="56"/>
        <v>2023-10-30</v>
      </c>
      <c r="F754" s="22">
        <f t="shared" si="57"/>
        <v>0</v>
      </c>
      <c r="J754" t="str">
        <f t="shared" si="58"/>
        <v>Иванова Анна СергеевнаСеменов Артур Михайлович</v>
      </c>
      <c r="K754" t="s">
        <v>28</v>
      </c>
      <c r="L754" t="s">
        <v>245</v>
      </c>
      <c r="M754" t="s">
        <v>389</v>
      </c>
      <c r="N754" t="str">
        <f t="shared" si="59"/>
        <v>Фролов Сергей ВикторовичЕгорова Ирина Павловна</v>
      </c>
      <c r="O754" t="s">
        <v>40</v>
      </c>
      <c r="P754" t="s">
        <v>63</v>
      </c>
      <c r="Q754" t="s">
        <v>215</v>
      </c>
    </row>
    <row r="755" spans="2:17" x14ac:dyDescent="0.3">
      <c r="B755" t="s">
        <v>8</v>
      </c>
      <c r="C755" t="s">
        <v>124</v>
      </c>
      <c r="D755" s="22" t="str">
        <f t="shared" si="55"/>
        <v>2024-08-28</v>
      </c>
      <c r="E755" s="22" t="str">
        <f t="shared" si="56"/>
        <v>2024-08-28</v>
      </c>
      <c r="F755" s="22">
        <f t="shared" si="57"/>
        <v>0</v>
      </c>
      <c r="J755" t="str">
        <f t="shared" si="58"/>
        <v>Новикова Ольга ПетровнаПетров Иван Артемович</v>
      </c>
      <c r="K755" t="s">
        <v>47</v>
      </c>
      <c r="L755" t="s">
        <v>39</v>
      </c>
      <c r="M755" t="s">
        <v>389</v>
      </c>
      <c r="N755" t="str">
        <f t="shared" si="59"/>
        <v>Орлов Павел ДенисовичМорозова Светлана Артемовна</v>
      </c>
      <c r="O755" t="s">
        <v>45</v>
      </c>
      <c r="P755" t="s">
        <v>107</v>
      </c>
      <c r="Q755" t="s">
        <v>215</v>
      </c>
    </row>
    <row r="756" spans="2:17" x14ac:dyDescent="0.3">
      <c r="B756" t="s">
        <v>8</v>
      </c>
      <c r="C756" t="s">
        <v>222</v>
      </c>
      <c r="D756" s="22" t="str">
        <f t="shared" si="55"/>
        <v>2024-06-20</v>
      </c>
      <c r="E756" s="22" t="str">
        <f t="shared" si="56"/>
        <v>2024-06-20</v>
      </c>
      <c r="F756" s="22">
        <f t="shared" si="57"/>
        <v>0</v>
      </c>
      <c r="J756" t="str">
        <f t="shared" si="58"/>
        <v>Семенова Ирина ВалерьевнаНовикова Екатерина Михайловна</v>
      </c>
      <c r="K756" t="s">
        <v>12</v>
      </c>
      <c r="L756" t="s">
        <v>181</v>
      </c>
      <c r="M756" t="s">
        <v>389</v>
      </c>
      <c r="N756" t="str">
        <f t="shared" si="59"/>
        <v>Петров Владимир КирилловичСмирнов Артем Егорович</v>
      </c>
      <c r="O756" t="s">
        <v>50</v>
      </c>
      <c r="P756" t="s">
        <v>127</v>
      </c>
      <c r="Q756" t="s">
        <v>213</v>
      </c>
    </row>
    <row r="757" spans="2:17" x14ac:dyDescent="0.3">
      <c r="B757" t="s">
        <v>8</v>
      </c>
      <c r="C757" t="s">
        <v>54</v>
      </c>
      <c r="D757" s="22" t="str">
        <f t="shared" si="55"/>
        <v>2024-08-02</v>
      </c>
      <c r="E757" s="22" t="str">
        <f t="shared" si="56"/>
        <v>2024-08-02</v>
      </c>
      <c r="F757" s="22">
        <f t="shared" si="57"/>
        <v>0</v>
      </c>
      <c r="J757" t="str">
        <f t="shared" si="58"/>
        <v>Иванова Анна СергеевнаКузнецова Мария Юрьевна</v>
      </c>
      <c r="K757" t="s">
        <v>28</v>
      </c>
      <c r="L757" t="s">
        <v>22</v>
      </c>
      <c r="M757" t="s">
        <v>390</v>
      </c>
      <c r="N757" t="str">
        <f t="shared" si="59"/>
        <v>Орлов Павел ДенисовичКузнецова Людмила Егоровна</v>
      </c>
      <c r="O757" t="s">
        <v>45</v>
      </c>
      <c r="P757" t="s">
        <v>214</v>
      </c>
      <c r="Q757" t="s">
        <v>213</v>
      </c>
    </row>
    <row r="758" spans="2:17" x14ac:dyDescent="0.3">
      <c r="B758" t="s">
        <v>8</v>
      </c>
      <c r="C758" t="s">
        <v>61</v>
      </c>
      <c r="D758" s="22" t="str">
        <f t="shared" si="55"/>
        <v>2024-01-09</v>
      </c>
      <c r="E758" s="22" t="str">
        <f t="shared" si="56"/>
        <v>2024-04-08</v>
      </c>
      <c r="F758" s="22">
        <f t="shared" si="57"/>
        <v>90</v>
      </c>
      <c r="J758" t="str">
        <f t="shared" si="58"/>
        <v>Сидорова Елена ВасильевнаКузнецова Полина Романовна</v>
      </c>
      <c r="K758" t="s">
        <v>18</v>
      </c>
      <c r="L758" t="s">
        <v>17</v>
      </c>
      <c r="M758" t="s">
        <v>390</v>
      </c>
      <c r="N758" t="str">
        <f t="shared" si="59"/>
        <v>Громова Мария ИльиничнаЛебедев Илья Станиславович</v>
      </c>
      <c r="O758" t="s">
        <v>14</v>
      </c>
      <c r="P758" t="s">
        <v>51</v>
      </c>
      <c r="Q758" t="s">
        <v>212</v>
      </c>
    </row>
    <row r="759" spans="2:17" x14ac:dyDescent="0.3">
      <c r="B759" t="s">
        <v>8</v>
      </c>
      <c r="C759" t="s">
        <v>186</v>
      </c>
      <c r="D759" s="22" t="str">
        <f t="shared" si="55"/>
        <v>2023-11-29</v>
      </c>
      <c r="E759" s="22" t="str">
        <f t="shared" si="56"/>
        <v>2023-11-29</v>
      </c>
      <c r="F759" s="22">
        <f t="shared" si="57"/>
        <v>0</v>
      </c>
      <c r="J759" t="str">
        <f t="shared" si="58"/>
        <v>Яковлев Артем ИгоревичЛебедева Дарья Никитична</v>
      </c>
      <c r="K759" t="s">
        <v>8</v>
      </c>
      <c r="L759" t="s">
        <v>75</v>
      </c>
      <c r="M759" t="s">
        <v>390</v>
      </c>
      <c r="N759" t="str">
        <f t="shared" si="59"/>
        <v>Иванова Анна СергеевнаМорозова Валерия Ильинична</v>
      </c>
      <c r="O759" t="s">
        <v>28</v>
      </c>
      <c r="P759" t="s">
        <v>174</v>
      </c>
      <c r="Q759" t="s">
        <v>212</v>
      </c>
    </row>
    <row r="760" spans="2:17" x14ac:dyDescent="0.3">
      <c r="B760" t="s">
        <v>8</v>
      </c>
      <c r="C760" t="s">
        <v>178</v>
      </c>
      <c r="D760" s="22" t="str">
        <f t="shared" si="55"/>
        <v>2023-12-04</v>
      </c>
      <c r="E760" s="22" t="str">
        <f t="shared" si="56"/>
        <v>2024-05-06</v>
      </c>
      <c r="F760" s="22">
        <f t="shared" si="57"/>
        <v>154</v>
      </c>
      <c r="J760" t="str">
        <f t="shared" si="58"/>
        <v>Семенова Ирина ВалерьевнаОрлова Полина Олеговна</v>
      </c>
      <c r="K760" t="s">
        <v>12</v>
      </c>
      <c r="L760" t="s">
        <v>101</v>
      </c>
      <c r="M760" t="s">
        <v>390</v>
      </c>
      <c r="N760" t="str">
        <f t="shared" si="59"/>
        <v>Новикова Ольга ПетровнаПопова Виктория Геннадьевна</v>
      </c>
      <c r="O760" t="s">
        <v>47</v>
      </c>
      <c r="P760" t="s">
        <v>167</v>
      </c>
      <c r="Q760" t="s">
        <v>212</v>
      </c>
    </row>
    <row r="761" spans="2:17" x14ac:dyDescent="0.3">
      <c r="B761" t="s">
        <v>8</v>
      </c>
      <c r="C761" t="s">
        <v>67</v>
      </c>
      <c r="D761" s="22" t="str">
        <f t="shared" si="55"/>
        <v>2023-09-14</v>
      </c>
      <c r="E761" s="22" t="str">
        <f t="shared" si="56"/>
        <v>2023-09-14</v>
      </c>
      <c r="F761" s="22">
        <f t="shared" si="57"/>
        <v>0</v>
      </c>
      <c r="J761" t="str">
        <f t="shared" si="58"/>
        <v>Кузнецов Дмитрий ЛьвовичСидоров Кирилл Кириллович</v>
      </c>
      <c r="K761" t="s">
        <v>10</v>
      </c>
      <c r="L761" t="s">
        <v>137</v>
      </c>
      <c r="M761" t="s">
        <v>390</v>
      </c>
      <c r="N761" t="str">
        <f t="shared" si="59"/>
        <v>Кузнецов Дмитрий ЛьвовичПопов Илья Егорович</v>
      </c>
      <c r="O761" t="s">
        <v>10</v>
      </c>
      <c r="P761" t="s">
        <v>210</v>
      </c>
      <c r="Q761" t="s">
        <v>211</v>
      </c>
    </row>
    <row r="762" spans="2:17" x14ac:dyDescent="0.3">
      <c r="B762" t="s">
        <v>8</v>
      </c>
      <c r="C762" t="s">
        <v>20</v>
      </c>
      <c r="D762" s="22" t="str">
        <f t="shared" si="55"/>
        <v>2023-09-04</v>
      </c>
      <c r="E762" s="22" t="str">
        <f t="shared" si="56"/>
        <v>2024-07-15</v>
      </c>
      <c r="F762" s="22">
        <f t="shared" si="57"/>
        <v>315</v>
      </c>
      <c r="J762" t="str">
        <f t="shared" si="58"/>
        <v>Белов Алексей КонстантиновичКузнецов Михаил Артемович</v>
      </c>
      <c r="K762" t="s">
        <v>21</v>
      </c>
      <c r="L762" t="s">
        <v>67</v>
      </c>
      <c r="M762" t="s">
        <v>390</v>
      </c>
      <c r="N762" t="str">
        <f t="shared" si="59"/>
        <v>Петров Владимир КирилловичИванов Илья Артемович</v>
      </c>
      <c r="O762" t="s">
        <v>50</v>
      </c>
      <c r="P762" t="s">
        <v>83</v>
      </c>
      <c r="Q762" t="s">
        <v>211</v>
      </c>
    </row>
    <row r="763" spans="2:17" x14ac:dyDescent="0.3">
      <c r="B763" t="s">
        <v>8</v>
      </c>
      <c r="C763" t="s">
        <v>225</v>
      </c>
      <c r="D763" s="22" t="str">
        <f t="shared" si="55"/>
        <v>2024-03-05</v>
      </c>
      <c r="E763" s="22" t="str">
        <f t="shared" si="56"/>
        <v>2024-03-05</v>
      </c>
      <c r="F763" s="22">
        <f t="shared" si="57"/>
        <v>0</v>
      </c>
      <c r="J763" t="str">
        <f t="shared" si="58"/>
        <v>Ткаченко Андрей ОлеговичВасильева Ирина Павловна</v>
      </c>
      <c r="K763" t="s">
        <v>5</v>
      </c>
      <c r="L763" t="s">
        <v>130</v>
      </c>
      <c r="M763" t="s">
        <v>390</v>
      </c>
      <c r="N763" t="str">
        <f t="shared" si="59"/>
        <v>Иванова Анна СергеевнаКузнецов Илья Артемович</v>
      </c>
      <c r="O763" t="s">
        <v>28</v>
      </c>
      <c r="P763" t="s">
        <v>185</v>
      </c>
      <c r="Q763" t="s">
        <v>211</v>
      </c>
    </row>
    <row r="764" spans="2:17" x14ac:dyDescent="0.3">
      <c r="B764" t="s">
        <v>8</v>
      </c>
      <c r="C764" t="s">
        <v>17</v>
      </c>
      <c r="D764" s="22" t="str">
        <f t="shared" si="55"/>
        <v>2023-09-04</v>
      </c>
      <c r="E764" s="22" t="str">
        <f t="shared" si="56"/>
        <v>2024-05-01</v>
      </c>
      <c r="F764" s="22">
        <f t="shared" si="57"/>
        <v>240</v>
      </c>
      <c r="J764" t="str">
        <f t="shared" si="58"/>
        <v>Сидорова Елена ВасильевнаМорозова Валерия Ильинична</v>
      </c>
      <c r="K764" t="s">
        <v>18</v>
      </c>
      <c r="L764" t="s">
        <v>174</v>
      </c>
      <c r="M764" t="s">
        <v>391</v>
      </c>
      <c r="N764" t="str">
        <f t="shared" si="59"/>
        <v>Кузнецов Дмитрий ЛьвовичНовиков Дмитрий Станиславович</v>
      </c>
      <c r="O764" t="s">
        <v>10</v>
      </c>
      <c r="P764" t="s">
        <v>205</v>
      </c>
      <c r="Q764" t="s">
        <v>206</v>
      </c>
    </row>
    <row r="765" spans="2:17" x14ac:dyDescent="0.3">
      <c r="B765" t="s">
        <v>8</v>
      </c>
      <c r="C765" t="s">
        <v>49</v>
      </c>
      <c r="D765" s="22" t="str">
        <f t="shared" si="55"/>
        <v>2023-09-11</v>
      </c>
      <c r="E765" s="22" t="str">
        <f t="shared" si="56"/>
        <v>2024-06-24</v>
      </c>
      <c r="F765" s="22">
        <f t="shared" si="57"/>
        <v>287</v>
      </c>
      <c r="J765" t="str">
        <f t="shared" si="58"/>
        <v>Кузнецов Дмитрий ЛьвовичОрлов Матвей Алексеевич</v>
      </c>
      <c r="K765" t="s">
        <v>10</v>
      </c>
      <c r="L765" t="s">
        <v>116</v>
      </c>
      <c r="M765" t="s">
        <v>391</v>
      </c>
      <c r="N765" t="str">
        <f t="shared" si="59"/>
        <v>Орлов Павел ДенисовичИванов Кирилл Владимирович</v>
      </c>
      <c r="O765" t="s">
        <v>45</v>
      </c>
      <c r="P765" t="s">
        <v>152</v>
      </c>
      <c r="Q765" t="s">
        <v>206</v>
      </c>
    </row>
    <row r="766" spans="2:17" x14ac:dyDescent="0.3">
      <c r="B766" t="s">
        <v>8</v>
      </c>
      <c r="C766" t="s">
        <v>59</v>
      </c>
      <c r="D766" s="22" t="str">
        <f t="shared" si="55"/>
        <v>2024-08-15</v>
      </c>
      <c r="E766" s="22" t="str">
        <f t="shared" si="56"/>
        <v>2024-08-15</v>
      </c>
      <c r="F766" s="22">
        <f t="shared" si="57"/>
        <v>0</v>
      </c>
      <c r="J766" t="str">
        <f t="shared" si="58"/>
        <v>Орлов Павел ДенисовичСтепанова Полина Артемовна</v>
      </c>
      <c r="K766" t="s">
        <v>45</v>
      </c>
      <c r="L766" t="s">
        <v>35</v>
      </c>
      <c r="M766" t="s">
        <v>391</v>
      </c>
      <c r="N766" t="str">
        <f t="shared" si="59"/>
        <v>Петров Владимир КирилловичСмирнова Светлана Владимировна</v>
      </c>
      <c r="O766" t="s">
        <v>50</v>
      </c>
      <c r="P766" t="s">
        <v>207</v>
      </c>
      <c r="Q766" t="s">
        <v>206</v>
      </c>
    </row>
    <row r="767" spans="2:17" x14ac:dyDescent="0.3">
      <c r="B767" t="s">
        <v>8</v>
      </c>
      <c r="C767" t="s">
        <v>55</v>
      </c>
      <c r="D767" s="22" t="str">
        <f t="shared" si="55"/>
        <v>2023-09-11</v>
      </c>
      <c r="E767" s="22" t="str">
        <f t="shared" si="56"/>
        <v>2023-09-11</v>
      </c>
      <c r="F767" s="22">
        <f t="shared" si="57"/>
        <v>0</v>
      </c>
      <c r="J767" t="str">
        <f t="shared" si="58"/>
        <v>Фролов Сергей ВикторовичОрлова Юлия Алексеевна</v>
      </c>
      <c r="K767" t="s">
        <v>40</v>
      </c>
      <c r="L767" t="s">
        <v>171</v>
      </c>
      <c r="M767" t="s">
        <v>391</v>
      </c>
      <c r="N767" t="str">
        <f t="shared" si="59"/>
        <v>Ткаченко Андрей ОлеговичПетров Александр Александрович</v>
      </c>
      <c r="O767" t="s">
        <v>5</v>
      </c>
      <c r="P767" t="s">
        <v>208</v>
      </c>
      <c r="Q767" t="s">
        <v>206</v>
      </c>
    </row>
    <row r="768" spans="2:17" x14ac:dyDescent="0.3">
      <c r="B768" t="s">
        <v>8</v>
      </c>
      <c r="C768" t="s">
        <v>183</v>
      </c>
      <c r="D768" s="22" t="str">
        <f t="shared" si="55"/>
        <v>2023-11-30</v>
      </c>
      <c r="E768" s="22" t="str">
        <f t="shared" si="56"/>
        <v>2023-11-30</v>
      </c>
      <c r="F768" s="22">
        <f t="shared" si="57"/>
        <v>0</v>
      </c>
      <c r="J768" t="str">
        <f t="shared" si="58"/>
        <v>Фролов Сергей ВикторовичПавлов Илья Никитич</v>
      </c>
      <c r="K768" t="s">
        <v>40</v>
      </c>
      <c r="L768" t="s">
        <v>324</v>
      </c>
      <c r="M768" t="s">
        <v>391</v>
      </c>
      <c r="N768" t="str">
        <f t="shared" si="59"/>
        <v>Семенова Ирина ВалерьевнаКозлов Роман Сергеевич</v>
      </c>
      <c r="O768" t="s">
        <v>12</v>
      </c>
      <c r="P768" t="s">
        <v>209</v>
      </c>
      <c r="Q768" t="s">
        <v>206</v>
      </c>
    </row>
    <row r="769" spans="2:17" x14ac:dyDescent="0.3">
      <c r="B769" t="s">
        <v>8</v>
      </c>
      <c r="C769" t="s">
        <v>48</v>
      </c>
      <c r="D769" s="22" t="str">
        <f t="shared" si="55"/>
        <v>2023-12-19</v>
      </c>
      <c r="E769" s="22" t="str">
        <f t="shared" si="56"/>
        <v>2024-06-24</v>
      </c>
      <c r="F769" s="22">
        <f t="shared" si="57"/>
        <v>188</v>
      </c>
      <c r="J769" t="str">
        <f t="shared" si="58"/>
        <v>Иванова Анна СергеевнаФедорова Ксения Романовна</v>
      </c>
      <c r="K769" t="s">
        <v>28</v>
      </c>
      <c r="L769" t="s">
        <v>192</v>
      </c>
      <c r="M769" t="s">
        <v>391</v>
      </c>
      <c r="N769" t="str">
        <f t="shared" si="59"/>
        <v>Ткаченко Андрей ОлеговичКузнецов Никита Андреевич</v>
      </c>
      <c r="O769" t="s">
        <v>5</v>
      </c>
      <c r="P769" t="s">
        <v>20</v>
      </c>
      <c r="Q769" t="s">
        <v>206</v>
      </c>
    </row>
    <row r="770" spans="2:17" x14ac:dyDescent="0.3">
      <c r="B770" t="s">
        <v>8</v>
      </c>
      <c r="C770" t="s">
        <v>6</v>
      </c>
      <c r="D770" s="22" t="str">
        <f t="shared" si="55"/>
        <v>2024-05-13</v>
      </c>
      <c r="E770" s="22" t="str">
        <f t="shared" si="56"/>
        <v>2024-05-13</v>
      </c>
      <c r="F770" s="22">
        <f t="shared" si="57"/>
        <v>0</v>
      </c>
      <c r="J770" t="str">
        <f t="shared" si="58"/>
        <v>Орлов Павел ДенисовичСидоров Александр Артемович</v>
      </c>
      <c r="K770" t="s">
        <v>45</v>
      </c>
      <c r="L770" t="s">
        <v>77</v>
      </c>
      <c r="M770" t="s">
        <v>391</v>
      </c>
      <c r="N770" t="str">
        <f t="shared" si="59"/>
        <v>Петров Владимир КирилловичПавлов Михаил Геннадьевич</v>
      </c>
      <c r="O770" t="s">
        <v>50</v>
      </c>
      <c r="P770" t="s">
        <v>154</v>
      </c>
      <c r="Q770" t="s">
        <v>206</v>
      </c>
    </row>
    <row r="771" spans="2:17" x14ac:dyDescent="0.3">
      <c r="B771" t="s">
        <v>8</v>
      </c>
      <c r="C771" t="s">
        <v>75</v>
      </c>
      <c r="D771" s="22" t="str">
        <f t="shared" ref="D771:D815" si="60">VLOOKUP(B771&amp;C771,J:M,4,0)</f>
        <v>2024-05-31</v>
      </c>
      <c r="E771" s="22" t="str">
        <f t="shared" ref="E771:E815" si="61">VLOOKUP(B771&amp;C771,N:Q,4,0)</f>
        <v>2024-05-31</v>
      </c>
      <c r="F771" s="22">
        <f t="shared" ref="F771:F815" si="62">E771-D771</f>
        <v>0</v>
      </c>
      <c r="J771" t="str">
        <f t="shared" ref="J771:J834" si="63">K771&amp;L771</f>
        <v>Новикова Ольга ПетровнаНиколаева София Геннадьевна</v>
      </c>
      <c r="K771" t="s">
        <v>47</v>
      </c>
      <c r="L771" t="s">
        <v>315</v>
      </c>
      <c r="M771" t="s">
        <v>392</v>
      </c>
      <c r="N771" t="str">
        <f t="shared" ref="N771:N834" si="64">O771&amp;P771</f>
        <v>Семенова Ирина ВалерьевнаСидоров Роман Кириллович</v>
      </c>
      <c r="O771" t="s">
        <v>12</v>
      </c>
      <c r="P771" t="s">
        <v>110</v>
      </c>
      <c r="Q771" t="s">
        <v>206</v>
      </c>
    </row>
    <row r="772" spans="2:17" x14ac:dyDescent="0.3">
      <c r="B772" t="s">
        <v>8</v>
      </c>
      <c r="C772" t="s">
        <v>147</v>
      </c>
      <c r="D772" s="22" t="str">
        <f t="shared" si="60"/>
        <v>2024-03-25</v>
      </c>
      <c r="E772" s="22" t="str">
        <f t="shared" si="61"/>
        <v>2024-03-25</v>
      </c>
      <c r="F772" s="22">
        <f t="shared" si="62"/>
        <v>0</v>
      </c>
      <c r="J772" t="str">
        <f t="shared" si="63"/>
        <v>Новикова Ольга ПетровнаКузнецов Михаил Артемович</v>
      </c>
      <c r="K772" t="s">
        <v>47</v>
      </c>
      <c r="L772" t="s">
        <v>67</v>
      </c>
      <c r="M772" t="s">
        <v>392</v>
      </c>
      <c r="N772" t="str">
        <f t="shared" si="64"/>
        <v>Ткаченко Андрей ОлеговичСмирнова Дарья Александровна</v>
      </c>
      <c r="O772" t="s">
        <v>5</v>
      </c>
      <c r="P772" t="s">
        <v>203</v>
      </c>
      <c r="Q772" t="s">
        <v>204</v>
      </c>
    </row>
    <row r="773" spans="2:17" x14ac:dyDescent="0.3">
      <c r="B773" t="s">
        <v>8</v>
      </c>
      <c r="C773" t="s">
        <v>289</v>
      </c>
      <c r="D773" s="22" t="str">
        <f t="shared" si="60"/>
        <v>2024-02-07</v>
      </c>
      <c r="E773" s="22" t="str">
        <f t="shared" si="61"/>
        <v>2024-02-07</v>
      </c>
      <c r="F773" s="22">
        <f t="shared" si="62"/>
        <v>0</v>
      </c>
      <c r="J773" t="str">
        <f t="shared" si="63"/>
        <v>Новикова Ольга ПетровнаСеменова Полина Артемовна</v>
      </c>
      <c r="K773" t="s">
        <v>47</v>
      </c>
      <c r="L773" t="s">
        <v>119</v>
      </c>
      <c r="M773" t="s">
        <v>392</v>
      </c>
      <c r="N773" t="str">
        <f t="shared" si="64"/>
        <v>Кузнецов Дмитрий ЛьвовичЛебедева Виктория Дмитриевна</v>
      </c>
      <c r="O773" t="s">
        <v>10</v>
      </c>
      <c r="P773" t="s">
        <v>6</v>
      </c>
      <c r="Q773" t="s">
        <v>201</v>
      </c>
    </row>
    <row r="774" spans="2:17" x14ac:dyDescent="0.3">
      <c r="B774" t="s">
        <v>8</v>
      </c>
      <c r="C774" t="s">
        <v>46</v>
      </c>
      <c r="D774" s="22" t="str">
        <f t="shared" si="60"/>
        <v>2024-04-02</v>
      </c>
      <c r="E774" s="22" t="str">
        <f t="shared" si="61"/>
        <v>2024-04-02</v>
      </c>
      <c r="F774" s="22">
        <f t="shared" si="62"/>
        <v>0</v>
      </c>
      <c r="J774" t="str">
        <f t="shared" si="63"/>
        <v>Новикова Ольга ПетровнаВасильев Константин Геннадьевич</v>
      </c>
      <c r="K774" t="s">
        <v>47</v>
      </c>
      <c r="L774" t="s">
        <v>221</v>
      </c>
      <c r="M774" t="s">
        <v>392</v>
      </c>
      <c r="N774" t="str">
        <f t="shared" si="64"/>
        <v>Ткаченко Андрей ОлеговичПетров Алексей Олегович</v>
      </c>
      <c r="O774" t="s">
        <v>5</v>
      </c>
      <c r="P774" t="s">
        <v>190</v>
      </c>
      <c r="Q774" t="s">
        <v>201</v>
      </c>
    </row>
    <row r="775" spans="2:17" x14ac:dyDescent="0.3">
      <c r="B775" t="s">
        <v>8</v>
      </c>
      <c r="C775" t="s">
        <v>84</v>
      </c>
      <c r="D775" s="22" t="str">
        <f t="shared" si="60"/>
        <v>2023-12-11</v>
      </c>
      <c r="E775" s="22" t="str">
        <f t="shared" si="61"/>
        <v>2024-03-18</v>
      </c>
      <c r="F775" s="22">
        <f t="shared" si="62"/>
        <v>98</v>
      </c>
      <c r="J775" t="str">
        <f t="shared" si="63"/>
        <v>Орлов Павел ДенисовичФедорова Ксения Романовна</v>
      </c>
      <c r="K775" t="s">
        <v>45</v>
      </c>
      <c r="L775" t="s">
        <v>192</v>
      </c>
      <c r="M775" t="s">
        <v>392</v>
      </c>
      <c r="N775" t="str">
        <f t="shared" si="64"/>
        <v>Семенова Ирина ВалерьевнаНиколаев Роман Ильич</v>
      </c>
      <c r="O775" t="s">
        <v>12</v>
      </c>
      <c r="P775" t="s">
        <v>202</v>
      </c>
      <c r="Q775" t="s">
        <v>201</v>
      </c>
    </row>
    <row r="776" spans="2:17" x14ac:dyDescent="0.3">
      <c r="B776" t="s">
        <v>8</v>
      </c>
      <c r="C776" t="s">
        <v>80</v>
      </c>
      <c r="D776" s="22" t="str">
        <f t="shared" si="60"/>
        <v>2023-09-19</v>
      </c>
      <c r="E776" s="22" t="str">
        <f t="shared" si="61"/>
        <v>2023-09-25</v>
      </c>
      <c r="F776" s="22">
        <f t="shared" si="62"/>
        <v>6</v>
      </c>
      <c r="J776" t="str">
        <f t="shared" si="63"/>
        <v>Новикова Ольга ПетровнаНовикова Ирина Геннадьевна</v>
      </c>
      <c r="K776" t="s">
        <v>47</v>
      </c>
      <c r="L776" t="s">
        <v>105</v>
      </c>
      <c r="M776" t="s">
        <v>393</v>
      </c>
      <c r="N776" t="str">
        <f t="shared" si="64"/>
        <v>Ткаченко Андрей ОлеговичСеменов Дмитрий Олегович</v>
      </c>
      <c r="O776" t="s">
        <v>5</v>
      </c>
      <c r="P776" t="s">
        <v>9</v>
      </c>
      <c r="Q776" t="s">
        <v>201</v>
      </c>
    </row>
    <row r="777" spans="2:17" x14ac:dyDescent="0.3">
      <c r="B777" t="s">
        <v>8</v>
      </c>
      <c r="C777" t="s">
        <v>227</v>
      </c>
      <c r="D777" s="22" t="str">
        <f t="shared" si="60"/>
        <v>2023-12-18</v>
      </c>
      <c r="E777" s="22" t="str">
        <f t="shared" si="61"/>
        <v>2023-12-18</v>
      </c>
      <c r="F777" s="22">
        <f t="shared" si="62"/>
        <v>0</v>
      </c>
      <c r="J777" t="str">
        <f t="shared" si="63"/>
        <v>Кузнецов Дмитрий ЛьвовичНиколаева Юлия Егоровна</v>
      </c>
      <c r="K777" t="s">
        <v>10</v>
      </c>
      <c r="L777" t="s">
        <v>126</v>
      </c>
      <c r="M777" t="s">
        <v>393</v>
      </c>
      <c r="N777" t="str">
        <f t="shared" si="64"/>
        <v>Фролов Сергей ВикторовичПетров Илья Андреевич</v>
      </c>
      <c r="O777" t="s">
        <v>40</v>
      </c>
      <c r="P777" t="s">
        <v>70</v>
      </c>
      <c r="Q777" t="s">
        <v>201</v>
      </c>
    </row>
    <row r="778" spans="2:17" x14ac:dyDescent="0.3">
      <c r="B778" t="s">
        <v>8</v>
      </c>
      <c r="C778" t="s">
        <v>193</v>
      </c>
      <c r="D778" s="22" t="str">
        <f t="shared" si="60"/>
        <v>2024-01-31</v>
      </c>
      <c r="E778" s="22" t="str">
        <f t="shared" si="61"/>
        <v>2024-07-05</v>
      </c>
      <c r="F778" s="22">
        <f t="shared" si="62"/>
        <v>156</v>
      </c>
      <c r="J778" t="str">
        <f t="shared" si="63"/>
        <v>Белов Алексей КонстантиновичАлексеева Елена Кирилловна</v>
      </c>
      <c r="K778" t="s">
        <v>21</v>
      </c>
      <c r="L778" t="s">
        <v>176</v>
      </c>
      <c r="M778" t="s">
        <v>393</v>
      </c>
      <c r="N778" t="str">
        <f t="shared" si="64"/>
        <v>Фролов Сергей ВикторовичФедорова Виктория Михайловна</v>
      </c>
      <c r="O778" t="s">
        <v>40</v>
      </c>
      <c r="P778" t="s">
        <v>197</v>
      </c>
      <c r="Q778" t="s">
        <v>198</v>
      </c>
    </row>
    <row r="779" spans="2:17" x14ac:dyDescent="0.3">
      <c r="B779" t="s">
        <v>8</v>
      </c>
      <c r="C779" t="s">
        <v>126</v>
      </c>
      <c r="D779" s="22" t="str">
        <f t="shared" si="60"/>
        <v>2023-10-19</v>
      </c>
      <c r="E779" s="22" t="str">
        <f t="shared" si="61"/>
        <v>2023-10-19</v>
      </c>
      <c r="F779" s="22">
        <f t="shared" si="62"/>
        <v>0</v>
      </c>
      <c r="J779" t="str">
        <f t="shared" si="63"/>
        <v>Новикова Ольга ПетровнаВасильев Матвей Геннадьевич</v>
      </c>
      <c r="K779" t="s">
        <v>47</v>
      </c>
      <c r="L779" t="s">
        <v>160</v>
      </c>
      <c r="M779" t="s">
        <v>393</v>
      </c>
      <c r="N779" t="str">
        <f t="shared" si="64"/>
        <v>Белов Алексей КонстантиновичФедорова Людмила Кирилловна</v>
      </c>
      <c r="O779" t="s">
        <v>21</v>
      </c>
      <c r="P779" t="s">
        <v>199</v>
      </c>
      <c r="Q779" t="s">
        <v>198</v>
      </c>
    </row>
    <row r="780" spans="2:17" x14ac:dyDescent="0.3">
      <c r="B780" t="s">
        <v>8</v>
      </c>
      <c r="C780" t="s">
        <v>36</v>
      </c>
      <c r="D780" s="22" t="str">
        <f t="shared" si="60"/>
        <v>2024-06-24</v>
      </c>
      <c r="E780" s="22" t="str">
        <f t="shared" si="61"/>
        <v>2024-06-24</v>
      </c>
      <c r="F780" s="22">
        <f t="shared" si="62"/>
        <v>0</v>
      </c>
      <c r="J780" t="str">
        <f t="shared" si="63"/>
        <v>Орлов Павел ДенисовичФедорова Людмила Кирилловна</v>
      </c>
      <c r="K780" t="s">
        <v>45</v>
      </c>
      <c r="L780" t="s">
        <v>199</v>
      </c>
      <c r="M780" t="s">
        <v>393</v>
      </c>
      <c r="N780" t="str">
        <f t="shared" si="64"/>
        <v>Белов Алексей КонстантиновичВасильев Михаил Павлович</v>
      </c>
      <c r="O780" t="s">
        <v>21</v>
      </c>
      <c r="P780" t="s">
        <v>200</v>
      </c>
      <c r="Q780" t="s">
        <v>198</v>
      </c>
    </row>
    <row r="781" spans="2:17" x14ac:dyDescent="0.3">
      <c r="B781" t="s">
        <v>8</v>
      </c>
      <c r="C781" t="s">
        <v>105</v>
      </c>
      <c r="D781" s="22" t="str">
        <f t="shared" si="60"/>
        <v>2024-06-10</v>
      </c>
      <c r="E781" s="22" t="str">
        <f t="shared" si="61"/>
        <v>2024-06-10</v>
      </c>
      <c r="F781" s="22">
        <f t="shared" si="62"/>
        <v>0</v>
      </c>
      <c r="J781" t="str">
        <f t="shared" si="63"/>
        <v>Яковлев Артем ИгоревичПавлова София Владимировна</v>
      </c>
      <c r="K781" t="s">
        <v>8</v>
      </c>
      <c r="L781" t="s">
        <v>394</v>
      </c>
      <c r="M781" t="s">
        <v>393</v>
      </c>
      <c r="N781" t="str">
        <f t="shared" si="64"/>
        <v>Петров Владимир КирилловичПетров Алексей Олегович</v>
      </c>
      <c r="O781" t="s">
        <v>50</v>
      </c>
      <c r="P781" t="s">
        <v>190</v>
      </c>
      <c r="Q781" t="s">
        <v>198</v>
      </c>
    </row>
    <row r="782" spans="2:17" x14ac:dyDescent="0.3">
      <c r="B782" t="s">
        <v>8</v>
      </c>
      <c r="C782" t="s">
        <v>195</v>
      </c>
      <c r="D782" s="22" t="str">
        <f t="shared" si="60"/>
        <v>2024-08-13</v>
      </c>
      <c r="E782" s="22" t="str">
        <f t="shared" si="61"/>
        <v>2024-08-13</v>
      </c>
      <c r="F782" s="22">
        <f t="shared" si="62"/>
        <v>0</v>
      </c>
      <c r="J782" t="str">
        <f t="shared" si="63"/>
        <v>Новикова Ольга ПетровнаЛебедева Виктория Дмитриевна</v>
      </c>
      <c r="K782" t="s">
        <v>47</v>
      </c>
      <c r="L782" t="s">
        <v>6</v>
      </c>
      <c r="M782" t="s">
        <v>395</v>
      </c>
      <c r="N782" t="str">
        <f t="shared" si="64"/>
        <v>Сидорова Елена ВасильевнаВасильев Матвей Романович</v>
      </c>
      <c r="O782" t="s">
        <v>18</v>
      </c>
      <c r="P782" t="s">
        <v>24</v>
      </c>
      <c r="Q782" t="s">
        <v>196</v>
      </c>
    </row>
    <row r="783" spans="2:17" x14ac:dyDescent="0.3">
      <c r="B783" t="s">
        <v>8</v>
      </c>
      <c r="C783" t="s">
        <v>247</v>
      </c>
      <c r="D783" s="22" t="str">
        <f t="shared" si="60"/>
        <v>2024-07-01</v>
      </c>
      <c r="E783" s="22" t="str">
        <f t="shared" si="61"/>
        <v>2024-07-01</v>
      </c>
      <c r="F783" s="22">
        <f t="shared" si="62"/>
        <v>0</v>
      </c>
      <c r="J783" t="str">
        <f t="shared" si="63"/>
        <v>Новикова Ольга ПетровнаЛебедева Полина Ивановна</v>
      </c>
      <c r="K783" t="s">
        <v>47</v>
      </c>
      <c r="L783" t="s">
        <v>19</v>
      </c>
      <c r="M783" t="s">
        <v>395</v>
      </c>
      <c r="N783" t="str">
        <f t="shared" si="64"/>
        <v>Громова Мария ИльиничнаПетрова Валерия Павловна</v>
      </c>
      <c r="O783" t="s">
        <v>14</v>
      </c>
      <c r="P783" t="s">
        <v>32</v>
      </c>
      <c r="Q783" t="s">
        <v>196</v>
      </c>
    </row>
    <row r="784" spans="2:17" x14ac:dyDescent="0.3">
      <c r="B784" t="s">
        <v>8</v>
      </c>
      <c r="C784" t="s">
        <v>69</v>
      </c>
      <c r="D784" s="22" t="str">
        <f t="shared" si="60"/>
        <v>2023-09-21</v>
      </c>
      <c r="E784" s="22" t="str">
        <f t="shared" si="61"/>
        <v>2024-08-15</v>
      </c>
      <c r="F784" s="22">
        <f t="shared" si="62"/>
        <v>329</v>
      </c>
      <c r="J784" t="str">
        <f t="shared" si="63"/>
        <v>Иванова Анна СергеевнаПетров Иван Егорович</v>
      </c>
      <c r="K784" t="s">
        <v>28</v>
      </c>
      <c r="L784" t="s">
        <v>149</v>
      </c>
      <c r="M784" t="s">
        <v>395</v>
      </c>
      <c r="N784" t="str">
        <f t="shared" si="64"/>
        <v>Сидорова Елена ВасильевнаАлексеева Елена Кирилловна</v>
      </c>
      <c r="O784" t="s">
        <v>18</v>
      </c>
      <c r="P784" t="s">
        <v>176</v>
      </c>
      <c r="Q784" t="s">
        <v>189</v>
      </c>
    </row>
    <row r="785" spans="2:17" x14ac:dyDescent="0.3">
      <c r="B785" t="s">
        <v>8</v>
      </c>
      <c r="C785" t="s">
        <v>116</v>
      </c>
      <c r="D785" s="22" t="str">
        <f t="shared" si="60"/>
        <v>2024-02-26</v>
      </c>
      <c r="E785" s="22" t="str">
        <f t="shared" si="61"/>
        <v>2024-02-26</v>
      </c>
      <c r="F785" s="22">
        <f t="shared" si="62"/>
        <v>0</v>
      </c>
      <c r="J785" t="str">
        <f t="shared" si="63"/>
        <v>Новикова Ольга ПетровнаСмирнов Михаил Никитич</v>
      </c>
      <c r="K785" t="s">
        <v>47</v>
      </c>
      <c r="L785" t="s">
        <v>231</v>
      </c>
      <c r="M785" t="s">
        <v>396</v>
      </c>
      <c r="N785" t="str">
        <f t="shared" si="64"/>
        <v>Сидорова Елена ВасильевнаПетров Алексей Олегович</v>
      </c>
      <c r="O785" t="s">
        <v>18</v>
      </c>
      <c r="P785" t="s">
        <v>190</v>
      </c>
      <c r="Q785" t="s">
        <v>189</v>
      </c>
    </row>
    <row r="786" spans="2:17" x14ac:dyDescent="0.3">
      <c r="B786" t="s">
        <v>8</v>
      </c>
      <c r="C786" t="s">
        <v>60</v>
      </c>
      <c r="D786" s="22" t="str">
        <f t="shared" si="60"/>
        <v>2024-05-10</v>
      </c>
      <c r="E786" s="22" t="str">
        <f t="shared" si="61"/>
        <v>2024-05-10</v>
      </c>
      <c r="F786" s="22">
        <f t="shared" si="62"/>
        <v>0</v>
      </c>
      <c r="J786" t="str">
        <f t="shared" si="63"/>
        <v>Кузнецов Дмитрий ЛьвовичКузнецов Илья Артемович</v>
      </c>
      <c r="K786" t="s">
        <v>10</v>
      </c>
      <c r="L786" t="s">
        <v>185</v>
      </c>
      <c r="M786" t="s">
        <v>396</v>
      </c>
      <c r="N786" t="str">
        <f t="shared" si="64"/>
        <v>Орлов Павел ДенисовичНовикова Ирина Геннадьевна</v>
      </c>
      <c r="O786" t="s">
        <v>45</v>
      </c>
      <c r="P786" t="s">
        <v>105</v>
      </c>
      <c r="Q786" t="s">
        <v>189</v>
      </c>
    </row>
    <row r="787" spans="2:17" x14ac:dyDescent="0.3">
      <c r="B787" t="s">
        <v>8</v>
      </c>
      <c r="C787" t="s">
        <v>258</v>
      </c>
      <c r="D787" s="22" t="str">
        <f t="shared" si="60"/>
        <v>2024-03-21</v>
      </c>
      <c r="E787" s="22" t="str">
        <f t="shared" si="61"/>
        <v>2024-03-21</v>
      </c>
      <c r="F787" s="22">
        <f t="shared" si="62"/>
        <v>0</v>
      </c>
      <c r="J787" t="str">
        <f t="shared" si="63"/>
        <v>Орлов Павел ДенисовичСеменов Максим Геннадьевич</v>
      </c>
      <c r="K787" t="s">
        <v>45</v>
      </c>
      <c r="L787" t="s">
        <v>111</v>
      </c>
      <c r="M787" t="s">
        <v>397</v>
      </c>
      <c r="N787" t="str">
        <f t="shared" si="64"/>
        <v>Петров Владимир КирилловичНовиков Михаил Владимирович</v>
      </c>
      <c r="O787" t="s">
        <v>50</v>
      </c>
      <c r="P787" t="s">
        <v>36</v>
      </c>
      <c r="Q787" t="s">
        <v>189</v>
      </c>
    </row>
    <row r="788" spans="2:17" x14ac:dyDescent="0.3">
      <c r="B788" t="s">
        <v>8</v>
      </c>
      <c r="C788" t="s">
        <v>191</v>
      </c>
      <c r="D788" s="22" t="str">
        <f t="shared" si="60"/>
        <v>2024-01-10</v>
      </c>
      <c r="E788" s="22" t="str">
        <f t="shared" si="61"/>
        <v>2024-01-10</v>
      </c>
      <c r="F788" s="22">
        <f t="shared" si="62"/>
        <v>0</v>
      </c>
      <c r="J788" t="str">
        <f t="shared" si="63"/>
        <v>Яковлев Артем ИгоревичНовикова Ирина Геннадьевна</v>
      </c>
      <c r="K788" t="s">
        <v>8</v>
      </c>
      <c r="L788" t="s">
        <v>105</v>
      </c>
      <c r="M788" t="s">
        <v>397</v>
      </c>
      <c r="N788" t="str">
        <f t="shared" si="64"/>
        <v>Иванова Анна СергеевнаПавлов Алексей Геннадьевич</v>
      </c>
      <c r="O788" t="s">
        <v>28</v>
      </c>
      <c r="P788" t="s">
        <v>191</v>
      </c>
      <c r="Q788" t="s">
        <v>189</v>
      </c>
    </row>
    <row r="789" spans="2:17" x14ac:dyDescent="0.3">
      <c r="B789" t="s">
        <v>8</v>
      </c>
      <c r="C789" t="s">
        <v>273</v>
      </c>
      <c r="D789" s="22" t="str">
        <f t="shared" si="60"/>
        <v>2024-01-16</v>
      </c>
      <c r="E789" s="22" t="str">
        <f t="shared" si="61"/>
        <v>2024-01-16</v>
      </c>
      <c r="F789" s="22">
        <f t="shared" si="62"/>
        <v>0</v>
      </c>
      <c r="J789" t="str">
        <f t="shared" si="63"/>
        <v>Белов Алексей КонстантиновичКозлова Екатерина Олеговна</v>
      </c>
      <c r="K789" t="s">
        <v>21</v>
      </c>
      <c r="L789" t="s">
        <v>398</v>
      </c>
      <c r="M789" t="s">
        <v>397</v>
      </c>
      <c r="N789" t="str">
        <f t="shared" si="64"/>
        <v>Белов Алексей КонстантиновичФедорова Ксения Романовна</v>
      </c>
      <c r="O789" t="s">
        <v>21</v>
      </c>
      <c r="P789" t="s">
        <v>192</v>
      </c>
      <c r="Q789" t="s">
        <v>189</v>
      </c>
    </row>
    <row r="790" spans="2:17" x14ac:dyDescent="0.3">
      <c r="B790" t="s">
        <v>8</v>
      </c>
      <c r="C790" t="s">
        <v>72</v>
      </c>
      <c r="D790" s="22" t="str">
        <f t="shared" si="60"/>
        <v>2023-10-04</v>
      </c>
      <c r="E790" s="22" t="str">
        <f t="shared" si="61"/>
        <v>2024-06-17</v>
      </c>
      <c r="F790" s="22">
        <f t="shared" si="62"/>
        <v>257</v>
      </c>
      <c r="J790" t="str">
        <f t="shared" si="63"/>
        <v>Кузнецов Дмитрий ЛьвовичСмирнова Светлана Владимировна</v>
      </c>
      <c r="K790" t="s">
        <v>10</v>
      </c>
      <c r="L790" t="s">
        <v>207</v>
      </c>
      <c r="M790" t="s">
        <v>397</v>
      </c>
      <c r="N790" t="str">
        <f t="shared" si="64"/>
        <v>Сидорова Елена ВасильевнаНиколаева Полина Егоровна</v>
      </c>
      <c r="O790" t="s">
        <v>18</v>
      </c>
      <c r="P790" t="s">
        <v>193</v>
      </c>
      <c r="Q790" t="s">
        <v>189</v>
      </c>
    </row>
    <row r="791" spans="2:17" x14ac:dyDescent="0.3">
      <c r="B791" t="s">
        <v>8</v>
      </c>
      <c r="C791" t="s">
        <v>394</v>
      </c>
      <c r="D791" s="22" t="str">
        <f t="shared" si="60"/>
        <v>2024-06-05</v>
      </c>
      <c r="E791" s="22" t="str">
        <f t="shared" si="61"/>
        <v>2024-06-05</v>
      </c>
      <c r="F791" s="22">
        <f t="shared" si="62"/>
        <v>0</v>
      </c>
      <c r="J791" t="str">
        <f t="shared" si="63"/>
        <v>Петров Владимир КирилловичПетров Иван Егорович</v>
      </c>
      <c r="K791" t="s">
        <v>50</v>
      </c>
      <c r="L791" t="s">
        <v>149</v>
      </c>
      <c r="M791" t="s">
        <v>397</v>
      </c>
      <c r="N791" t="str">
        <f t="shared" si="64"/>
        <v>Сидорова Елена ВасильевнаВасильева Людмила Ивановна</v>
      </c>
      <c r="O791" t="s">
        <v>18</v>
      </c>
      <c r="P791" t="s">
        <v>140</v>
      </c>
      <c r="Q791" t="s">
        <v>189</v>
      </c>
    </row>
    <row r="792" spans="2:17" x14ac:dyDescent="0.3">
      <c r="B792" t="s">
        <v>8</v>
      </c>
      <c r="C792" t="s">
        <v>66</v>
      </c>
      <c r="D792" s="22" t="str">
        <f t="shared" si="60"/>
        <v>2024-02-20</v>
      </c>
      <c r="E792" s="22" t="str">
        <f t="shared" si="61"/>
        <v>2024-02-20</v>
      </c>
      <c r="F792" s="22">
        <f t="shared" si="62"/>
        <v>0</v>
      </c>
      <c r="J792" t="str">
        <f t="shared" si="63"/>
        <v>Сидорова Елена ВасильевнаНовикова Мария Викторовна</v>
      </c>
      <c r="K792" t="s">
        <v>18</v>
      </c>
      <c r="L792" t="s">
        <v>247</v>
      </c>
      <c r="M792" t="s">
        <v>397</v>
      </c>
      <c r="N792" t="str">
        <f t="shared" si="64"/>
        <v>Белов Алексей КонстантиновичСеменова Наталья Павловна</v>
      </c>
      <c r="O792" t="s">
        <v>21</v>
      </c>
      <c r="P792" t="s">
        <v>194</v>
      </c>
      <c r="Q792" t="s">
        <v>189</v>
      </c>
    </row>
    <row r="793" spans="2:17" x14ac:dyDescent="0.3">
      <c r="B793" t="s">
        <v>8</v>
      </c>
      <c r="C793" t="s">
        <v>149</v>
      </c>
      <c r="D793" s="22" t="str">
        <f t="shared" si="60"/>
        <v>2024-01-15</v>
      </c>
      <c r="E793" s="22" t="str">
        <f t="shared" si="61"/>
        <v>2024-07-30</v>
      </c>
      <c r="F793" s="22">
        <f t="shared" si="62"/>
        <v>197</v>
      </c>
      <c r="J793" t="str">
        <f t="shared" si="63"/>
        <v>Орлов Павел ДенисовичСтепанов Александр Станиславович</v>
      </c>
      <c r="K793" t="s">
        <v>45</v>
      </c>
      <c r="L793" t="s">
        <v>122</v>
      </c>
      <c r="M793" t="s">
        <v>397</v>
      </c>
      <c r="N793" t="str">
        <f t="shared" si="64"/>
        <v>Ткаченко Андрей ОлеговичНовикова Ирина Юрьевна</v>
      </c>
      <c r="O793" t="s">
        <v>5</v>
      </c>
      <c r="P793" t="s">
        <v>195</v>
      </c>
      <c r="Q793" t="s">
        <v>189</v>
      </c>
    </row>
    <row r="794" spans="2:17" x14ac:dyDescent="0.3">
      <c r="B794" t="s">
        <v>8</v>
      </c>
      <c r="C794" t="s">
        <v>70</v>
      </c>
      <c r="D794" s="22" t="str">
        <f t="shared" si="60"/>
        <v>2024-04-05</v>
      </c>
      <c r="E794" s="22" t="str">
        <f t="shared" si="61"/>
        <v>2024-04-05</v>
      </c>
      <c r="F794" s="22">
        <f t="shared" si="62"/>
        <v>0</v>
      </c>
      <c r="J794" t="str">
        <f t="shared" si="63"/>
        <v>Сидорова Елена ВасильевнаЕгорова Алиса Егоровна</v>
      </c>
      <c r="K794" t="s">
        <v>18</v>
      </c>
      <c r="L794" t="s">
        <v>144</v>
      </c>
      <c r="M794" t="s">
        <v>397</v>
      </c>
      <c r="N794" t="str">
        <f t="shared" si="64"/>
        <v>Орлов Павел ДенисовичСмирнова Алиса Сергеевна</v>
      </c>
      <c r="O794" t="s">
        <v>45</v>
      </c>
      <c r="P794" t="s">
        <v>117</v>
      </c>
      <c r="Q794" t="s">
        <v>188</v>
      </c>
    </row>
    <row r="795" spans="2:17" x14ac:dyDescent="0.3">
      <c r="B795" t="s">
        <v>8</v>
      </c>
      <c r="C795" t="s">
        <v>92</v>
      </c>
      <c r="D795" s="22" t="str">
        <f t="shared" si="60"/>
        <v>2023-09-25</v>
      </c>
      <c r="E795" s="22" t="str">
        <f t="shared" si="61"/>
        <v>2023-09-25</v>
      </c>
      <c r="F795" s="22">
        <f t="shared" si="62"/>
        <v>0</v>
      </c>
      <c r="J795" t="str">
        <f t="shared" si="63"/>
        <v>Белов Алексей КонстантиновичСеменова Полина Артемовна</v>
      </c>
      <c r="K795" t="s">
        <v>21</v>
      </c>
      <c r="L795" t="s">
        <v>119</v>
      </c>
      <c r="M795" t="s">
        <v>397</v>
      </c>
      <c r="N795" t="str">
        <f t="shared" si="64"/>
        <v>Белов Алексей КонстантиновичФедоров Владимир Артемович</v>
      </c>
      <c r="O795" t="s">
        <v>21</v>
      </c>
      <c r="P795" t="s">
        <v>88</v>
      </c>
      <c r="Q795" t="s">
        <v>187</v>
      </c>
    </row>
    <row r="796" spans="2:17" x14ac:dyDescent="0.3">
      <c r="B796" t="s">
        <v>8</v>
      </c>
      <c r="C796" t="s">
        <v>109</v>
      </c>
      <c r="D796" s="22" t="str">
        <f t="shared" si="60"/>
        <v>2023-11-06</v>
      </c>
      <c r="E796" s="22" t="str">
        <f t="shared" si="61"/>
        <v>2024-05-23</v>
      </c>
      <c r="F796" s="22">
        <f t="shared" si="62"/>
        <v>199</v>
      </c>
      <c r="J796" t="str">
        <f t="shared" si="63"/>
        <v>Яковлев Артем ИгоревичВасильева Ирина Павловна</v>
      </c>
      <c r="K796" t="s">
        <v>8</v>
      </c>
      <c r="L796" t="s">
        <v>130</v>
      </c>
      <c r="M796" t="s">
        <v>397</v>
      </c>
      <c r="N796" t="str">
        <f t="shared" si="64"/>
        <v>Громова Мария ИльиничнаЛебедев Максим Михайлович</v>
      </c>
      <c r="O796" t="s">
        <v>14</v>
      </c>
      <c r="P796" t="s">
        <v>183</v>
      </c>
      <c r="Q796" t="s">
        <v>184</v>
      </c>
    </row>
    <row r="797" spans="2:17" x14ac:dyDescent="0.3">
      <c r="B797" t="s">
        <v>8</v>
      </c>
      <c r="C797" t="s">
        <v>90</v>
      </c>
      <c r="D797" s="22" t="str">
        <f t="shared" si="60"/>
        <v>2023-12-22</v>
      </c>
      <c r="E797" s="22" t="str">
        <f t="shared" si="61"/>
        <v>2024-05-08</v>
      </c>
      <c r="F797" s="22">
        <f t="shared" si="62"/>
        <v>138</v>
      </c>
      <c r="J797" t="str">
        <f t="shared" si="63"/>
        <v>Сидорова Елена ВасильевнаНиколаев Артем Олегович</v>
      </c>
      <c r="K797" t="s">
        <v>18</v>
      </c>
      <c r="L797" t="s">
        <v>80</v>
      </c>
      <c r="M797" t="s">
        <v>399</v>
      </c>
      <c r="N797" t="str">
        <f t="shared" si="64"/>
        <v>Иванова Анна СергеевнаКузнецов Илья Артемович</v>
      </c>
      <c r="O797" t="s">
        <v>28</v>
      </c>
      <c r="P797" t="s">
        <v>185</v>
      </c>
      <c r="Q797" t="s">
        <v>184</v>
      </c>
    </row>
    <row r="798" spans="2:17" x14ac:dyDescent="0.3">
      <c r="B798" t="s">
        <v>8</v>
      </c>
      <c r="C798" t="s">
        <v>256</v>
      </c>
      <c r="D798" s="22" t="str">
        <f t="shared" si="60"/>
        <v>2024-08-05</v>
      </c>
      <c r="E798" s="22" t="str">
        <f t="shared" si="61"/>
        <v>2024-08-05</v>
      </c>
      <c r="F798" s="22">
        <f t="shared" si="62"/>
        <v>0</v>
      </c>
      <c r="J798" t="str">
        <f t="shared" si="63"/>
        <v>Громова Мария ИльиничнаВасильев Никита Павлович</v>
      </c>
      <c r="K798" t="s">
        <v>14</v>
      </c>
      <c r="L798" t="s">
        <v>89</v>
      </c>
      <c r="M798" t="s">
        <v>399</v>
      </c>
      <c r="N798" t="str">
        <f t="shared" si="64"/>
        <v>Ткаченко Андрей ОлеговичЛебедева Полина Ивановна</v>
      </c>
      <c r="O798" t="s">
        <v>5</v>
      </c>
      <c r="P798" t="s">
        <v>19</v>
      </c>
      <c r="Q798" t="s">
        <v>184</v>
      </c>
    </row>
    <row r="799" spans="2:17" x14ac:dyDescent="0.3">
      <c r="B799" t="s">
        <v>8</v>
      </c>
      <c r="C799" t="s">
        <v>232</v>
      </c>
      <c r="D799" s="22" t="str">
        <f t="shared" si="60"/>
        <v>2023-12-11</v>
      </c>
      <c r="E799" s="22" t="str">
        <f t="shared" si="61"/>
        <v>2023-12-11</v>
      </c>
      <c r="F799" s="22">
        <f t="shared" si="62"/>
        <v>0</v>
      </c>
      <c r="J799" t="str">
        <f t="shared" si="63"/>
        <v>Ткаченко Андрей ОлеговичЛебедева Татьяна Павловна</v>
      </c>
      <c r="K799" t="s">
        <v>5</v>
      </c>
      <c r="L799" t="s">
        <v>387</v>
      </c>
      <c r="M799" t="s">
        <v>399</v>
      </c>
      <c r="N799" t="str">
        <f t="shared" si="64"/>
        <v>Громова Мария ИльиничнаКузнецов Дмитрий Павлович</v>
      </c>
      <c r="O799" t="s">
        <v>14</v>
      </c>
      <c r="P799" t="s">
        <v>186</v>
      </c>
      <c r="Q799" t="s">
        <v>184</v>
      </c>
    </row>
    <row r="800" spans="2:17" x14ac:dyDescent="0.3">
      <c r="B800" t="s">
        <v>8</v>
      </c>
      <c r="C800" t="s">
        <v>9</v>
      </c>
      <c r="D800" s="22" t="str">
        <f t="shared" si="60"/>
        <v>2023-09-01</v>
      </c>
      <c r="E800" s="22" t="str">
        <f t="shared" si="61"/>
        <v>2023-10-27</v>
      </c>
      <c r="F800" s="22">
        <f t="shared" si="62"/>
        <v>56</v>
      </c>
      <c r="J800" t="str">
        <f t="shared" si="63"/>
        <v>Сидорова Елена ВасильевнаКузнецова Дарья Дмитриевна</v>
      </c>
      <c r="K800" t="s">
        <v>18</v>
      </c>
      <c r="L800" t="s">
        <v>43</v>
      </c>
      <c r="M800" t="s">
        <v>399</v>
      </c>
      <c r="N800" t="str">
        <f t="shared" si="64"/>
        <v>Фролов Сергей ВикторовичКузнецов Иван Ильич</v>
      </c>
      <c r="O800" t="s">
        <v>40</v>
      </c>
      <c r="P800" t="s">
        <v>178</v>
      </c>
      <c r="Q800" t="s">
        <v>179</v>
      </c>
    </row>
    <row r="801" spans="2:17" x14ac:dyDescent="0.3">
      <c r="B801" t="s">
        <v>8</v>
      </c>
      <c r="C801" t="s">
        <v>111</v>
      </c>
      <c r="D801" s="22" t="str">
        <f t="shared" si="60"/>
        <v>2024-04-02</v>
      </c>
      <c r="E801" s="22" t="str">
        <f t="shared" si="61"/>
        <v>2024-04-02</v>
      </c>
      <c r="F801" s="22">
        <f t="shared" si="62"/>
        <v>0</v>
      </c>
      <c r="J801" t="str">
        <f t="shared" si="63"/>
        <v>Белов Алексей КонстантиновичВасильева Людмила Ивановна</v>
      </c>
      <c r="K801" t="s">
        <v>21</v>
      </c>
      <c r="L801" t="s">
        <v>140</v>
      </c>
      <c r="M801" t="s">
        <v>400</v>
      </c>
      <c r="N801" t="str">
        <f t="shared" si="64"/>
        <v>Орлов Павел ДенисовичМорозова Валерия Ильинична</v>
      </c>
      <c r="O801" t="s">
        <v>45</v>
      </c>
      <c r="P801" t="s">
        <v>174</v>
      </c>
      <c r="Q801" t="s">
        <v>179</v>
      </c>
    </row>
    <row r="802" spans="2:17" x14ac:dyDescent="0.3">
      <c r="B802" t="s">
        <v>8</v>
      </c>
      <c r="C802" t="s">
        <v>58</v>
      </c>
      <c r="D802" s="22" t="str">
        <f t="shared" si="60"/>
        <v>2023-09-12</v>
      </c>
      <c r="E802" s="22" t="str">
        <f t="shared" si="61"/>
        <v>2023-09-12</v>
      </c>
      <c r="F802" s="22">
        <f t="shared" si="62"/>
        <v>0</v>
      </c>
      <c r="J802" t="str">
        <f t="shared" si="63"/>
        <v>Орлов Павел ДенисовичКозлова София Станиславовна</v>
      </c>
      <c r="K802" t="s">
        <v>45</v>
      </c>
      <c r="L802" t="s">
        <v>54</v>
      </c>
      <c r="M802" t="s">
        <v>401</v>
      </c>
      <c r="N802" t="str">
        <f t="shared" si="64"/>
        <v>Яковлев Артем ИгоревичПопов Иван Михайлович</v>
      </c>
      <c r="O802" t="s">
        <v>8</v>
      </c>
      <c r="P802" t="s">
        <v>109</v>
      </c>
      <c r="Q802" t="s">
        <v>179</v>
      </c>
    </row>
    <row r="803" spans="2:17" x14ac:dyDescent="0.3">
      <c r="B803" t="s">
        <v>8</v>
      </c>
      <c r="C803" t="s">
        <v>119</v>
      </c>
      <c r="D803" s="22" t="str">
        <f t="shared" si="60"/>
        <v>2024-04-01</v>
      </c>
      <c r="E803" s="22" t="str">
        <f t="shared" si="61"/>
        <v>2024-04-01</v>
      </c>
      <c r="F803" s="22">
        <f t="shared" si="62"/>
        <v>0</v>
      </c>
      <c r="J803" t="str">
        <f t="shared" si="63"/>
        <v>Яковлев Артем ИгоревичЕгоров Максим Олегович</v>
      </c>
      <c r="K803" t="s">
        <v>8</v>
      </c>
      <c r="L803" t="s">
        <v>114</v>
      </c>
      <c r="M803" t="s">
        <v>401</v>
      </c>
      <c r="N803" t="str">
        <f t="shared" si="64"/>
        <v>Фролов Сергей ВикторовичМорозов Павел Ильич</v>
      </c>
      <c r="O803" t="s">
        <v>40</v>
      </c>
      <c r="P803" t="s">
        <v>146</v>
      </c>
      <c r="Q803" t="s">
        <v>179</v>
      </c>
    </row>
    <row r="804" spans="2:17" x14ac:dyDescent="0.3">
      <c r="B804" t="s">
        <v>8</v>
      </c>
      <c r="C804" t="s">
        <v>166</v>
      </c>
      <c r="D804" s="22" t="str">
        <f t="shared" si="60"/>
        <v>2024-01-02</v>
      </c>
      <c r="E804" s="22" t="str">
        <f t="shared" si="61"/>
        <v>2024-03-21</v>
      </c>
      <c r="F804" s="22">
        <f t="shared" si="62"/>
        <v>79</v>
      </c>
      <c r="J804" t="str">
        <f t="shared" si="63"/>
        <v>Фролов Сергей ВикторовичНовикова Анна Геннадьевна</v>
      </c>
      <c r="K804" t="s">
        <v>40</v>
      </c>
      <c r="L804" t="s">
        <v>402</v>
      </c>
      <c r="M804" t="s">
        <v>401</v>
      </c>
      <c r="N804" t="str">
        <f t="shared" si="64"/>
        <v>Фролов Сергей ВикторовичПавлов Георгий Андреевич</v>
      </c>
      <c r="O804" t="s">
        <v>40</v>
      </c>
      <c r="P804" t="s">
        <v>72</v>
      </c>
      <c r="Q804" t="s">
        <v>179</v>
      </c>
    </row>
    <row r="805" spans="2:17" x14ac:dyDescent="0.3">
      <c r="B805" t="s">
        <v>8</v>
      </c>
      <c r="C805" t="s">
        <v>135</v>
      </c>
      <c r="D805" s="22" t="str">
        <f t="shared" si="60"/>
        <v>2023-10-16</v>
      </c>
      <c r="E805" s="22" t="str">
        <f t="shared" si="61"/>
        <v>2023-10-16</v>
      </c>
      <c r="F805" s="22">
        <f t="shared" si="62"/>
        <v>0</v>
      </c>
      <c r="J805" t="str">
        <f t="shared" si="63"/>
        <v>Фролов Сергей ВикторовичОрлов Александр Иванович</v>
      </c>
      <c r="K805" t="s">
        <v>40</v>
      </c>
      <c r="L805" t="s">
        <v>69</v>
      </c>
      <c r="M805" t="s">
        <v>403</v>
      </c>
      <c r="N805" t="str">
        <f t="shared" si="64"/>
        <v>Громова Мария ИльиничнаСеменов Максим Геннадьевич</v>
      </c>
      <c r="O805" t="s">
        <v>14</v>
      </c>
      <c r="P805" t="s">
        <v>111</v>
      </c>
      <c r="Q805" t="s">
        <v>179</v>
      </c>
    </row>
    <row r="806" spans="2:17" x14ac:dyDescent="0.3">
      <c r="B806" t="s">
        <v>8</v>
      </c>
      <c r="C806" t="s">
        <v>180</v>
      </c>
      <c r="D806" s="22" t="str">
        <f t="shared" si="60"/>
        <v>2023-11-06</v>
      </c>
      <c r="E806" s="22" t="str">
        <f t="shared" si="61"/>
        <v>2024-01-15</v>
      </c>
      <c r="F806" s="22">
        <f t="shared" si="62"/>
        <v>70</v>
      </c>
      <c r="J806" t="str">
        <f t="shared" si="63"/>
        <v>Сидорова Елена ВасильевнаИванов Александр Павлович</v>
      </c>
      <c r="K806" t="s">
        <v>18</v>
      </c>
      <c r="L806" t="s">
        <v>37</v>
      </c>
      <c r="M806" t="s">
        <v>403</v>
      </c>
      <c r="N806" t="str">
        <f t="shared" si="64"/>
        <v>Яковлев Артем ИгоревичСидорова Елена Кирилловна</v>
      </c>
      <c r="O806" t="s">
        <v>8</v>
      </c>
      <c r="P806" t="s">
        <v>180</v>
      </c>
      <c r="Q806" t="s">
        <v>179</v>
      </c>
    </row>
    <row r="807" spans="2:17" x14ac:dyDescent="0.3">
      <c r="B807" t="s">
        <v>8</v>
      </c>
      <c r="C807" t="s">
        <v>158</v>
      </c>
      <c r="D807" s="22" t="str">
        <f t="shared" si="60"/>
        <v>2023-10-25</v>
      </c>
      <c r="E807" s="22" t="str">
        <f t="shared" si="61"/>
        <v>2023-10-25</v>
      </c>
      <c r="F807" s="22">
        <f t="shared" si="62"/>
        <v>0</v>
      </c>
      <c r="J807" t="str">
        <f t="shared" si="63"/>
        <v>Яковлев Артем ИгоревичПавлов Георгий Андреевич</v>
      </c>
      <c r="K807" t="s">
        <v>8</v>
      </c>
      <c r="L807" t="s">
        <v>72</v>
      </c>
      <c r="M807" t="s">
        <v>404</v>
      </c>
      <c r="N807" t="str">
        <f t="shared" si="64"/>
        <v>Громова Мария ИльиничнаВолков Александр Юрьевич</v>
      </c>
      <c r="O807" t="s">
        <v>14</v>
      </c>
      <c r="P807" t="s">
        <v>103</v>
      </c>
      <c r="Q807" t="s">
        <v>179</v>
      </c>
    </row>
    <row r="808" spans="2:17" x14ac:dyDescent="0.3">
      <c r="B808" t="s">
        <v>8</v>
      </c>
      <c r="C808" t="s">
        <v>318</v>
      </c>
      <c r="D808" s="22" t="str">
        <f t="shared" si="60"/>
        <v>2024-05-06</v>
      </c>
      <c r="E808" s="22" t="str">
        <f t="shared" si="61"/>
        <v>2024-05-06</v>
      </c>
      <c r="F808" s="22">
        <f t="shared" si="62"/>
        <v>0</v>
      </c>
      <c r="J808" t="str">
        <f t="shared" si="63"/>
        <v>Петров Владимир КирилловичЛебедев Никита Сергеевич</v>
      </c>
      <c r="K808" t="s">
        <v>50</v>
      </c>
      <c r="L808" t="s">
        <v>156</v>
      </c>
      <c r="M808" t="s">
        <v>404</v>
      </c>
      <c r="N808" t="str">
        <f t="shared" si="64"/>
        <v>Новикова Ольга ПетровнаЕгоров Артем Никитич</v>
      </c>
      <c r="O808" t="s">
        <v>47</v>
      </c>
      <c r="P808" t="s">
        <v>25</v>
      </c>
      <c r="Q808" t="s">
        <v>179</v>
      </c>
    </row>
    <row r="809" spans="2:17" x14ac:dyDescent="0.3">
      <c r="B809" t="s">
        <v>8</v>
      </c>
      <c r="C809" t="s">
        <v>56</v>
      </c>
      <c r="D809" s="22" t="str">
        <f t="shared" si="60"/>
        <v>2024-07-25</v>
      </c>
      <c r="E809" s="22" t="str">
        <f t="shared" si="61"/>
        <v>2024-07-25</v>
      </c>
      <c r="F809" s="22">
        <f t="shared" si="62"/>
        <v>0</v>
      </c>
      <c r="J809" t="str">
        <f t="shared" si="63"/>
        <v>Громова Мария ИльиничнаЕгорова Алиса Егоровна</v>
      </c>
      <c r="K809" t="s">
        <v>14</v>
      </c>
      <c r="L809" t="s">
        <v>144</v>
      </c>
      <c r="M809" t="s">
        <v>404</v>
      </c>
      <c r="N809" t="str">
        <f t="shared" si="64"/>
        <v>Новикова Ольга ПетровнаНовикова Екатерина Михайловна</v>
      </c>
      <c r="O809" t="s">
        <v>47</v>
      </c>
      <c r="P809" t="s">
        <v>181</v>
      </c>
      <c r="Q809" t="s">
        <v>179</v>
      </c>
    </row>
    <row r="810" spans="2:17" x14ac:dyDescent="0.3">
      <c r="B810" t="s">
        <v>8</v>
      </c>
      <c r="C810" t="s">
        <v>117</v>
      </c>
      <c r="D810" s="22" t="str">
        <f t="shared" si="60"/>
        <v>2023-10-04</v>
      </c>
      <c r="E810" s="22" t="str">
        <f t="shared" si="61"/>
        <v>2023-10-04</v>
      </c>
      <c r="F810" s="22">
        <f t="shared" si="62"/>
        <v>0</v>
      </c>
      <c r="J810" t="str">
        <f t="shared" si="63"/>
        <v>Петров Владимир КирилловичАлексеев Матвей Александрович</v>
      </c>
      <c r="K810" t="s">
        <v>50</v>
      </c>
      <c r="L810" t="s">
        <v>305</v>
      </c>
      <c r="M810" t="s">
        <v>404</v>
      </c>
      <c r="N810" t="str">
        <f t="shared" si="64"/>
        <v>Петров Владимир КирилловичСмирнова София Андреевна</v>
      </c>
      <c r="O810" t="s">
        <v>50</v>
      </c>
      <c r="P810" t="s">
        <v>182</v>
      </c>
      <c r="Q810" t="s">
        <v>179</v>
      </c>
    </row>
    <row r="811" spans="2:17" x14ac:dyDescent="0.3">
      <c r="B811" t="s">
        <v>8</v>
      </c>
      <c r="C811" t="s">
        <v>182</v>
      </c>
      <c r="D811" s="22" t="str">
        <f t="shared" si="60"/>
        <v>2024-08-07</v>
      </c>
      <c r="E811" s="22" t="str">
        <f t="shared" si="61"/>
        <v>2024-08-07</v>
      </c>
      <c r="F811" s="22">
        <f t="shared" si="62"/>
        <v>0</v>
      </c>
      <c r="J811" t="str">
        <f t="shared" si="63"/>
        <v>Громова Мария ИльиничнаМорозова Светлана Артемовна</v>
      </c>
      <c r="K811" t="s">
        <v>14</v>
      </c>
      <c r="L811" t="s">
        <v>107</v>
      </c>
      <c r="M811" t="s">
        <v>404</v>
      </c>
      <c r="N811" t="str">
        <f t="shared" si="64"/>
        <v>Иванова Анна СергеевнаСтепанова Полина Артемовна</v>
      </c>
      <c r="O811" t="s">
        <v>28</v>
      </c>
      <c r="P811" t="s">
        <v>35</v>
      </c>
      <c r="Q811" t="s">
        <v>179</v>
      </c>
    </row>
    <row r="812" spans="2:17" x14ac:dyDescent="0.3">
      <c r="B812" t="s">
        <v>8</v>
      </c>
      <c r="C812" t="s">
        <v>122</v>
      </c>
      <c r="D812" s="22" t="str">
        <f t="shared" si="60"/>
        <v>2024-04-01</v>
      </c>
      <c r="E812" s="22" t="str">
        <f t="shared" si="61"/>
        <v>2024-04-01</v>
      </c>
      <c r="F812" s="22">
        <f t="shared" si="62"/>
        <v>0</v>
      </c>
      <c r="J812" t="str">
        <f t="shared" si="63"/>
        <v>Петров Владимир КирилловичНовикова Ирина Геннадьевна</v>
      </c>
      <c r="K812" t="s">
        <v>50</v>
      </c>
      <c r="L812" t="s">
        <v>105</v>
      </c>
      <c r="M812" t="s">
        <v>404</v>
      </c>
      <c r="N812" t="str">
        <f t="shared" si="64"/>
        <v>Белов Алексей КонстантиновичАлексеева Елена Кирилловна</v>
      </c>
      <c r="O812" t="s">
        <v>21</v>
      </c>
      <c r="P812" t="s">
        <v>176</v>
      </c>
      <c r="Q812" t="s">
        <v>177</v>
      </c>
    </row>
    <row r="813" spans="2:17" x14ac:dyDescent="0.3">
      <c r="B813" t="s">
        <v>8</v>
      </c>
      <c r="C813" t="s">
        <v>338</v>
      </c>
      <c r="D813" s="22" t="str">
        <f t="shared" si="60"/>
        <v>2024-08-02</v>
      </c>
      <c r="E813" s="22" t="str">
        <f t="shared" si="61"/>
        <v>2024-08-02</v>
      </c>
      <c r="F813" s="22">
        <f t="shared" si="62"/>
        <v>0</v>
      </c>
      <c r="J813" t="str">
        <f t="shared" si="63"/>
        <v>Иванова Анна СергеевнаЛебедева Елена Олеговна</v>
      </c>
      <c r="K813" t="s">
        <v>28</v>
      </c>
      <c r="L813" t="s">
        <v>388</v>
      </c>
      <c r="M813" t="s">
        <v>404</v>
      </c>
      <c r="N813" t="str">
        <f t="shared" si="64"/>
        <v>Ткаченко Андрей ОлеговичСидоров Александр Артемович</v>
      </c>
      <c r="O813" t="s">
        <v>5</v>
      </c>
      <c r="P813" t="s">
        <v>77</v>
      </c>
      <c r="Q813" t="s">
        <v>177</v>
      </c>
    </row>
    <row r="814" spans="2:17" x14ac:dyDescent="0.3">
      <c r="B814" t="s">
        <v>8</v>
      </c>
      <c r="C814" t="s">
        <v>217</v>
      </c>
      <c r="D814" s="22" t="str">
        <f t="shared" si="60"/>
        <v>2024-03-04</v>
      </c>
      <c r="E814" s="22" t="str">
        <f t="shared" si="61"/>
        <v>2024-03-04</v>
      </c>
      <c r="F814" s="22">
        <f t="shared" si="62"/>
        <v>0</v>
      </c>
      <c r="J814" t="str">
        <f t="shared" si="63"/>
        <v>Фролов Сергей ВикторовичНиколаева София Геннадьевна</v>
      </c>
      <c r="K814" t="s">
        <v>40</v>
      </c>
      <c r="L814" t="s">
        <v>315</v>
      </c>
      <c r="M814" t="s">
        <v>405</v>
      </c>
      <c r="N814" t="str">
        <f t="shared" si="64"/>
        <v>Новикова Ольга ПетровнаОрлова Полина Олеговна</v>
      </c>
      <c r="O814" t="s">
        <v>47</v>
      </c>
      <c r="P814" t="s">
        <v>101</v>
      </c>
      <c r="Q814" t="s">
        <v>177</v>
      </c>
    </row>
    <row r="815" spans="2:17" x14ac:dyDescent="0.3">
      <c r="B815" t="s">
        <v>8</v>
      </c>
      <c r="C815" t="s">
        <v>100</v>
      </c>
      <c r="D815" s="22" t="str">
        <f t="shared" si="60"/>
        <v>2024-04-30</v>
      </c>
      <c r="E815" s="22" t="str">
        <f t="shared" si="61"/>
        <v>2024-04-30</v>
      </c>
      <c r="F815" s="22">
        <f t="shared" si="62"/>
        <v>0</v>
      </c>
      <c r="J815" t="str">
        <f t="shared" si="63"/>
        <v>Ткаченко Андрей ОлеговичЕгоров Никита Ильич</v>
      </c>
      <c r="K815" t="s">
        <v>5</v>
      </c>
      <c r="L815" t="s">
        <v>112</v>
      </c>
      <c r="M815" t="s">
        <v>405</v>
      </c>
      <c r="N815" t="str">
        <f t="shared" si="64"/>
        <v>Петров Владимир КирилловичПетров Илья Андреевич</v>
      </c>
      <c r="O815" t="s">
        <v>50</v>
      </c>
      <c r="P815" t="s">
        <v>70</v>
      </c>
      <c r="Q815" t="s">
        <v>177</v>
      </c>
    </row>
    <row r="816" spans="2:17" x14ac:dyDescent="0.3">
      <c r="J816" t="str">
        <f t="shared" si="63"/>
        <v>Громова Мария ИльиничнаВасильева София Александровна</v>
      </c>
      <c r="K816" t="s">
        <v>14</v>
      </c>
      <c r="L816" t="s">
        <v>235</v>
      </c>
      <c r="M816" t="s">
        <v>405</v>
      </c>
      <c r="N816" t="str">
        <f t="shared" si="64"/>
        <v>Новикова Ольга ПетровнаПетров Илья Михайлович</v>
      </c>
      <c r="O816" t="s">
        <v>47</v>
      </c>
      <c r="P816" t="s">
        <v>15</v>
      </c>
      <c r="Q816" t="s">
        <v>175</v>
      </c>
    </row>
    <row r="817" spans="10:17" x14ac:dyDescent="0.3">
      <c r="J817" t="str">
        <f t="shared" si="63"/>
        <v>Петров Владимир КирилловичНовиков Михаил Владимирович</v>
      </c>
      <c r="K817" t="s">
        <v>50</v>
      </c>
      <c r="L817" t="s">
        <v>36</v>
      </c>
      <c r="M817" t="s">
        <v>405</v>
      </c>
      <c r="N817" t="str">
        <f t="shared" si="64"/>
        <v>Ткаченко Андрей ОлеговичМорозов Андрей Никитич</v>
      </c>
      <c r="O817" t="s">
        <v>5</v>
      </c>
      <c r="P817" t="s">
        <v>147</v>
      </c>
      <c r="Q817" t="s">
        <v>175</v>
      </c>
    </row>
    <row r="818" spans="10:17" x14ac:dyDescent="0.3">
      <c r="J818" t="str">
        <f t="shared" si="63"/>
        <v>Ткаченко Андрей ОлеговичВасильев Матвей Андреевич</v>
      </c>
      <c r="K818" t="s">
        <v>5</v>
      </c>
      <c r="L818" t="s">
        <v>95</v>
      </c>
      <c r="M818" t="s">
        <v>406</v>
      </c>
      <c r="N818" t="str">
        <f t="shared" si="64"/>
        <v>Орлов Павел ДенисовичОрлова Юлия Алексеевна</v>
      </c>
      <c r="O818" t="s">
        <v>45</v>
      </c>
      <c r="P818" t="s">
        <v>171</v>
      </c>
      <c r="Q818" t="s">
        <v>172</v>
      </c>
    </row>
    <row r="819" spans="10:17" x14ac:dyDescent="0.3">
      <c r="J819" t="str">
        <f t="shared" si="63"/>
        <v>Сидорова Елена ВасильевнаНиколаева Полина Егоровна</v>
      </c>
      <c r="K819" t="s">
        <v>18</v>
      </c>
      <c r="L819" t="s">
        <v>193</v>
      </c>
      <c r="M819" t="s">
        <v>406</v>
      </c>
      <c r="N819" t="str">
        <f t="shared" si="64"/>
        <v>Белов Алексей КонстантиновичВасильев Павел Егорович</v>
      </c>
      <c r="O819" t="s">
        <v>21</v>
      </c>
      <c r="P819" t="s">
        <v>173</v>
      </c>
      <c r="Q819" t="s">
        <v>172</v>
      </c>
    </row>
    <row r="820" spans="10:17" x14ac:dyDescent="0.3">
      <c r="J820" t="str">
        <f t="shared" si="63"/>
        <v>Сидорова Елена ВасильевнаКозлов Роман Александрович</v>
      </c>
      <c r="K820" t="s">
        <v>18</v>
      </c>
      <c r="L820" t="s">
        <v>74</v>
      </c>
      <c r="M820" t="s">
        <v>406</v>
      </c>
      <c r="N820" t="str">
        <f t="shared" si="64"/>
        <v>Громова Мария ИльиничнаМорозова Валерия Ильинична</v>
      </c>
      <c r="O820" t="s">
        <v>14</v>
      </c>
      <c r="P820" t="s">
        <v>174</v>
      </c>
      <c r="Q820" t="s">
        <v>172</v>
      </c>
    </row>
    <row r="821" spans="10:17" x14ac:dyDescent="0.3">
      <c r="J821" t="str">
        <f t="shared" si="63"/>
        <v>Семенова Ирина ВалерьевнаМорозов Максим Андреевич</v>
      </c>
      <c r="K821" t="s">
        <v>12</v>
      </c>
      <c r="L821" t="s">
        <v>52</v>
      </c>
      <c r="M821" t="s">
        <v>406</v>
      </c>
      <c r="N821" t="str">
        <f t="shared" si="64"/>
        <v>Ткаченко Андрей ОлеговичПавлов Роман Владимирович</v>
      </c>
      <c r="O821" t="s">
        <v>5</v>
      </c>
      <c r="P821" t="s">
        <v>169</v>
      </c>
      <c r="Q821" t="s">
        <v>170</v>
      </c>
    </row>
    <row r="822" spans="10:17" x14ac:dyDescent="0.3">
      <c r="J822" t="str">
        <f t="shared" si="63"/>
        <v>Белов Алексей КонстантиновичПетров Павел Кириллович</v>
      </c>
      <c r="K822" t="s">
        <v>21</v>
      </c>
      <c r="L822" t="s">
        <v>78</v>
      </c>
      <c r="M822" t="s">
        <v>407</v>
      </c>
      <c r="N822" t="str">
        <f t="shared" si="64"/>
        <v>Иванова Анна СергеевнаСмирнова Юлия Олеговна</v>
      </c>
      <c r="O822" t="s">
        <v>28</v>
      </c>
      <c r="P822" t="s">
        <v>163</v>
      </c>
      <c r="Q822" t="s">
        <v>164</v>
      </c>
    </row>
    <row r="823" spans="10:17" x14ac:dyDescent="0.3">
      <c r="J823" t="str">
        <f t="shared" si="63"/>
        <v>Яковлев Артем ИгоревичКозлов Илья Егорович</v>
      </c>
      <c r="K823" t="s">
        <v>8</v>
      </c>
      <c r="L823" t="s">
        <v>222</v>
      </c>
      <c r="M823" t="s">
        <v>407</v>
      </c>
      <c r="N823" t="str">
        <f t="shared" si="64"/>
        <v>Фролов Сергей ВикторовичВасильев Никита Павлович</v>
      </c>
      <c r="O823" t="s">
        <v>40</v>
      </c>
      <c r="P823" t="s">
        <v>89</v>
      </c>
      <c r="Q823" t="s">
        <v>164</v>
      </c>
    </row>
    <row r="824" spans="10:17" x14ac:dyDescent="0.3">
      <c r="J824" t="str">
        <f t="shared" si="63"/>
        <v>Громова Мария ИльиничнаМорозова Мария Дмитриевна</v>
      </c>
      <c r="K824" t="s">
        <v>14</v>
      </c>
      <c r="L824" t="s">
        <v>84</v>
      </c>
      <c r="M824" t="s">
        <v>408</v>
      </c>
      <c r="N824" t="str">
        <f t="shared" si="64"/>
        <v>Петров Владимир КирилловичСмирнов Дмитрий Никитич</v>
      </c>
      <c r="O824" t="s">
        <v>50</v>
      </c>
      <c r="P824" t="s">
        <v>165</v>
      </c>
      <c r="Q824" t="s">
        <v>164</v>
      </c>
    </row>
    <row r="825" spans="10:17" x14ac:dyDescent="0.3">
      <c r="J825" t="str">
        <f t="shared" si="63"/>
        <v>Новикова Ольга ПетровнаСтепанова Полина Артемовна</v>
      </c>
      <c r="K825" t="s">
        <v>47</v>
      </c>
      <c r="L825" t="s">
        <v>35</v>
      </c>
      <c r="M825" t="s">
        <v>408</v>
      </c>
      <c r="N825" t="str">
        <f t="shared" si="64"/>
        <v>Новикова Ольга ПетровнаСидоров Дмитрий Кириллович</v>
      </c>
      <c r="O825" t="s">
        <v>47</v>
      </c>
      <c r="P825" t="s">
        <v>166</v>
      </c>
      <c r="Q825" t="s">
        <v>164</v>
      </c>
    </row>
    <row r="826" spans="10:17" x14ac:dyDescent="0.3">
      <c r="J826" t="str">
        <f t="shared" si="63"/>
        <v>Новикова Ольга ПетровнаПетров Илья Андреевич</v>
      </c>
      <c r="K826" t="s">
        <v>47</v>
      </c>
      <c r="L826" t="s">
        <v>70</v>
      </c>
      <c r="M826" t="s">
        <v>409</v>
      </c>
      <c r="N826" t="str">
        <f t="shared" si="64"/>
        <v>Фролов Сергей ВикторовичОрлов Матвей Алексеевич</v>
      </c>
      <c r="O826" t="s">
        <v>40</v>
      </c>
      <c r="P826" t="s">
        <v>116</v>
      </c>
      <c r="Q826" t="s">
        <v>164</v>
      </c>
    </row>
    <row r="827" spans="10:17" x14ac:dyDescent="0.3">
      <c r="J827" t="str">
        <f t="shared" si="63"/>
        <v>Яковлев Артем ИгоревичЛебедева Анна Викторовна</v>
      </c>
      <c r="K827" t="s">
        <v>8</v>
      </c>
      <c r="L827" t="s">
        <v>48</v>
      </c>
      <c r="M827" t="s">
        <v>409</v>
      </c>
      <c r="N827" t="str">
        <f t="shared" si="64"/>
        <v>Орлов Павел ДенисовичОрлов Александр Иванович</v>
      </c>
      <c r="O827" t="s">
        <v>45</v>
      </c>
      <c r="P827" t="s">
        <v>69</v>
      </c>
      <c r="Q827" t="s">
        <v>164</v>
      </c>
    </row>
    <row r="828" spans="10:17" x14ac:dyDescent="0.3">
      <c r="J828" t="str">
        <f t="shared" si="63"/>
        <v>Иванова Анна СергеевнаМорозова Светлана Артемовна</v>
      </c>
      <c r="K828" t="s">
        <v>28</v>
      </c>
      <c r="L828" t="s">
        <v>107</v>
      </c>
      <c r="M828" t="s">
        <v>409</v>
      </c>
      <c r="N828" t="str">
        <f t="shared" si="64"/>
        <v>Ткаченко Андрей ОлеговичПопова Виктория Геннадьевна</v>
      </c>
      <c r="O828" t="s">
        <v>5</v>
      </c>
      <c r="P828" t="s">
        <v>167</v>
      </c>
      <c r="Q828" t="s">
        <v>164</v>
      </c>
    </row>
    <row r="829" spans="10:17" x14ac:dyDescent="0.3">
      <c r="J829" t="str">
        <f t="shared" si="63"/>
        <v>Орлов Павел ДенисовичПавлова Екатерина Егоровна</v>
      </c>
      <c r="K829" t="s">
        <v>45</v>
      </c>
      <c r="L829" t="s">
        <v>141</v>
      </c>
      <c r="M829" t="s">
        <v>409</v>
      </c>
      <c r="N829" t="str">
        <f t="shared" si="64"/>
        <v>Яковлев Артем ИгоревичЕгорова Татьяна Александровна</v>
      </c>
      <c r="O829" t="s">
        <v>8</v>
      </c>
      <c r="P829" t="s">
        <v>168</v>
      </c>
      <c r="Q829" t="s">
        <v>164</v>
      </c>
    </row>
    <row r="830" spans="10:17" x14ac:dyDescent="0.3">
      <c r="J830" t="str">
        <f t="shared" si="63"/>
        <v>Фролов Сергей ВикторовичСидоров Кирилл Кириллович</v>
      </c>
      <c r="K830" t="s">
        <v>40</v>
      </c>
      <c r="L830" t="s">
        <v>137</v>
      </c>
      <c r="M830" t="s">
        <v>409</v>
      </c>
      <c r="N830" t="str">
        <f t="shared" si="64"/>
        <v>Фролов Сергей ВикторовичВасильев Матвей Геннадьевич</v>
      </c>
      <c r="O830" t="s">
        <v>40</v>
      </c>
      <c r="P830" t="s">
        <v>160</v>
      </c>
      <c r="Q830" t="s">
        <v>161</v>
      </c>
    </row>
    <row r="831" spans="10:17" x14ac:dyDescent="0.3">
      <c r="J831" t="str">
        <f t="shared" si="63"/>
        <v>Орлов Павел ДенисовичВасильев Илья Александрович</v>
      </c>
      <c r="K831" t="s">
        <v>45</v>
      </c>
      <c r="L831" t="s">
        <v>297</v>
      </c>
      <c r="M831" t="s">
        <v>409</v>
      </c>
      <c r="N831" t="str">
        <f t="shared" si="64"/>
        <v>Кузнецов Дмитрий ЛьвовичКозлов Роман Александрович</v>
      </c>
      <c r="O831" t="s">
        <v>10</v>
      </c>
      <c r="P831" t="s">
        <v>74</v>
      </c>
      <c r="Q831" t="s">
        <v>161</v>
      </c>
    </row>
    <row r="832" spans="10:17" x14ac:dyDescent="0.3">
      <c r="J832" t="str">
        <f t="shared" si="63"/>
        <v>Кузнецов Дмитрий ЛьвовичЛебедева Татьяна Павловна</v>
      </c>
      <c r="K832" t="s">
        <v>10</v>
      </c>
      <c r="L832" t="s">
        <v>387</v>
      </c>
      <c r="M832" t="s">
        <v>409</v>
      </c>
      <c r="N832" t="str">
        <f t="shared" si="64"/>
        <v>Громова Мария ИльиничнаСмирнов Георгий Ильич</v>
      </c>
      <c r="O832" t="s">
        <v>14</v>
      </c>
      <c r="P832" t="s">
        <v>162</v>
      </c>
      <c r="Q832" t="s">
        <v>161</v>
      </c>
    </row>
    <row r="833" spans="10:17" x14ac:dyDescent="0.3">
      <c r="J833" t="str">
        <f t="shared" si="63"/>
        <v>Кузнецов Дмитрий ЛьвовичОрлова Людмила Михайловна</v>
      </c>
      <c r="K833" t="s">
        <v>10</v>
      </c>
      <c r="L833" t="s">
        <v>138</v>
      </c>
      <c r="M833" t="s">
        <v>409</v>
      </c>
      <c r="N833" t="str">
        <f t="shared" si="64"/>
        <v>Яковлев Артем ИгоревичСеменов Дмитрий Олегович</v>
      </c>
      <c r="O833" t="s">
        <v>8</v>
      </c>
      <c r="P833" t="s">
        <v>9</v>
      </c>
      <c r="Q833" t="s">
        <v>161</v>
      </c>
    </row>
    <row r="834" spans="10:17" x14ac:dyDescent="0.3">
      <c r="J834" t="str">
        <f t="shared" si="63"/>
        <v>Яковлев Артем ИгоревичНовиков Михаил Владимирович</v>
      </c>
      <c r="K834" t="s">
        <v>8</v>
      </c>
      <c r="L834" t="s">
        <v>36</v>
      </c>
      <c r="M834" t="s">
        <v>409</v>
      </c>
      <c r="N834" t="str">
        <f t="shared" si="64"/>
        <v>Кузнецов Дмитрий ЛьвовичМорозова Полина Александровна</v>
      </c>
      <c r="O834" t="s">
        <v>10</v>
      </c>
      <c r="P834" t="s">
        <v>62</v>
      </c>
      <c r="Q834" t="s">
        <v>159</v>
      </c>
    </row>
    <row r="835" spans="10:17" x14ac:dyDescent="0.3">
      <c r="J835" t="str">
        <f t="shared" ref="J835:J898" si="65">K835&amp;L835</f>
        <v>Кузнецов Дмитрий ЛьвовичФедоров Илья Владимирович</v>
      </c>
      <c r="K835" t="s">
        <v>10</v>
      </c>
      <c r="L835" t="s">
        <v>34</v>
      </c>
      <c r="M835" t="s">
        <v>409</v>
      </c>
      <c r="N835" t="str">
        <f t="shared" ref="N835:N898" si="66">O835&amp;P835</f>
        <v>Петров Владимир КирилловичМорозова Мария Дмитриевна</v>
      </c>
      <c r="O835" t="s">
        <v>50</v>
      </c>
      <c r="P835" t="s">
        <v>84</v>
      </c>
      <c r="Q835" t="s">
        <v>159</v>
      </c>
    </row>
    <row r="836" spans="10:17" x14ac:dyDescent="0.3">
      <c r="J836" t="str">
        <f t="shared" si="65"/>
        <v>Фролов Сергей ВикторовичМорозова София Геннадьевна</v>
      </c>
      <c r="K836" t="s">
        <v>40</v>
      </c>
      <c r="L836" t="s">
        <v>115</v>
      </c>
      <c r="M836" t="s">
        <v>409</v>
      </c>
      <c r="N836" t="str">
        <f t="shared" si="66"/>
        <v>Орлов Павел ДенисовичЕгоров Артем Никитич</v>
      </c>
      <c r="O836" t="s">
        <v>45</v>
      </c>
      <c r="P836" t="s">
        <v>25</v>
      </c>
      <c r="Q836" t="s">
        <v>159</v>
      </c>
    </row>
    <row r="837" spans="10:17" x14ac:dyDescent="0.3">
      <c r="J837" t="str">
        <f t="shared" si="65"/>
        <v>Яковлев Артем ИгоревичЛебедев Артем Кириллович</v>
      </c>
      <c r="K837" t="s">
        <v>8</v>
      </c>
      <c r="L837" t="s">
        <v>49</v>
      </c>
      <c r="M837" t="s">
        <v>409</v>
      </c>
      <c r="N837" t="str">
        <f t="shared" si="66"/>
        <v>Орлов Павел ДенисовичЛебедева Анна Викторовна</v>
      </c>
      <c r="O837" t="s">
        <v>45</v>
      </c>
      <c r="P837" t="s">
        <v>48</v>
      </c>
      <c r="Q837" t="s">
        <v>157</v>
      </c>
    </row>
    <row r="838" spans="10:17" x14ac:dyDescent="0.3">
      <c r="J838" t="str">
        <f t="shared" si="65"/>
        <v>Фролов Сергей ВикторовичЕгорова Наталья Дмитриевна</v>
      </c>
      <c r="K838" t="s">
        <v>40</v>
      </c>
      <c r="L838" t="s">
        <v>251</v>
      </c>
      <c r="M838" t="s">
        <v>410</v>
      </c>
      <c r="N838" t="str">
        <f t="shared" si="66"/>
        <v>Новикова Ольга ПетровнаЛебедев Матвей Кириллович</v>
      </c>
      <c r="O838" t="s">
        <v>47</v>
      </c>
      <c r="P838" t="s">
        <v>123</v>
      </c>
      <c r="Q838" t="s">
        <v>157</v>
      </c>
    </row>
    <row r="839" spans="10:17" x14ac:dyDescent="0.3">
      <c r="J839" t="str">
        <f t="shared" si="65"/>
        <v>Петров Владимир КирилловичПетров Илья Андреевич</v>
      </c>
      <c r="K839" t="s">
        <v>50</v>
      </c>
      <c r="L839" t="s">
        <v>70</v>
      </c>
      <c r="M839" t="s">
        <v>411</v>
      </c>
      <c r="N839" t="str">
        <f t="shared" si="66"/>
        <v>Яковлев Артем ИгоревичСидорова Наталья Викторовна</v>
      </c>
      <c r="O839" t="s">
        <v>8</v>
      </c>
      <c r="P839" t="s">
        <v>158</v>
      </c>
      <c r="Q839" t="s">
        <v>157</v>
      </c>
    </row>
    <row r="840" spans="10:17" x14ac:dyDescent="0.3">
      <c r="J840" t="str">
        <f t="shared" si="65"/>
        <v>Кузнецов Дмитрий ЛьвовичВасильева София Александровна</v>
      </c>
      <c r="K840" t="s">
        <v>10</v>
      </c>
      <c r="L840" t="s">
        <v>235</v>
      </c>
      <c r="M840" t="s">
        <v>411</v>
      </c>
      <c r="N840" t="str">
        <f t="shared" si="66"/>
        <v>Ткаченко Андрей ОлеговичНиколаева Юлия Егоровна</v>
      </c>
      <c r="O840" t="s">
        <v>5</v>
      </c>
      <c r="P840" t="s">
        <v>126</v>
      </c>
      <c r="Q840" t="s">
        <v>157</v>
      </c>
    </row>
    <row r="841" spans="10:17" x14ac:dyDescent="0.3">
      <c r="J841" t="str">
        <f t="shared" si="65"/>
        <v>Петров Владимир КирилловичВасильева Александра Александровна</v>
      </c>
      <c r="K841" t="s">
        <v>50</v>
      </c>
      <c r="L841" t="s">
        <v>412</v>
      </c>
      <c r="M841" t="s">
        <v>411</v>
      </c>
      <c r="N841" t="str">
        <f t="shared" si="66"/>
        <v>Фролов Сергей ВикторовичПавлов Михаил Геннадьевич</v>
      </c>
      <c r="O841" t="s">
        <v>40</v>
      </c>
      <c r="P841" t="s">
        <v>154</v>
      </c>
      <c r="Q841" t="s">
        <v>155</v>
      </c>
    </row>
    <row r="842" spans="10:17" x14ac:dyDescent="0.3">
      <c r="J842" t="str">
        <f t="shared" si="65"/>
        <v>Иванова Анна СергеевнаСмирнов Георгий Ильич</v>
      </c>
      <c r="K842" t="s">
        <v>28</v>
      </c>
      <c r="L842" t="s">
        <v>162</v>
      </c>
      <c r="M842" t="s">
        <v>413</v>
      </c>
      <c r="N842" t="str">
        <f t="shared" si="66"/>
        <v>Белов Алексей КонстантиновичСмирнов Артем Егорович</v>
      </c>
      <c r="O842" t="s">
        <v>21</v>
      </c>
      <c r="P842" t="s">
        <v>127</v>
      </c>
      <c r="Q842" t="s">
        <v>155</v>
      </c>
    </row>
    <row r="843" spans="10:17" x14ac:dyDescent="0.3">
      <c r="J843" t="str">
        <f t="shared" si="65"/>
        <v>Петров Владимир КирилловичКозлова София Станиславовна</v>
      </c>
      <c r="K843" t="s">
        <v>50</v>
      </c>
      <c r="L843" t="s">
        <v>54</v>
      </c>
      <c r="M843" t="s">
        <v>413</v>
      </c>
      <c r="N843" t="str">
        <f t="shared" si="66"/>
        <v>Семенова Ирина ВалерьевнаЛебедев Никита Сергеевич</v>
      </c>
      <c r="O843" t="s">
        <v>12</v>
      </c>
      <c r="P843" t="s">
        <v>156</v>
      </c>
      <c r="Q843" t="s">
        <v>155</v>
      </c>
    </row>
    <row r="844" spans="10:17" x14ac:dyDescent="0.3">
      <c r="J844" t="str">
        <f t="shared" si="65"/>
        <v>Громова Мария ИльиничнаОрлов Сергей Иванович</v>
      </c>
      <c r="K844" t="s">
        <v>14</v>
      </c>
      <c r="L844" t="s">
        <v>364</v>
      </c>
      <c r="M844" t="s">
        <v>414</v>
      </c>
      <c r="N844" t="str">
        <f t="shared" si="66"/>
        <v>Сидорова Елена ВасильевнаОрлов Александр Иванович</v>
      </c>
      <c r="O844" t="s">
        <v>18</v>
      </c>
      <c r="P844" t="s">
        <v>69</v>
      </c>
      <c r="Q844" t="s">
        <v>155</v>
      </c>
    </row>
    <row r="845" spans="10:17" x14ac:dyDescent="0.3">
      <c r="J845" t="str">
        <f t="shared" si="65"/>
        <v>Орлов Павел ДенисовичПетров Иван Егорович</v>
      </c>
      <c r="K845" t="s">
        <v>45</v>
      </c>
      <c r="L845" t="s">
        <v>149</v>
      </c>
      <c r="M845" t="s">
        <v>414</v>
      </c>
      <c r="N845" t="str">
        <f t="shared" si="66"/>
        <v>Сидорова Елена ВасильевнаНиколаев Артем Олегович</v>
      </c>
      <c r="O845" t="s">
        <v>18</v>
      </c>
      <c r="P845" t="s">
        <v>80</v>
      </c>
      <c r="Q845" t="s">
        <v>155</v>
      </c>
    </row>
    <row r="846" spans="10:17" x14ac:dyDescent="0.3">
      <c r="J846" t="str">
        <f t="shared" si="65"/>
        <v>Ткаченко Андрей ОлеговичКозлов Илья Егорович</v>
      </c>
      <c r="K846" t="s">
        <v>5</v>
      </c>
      <c r="L846" t="s">
        <v>222</v>
      </c>
      <c r="M846" t="s">
        <v>414</v>
      </c>
      <c r="N846" t="str">
        <f t="shared" si="66"/>
        <v>Ткаченко Андрей ОлеговичОрлов Матвей Алексеевич</v>
      </c>
      <c r="O846" t="s">
        <v>5</v>
      </c>
      <c r="P846" t="s">
        <v>116</v>
      </c>
      <c r="Q846" t="s">
        <v>148</v>
      </c>
    </row>
    <row r="847" spans="10:17" x14ac:dyDescent="0.3">
      <c r="J847" t="str">
        <f t="shared" si="65"/>
        <v>Громова Мария ИльиничнаИванов Константин Никитич</v>
      </c>
      <c r="K847" t="s">
        <v>14</v>
      </c>
      <c r="L847" t="s">
        <v>284</v>
      </c>
      <c r="M847" t="s">
        <v>415</v>
      </c>
      <c r="N847" t="str">
        <f t="shared" si="66"/>
        <v>Ткаченко Андрей ОлеговичПетров Иван Егорович</v>
      </c>
      <c r="O847" t="s">
        <v>5</v>
      </c>
      <c r="P847" t="s">
        <v>149</v>
      </c>
      <c r="Q847" t="s">
        <v>148</v>
      </c>
    </row>
    <row r="848" spans="10:17" x14ac:dyDescent="0.3">
      <c r="J848" t="str">
        <f t="shared" si="65"/>
        <v>Сидорова Елена ВасильевнаФедорова Виктория Михайловна</v>
      </c>
      <c r="K848" t="s">
        <v>18</v>
      </c>
      <c r="L848" t="s">
        <v>197</v>
      </c>
      <c r="M848" t="s">
        <v>415</v>
      </c>
      <c r="N848" t="str">
        <f t="shared" si="66"/>
        <v>Орлов Павел ДенисовичЕгоров Артур Владимирович</v>
      </c>
      <c r="O848" t="s">
        <v>45</v>
      </c>
      <c r="P848" t="s">
        <v>150</v>
      </c>
      <c r="Q848" t="s">
        <v>148</v>
      </c>
    </row>
    <row r="849" spans="10:17" x14ac:dyDescent="0.3">
      <c r="J849" t="str">
        <f t="shared" si="65"/>
        <v>Орлов Павел ДенисовичПавлов Михаил Геннадьевич</v>
      </c>
      <c r="K849" t="s">
        <v>45</v>
      </c>
      <c r="L849" t="s">
        <v>154</v>
      </c>
      <c r="M849" t="s">
        <v>415</v>
      </c>
      <c r="N849" t="str">
        <f t="shared" si="66"/>
        <v>Орлов Павел ДенисовичОрлов Георгий Кириллович</v>
      </c>
      <c r="O849" t="s">
        <v>45</v>
      </c>
      <c r="P849" t="s">
        <v>30</v>
      </c>
      <c r="Q849" t="s">
        <v>148</v>
      </c>
    </row>
    <row r="850" spans="10:17" x14ac:dyDescent="0.3">
      <c r="J850" t="str">
        <f t="shared" si="65"/>
        <v>Орлов Павел ДенисовичСеменова Наталья Павловна</v>
      </c>
      <c r="K850" t="s">
        <v>45</v>
      </c>
      <c r="L850" t="s">
        <v>194</v>
      </c>
      <c r="M850" t="s">
        <v>415</v>
      </c>
      <c r="N850" t="str">
        <f t="shared" si="66"/>
        <v>Новикова Ольга ПетровнаВасильев Матвей Романович</v>
      </c>
      <c r="O850" t="s">
        <v>47</v>
      </c>
      <c r="P850" t="s">
        <v>24</v>
      </c>
      <c r="Q850" t="s">
        <v>148</v>
      </c>
    </row>
    <row r="851" spans="10:17" x14ac:dyDescent="0.3">
      <c r="J851" t="str">
        <f t="shared" si="65"/>
        <v>Петров Владимир КирилловичПопова Юлия Дмитриевна</v>
      </c>
      <c r="K851" t="s">
        <v>50</v>
      </c>
      <c r="L851" t="s">
        <v>268</v>
      </c>
      <c r="M851" t="s">
        <v>415</v>
      </c>
      <c r="N851" t="str">
        <f t="shared" si="66"/>
        <v>Новикова Ольга ПетровнаФедоров Илья Егорович</v>
      </c>
      <c r="O851" t="s">
        <v>47</v>
      </c>
      <c r="P851" t="s">
        <v>151</v>
      </c>
      <c r="Q851" t="s">
        <v>148</v>
      </c>
    </row>
    <row r="852" spans="10:17" x14ac:dyDescent="0.3">
      <c r="J852" t="str">
        <f t="shared" si="65"/>
        <v>Фролов Сергей ВикторовичСидоров Дмитрий Кириллович</v>
      </c>
      <c r="K852" t="s">
        <v>40</v>
      </c>
      <c r="L852" t="s">
        <v>166</v>
      </c>
      <c r="M852" t="s">
        <v>415</v>
      </c>
      <c r="N852" t="str">
        <f t="shared" si="66"/>
        <v>Кузнецов Дмитрий ЛьвовичИванов Кирилл Владимирович</v>
      </c>
      <c r="O852" t="s">
        <v>10</v>
      </c>
      <c r="P852" t="s">
        <v>152</v>
      </c>
      <c r="Q852" t="s">
        <v>148</v>
      </c>
    </row>
    <row r="853" spans="10:17" x14ac:dyDescent="0.3">
      <c r="J853" t="str">
        <f t="shared" si="65"/>
        <v>Яковлев Артем ИгоревичНовикова Мария Викторовна</v>
      </c>
      <c r="K853" t="s">
        <v>8</v>
      </c>
      <c r="L853" t="s">
        <v>247</v>
      </c>
      <c r="M853" t="s">
        <v>415</v>
      </c>
      <c r="N853" t="str">
        <f t="shared" si="66"/>
        <v>Семенова Ирина ВалерьевнаСтепанов Илья Викторович</v>
      </c>
      <c r="O853" t="s">
        <v>12</v>
      </c>
      <c r="P853" t="s">
        <v>153</v>
      </c>
      <c r="Q853" t="s">
        <v>148</v>
      </c>
    </row>
    <row r="854" spans="10:17" x14ac:dyDescent="0.3">
      <c r="J854" t="str">
        <f t="shared" si="65"/>
        <v>Петров Владимир КирилловичИванов Дмитрий Павлович</v>
      </c>
      <c r="K854" t="s">
        <v>50</v>
      </c>
      <c r="L854" t="s">
        <v>124</v>
      </c>
      <c r="M854" t="s">
        <v>416</v>
      </c>
      <c r="N854" t="str">
        <f t="shared" si="66"/>
        <v>Орлов Павел ДенисовичЕгорова Алиса Егоровна</v>
      </c>
      <c r="O854" t="s">
        <v>45</v>
      </c>
      <c r="P854" t="s">
        <v>144</v>
      </c>
      <c r="Q854" t="s">
        <v>145</v>
      </c>
    </row>
    <row r="855" spans="10:17" x14ac:dyDescent="0.3">
      <c r="J855" t="str">
        <f t="shared" si="65"/>
        <v>Иванова Анна СергеевнаПетрова Валерия Павловна</v>
      </c>
      <c r="K855" t="s">
        <v>28</v>
      </c>
      <c r="L855" t="s">
        <v>32</v>
      </c>
      <c r="M855" t="s">
        <v>416</v>
      </c>
      <c r="N855" t="str">
        <f t="shared" si="66"/>
        <v>Ткаченко Андрей ОлеговичКузнецова Дарья Дмитриевна</v>
      </c>
      <c r="O855" t="s">
        <v>5</v>
      </c>
      <c r="P855" t="s">
        <v>43</v>
      </c>
      <c r="Q855" t="s">
        <v>145</v>
      </c>
    </row>
    <row r="856" spans="10:17" x14ac:dyDescent="0.3">
      <c r="J856" t="str">
        <f t="shared" si="65"/>
        <v>Ткаченко Андрей ОлеговичФедоров Илья Владимирович</v>
      </c>
      <c r="K856" t="s">
        <v>5</v>
      </c>
      <c r="L856" t="s">
        <v>34</v>
      </c>
      <c r="M856" t="s">
        <v>416</v>
      </c>
      <c r="N856" t="str">
        <f t="shared" si="66"/>
        <v>Новикова Ольга ПетровнаНовикова Ирина Геннадьевна</v>
      </c>
      <c r="O856" t="s">
        <v>47</v>
      </c>
      <c r="P856" t="s">
        <v>105</v>
      </c>
      <c r="Q856" t="s">
        <v>145</v>
      </c>
    </row>
    <row r="857" spans="10:17" x14ac:dyDescent="0.3">
      <c r="J857" t="str">
        <f t="shared" si="65"/>
        <v>Ткаченко Андрей ОлеговичПавлов Роман Владимирович</v>
      </c>
      <c r="K857" t="s">
        <v>5</v>
      </c>
      <c r="L857" t="s">
        <v>169</v>
      </c>
      <c r="M857" t="s">
        <v>417</v>
      </c>
      <c r="N857" t="str">
        <f t="shared" si="66"/>
        <v>Фролов Сергей ВикторовичМорозов Павел Ильич</v>
      </c>
      <c r="O857" t="s">
        <v>40</v>
      </c>
      <c r="P857" t="s">
        <v>146</v>
      </c>
      <c r="Q857" t="s">
        <v>145</v>
      </c>
    </row>
    <row r="858" spans="10:17" x14ac:dyDescent="0.3">
      <c r="J858" t="str">
        <f t="shared" si="65"/>
        <v>Семенова Ирина ВалерьевнаНовиков Георгий Романович</v>
      </c>
      <c r="K858" t="s">
        <v>12</v>
      </c>
      <c r="L858" t="s">
        <v>270</v>
      </c>
      <c r="M858" t="s">
        <v>417</v>
      </c>
      <c r="N858" t="str">
        <f t="shared" si="66"/>
        <v>Сидорова Елена ВасильевнаНиколаева Юлия Егоровна</v>
      </c>
      <c r="O858" t="s">
        <v>18</v>
      </c>
      <c r="P858" t="s">
        <v>126</v>
      </c>
      <c r="Q858" t="s">
        <v>145</v>
      </c>
    </row>
    <row r="859" spans="10:17" x14ac:dyDescent="0.3">
      <c r="J859" t="str">
        <f t="shared" si="65"/>
        <v>Кузнецов Дмитрий ЛьвовичОрлов Александр Иванович</v>
      </c>
      <c r="K859" t="s">
        <v>10</v>
      </c>
      <c r="L859" t="s">
        <v>69</v>
      </c>
      <c r="M859" t="s">
        <v>418</v>
      </c>
      <c r="N859" t="str">
        <f t="shared" si="66"/>
        <v>Сидорова Елена ВасильевнаМорозов Андрей Никитич</v>
      </c>
      <c r="O859" t="s">
        <v>18</v>
      </c>
      <c r="P859" t="s">
        <v>147</v>
      </c>
      <c r="Q859" t="s">
        <v>145</v>
      </c>
    </row>
    <row r="860" spans="10:17" x14ac:dyDescent="0.3">
      <c r="J860" t="str">
        <f t="shared" si="65"/>
        <v>Яковлев Артем ИгоревичНиколаева Полина Егоровна</v>
      </c>
      <c r="K860" t="s">
        <v>8</v>
      </c>
      <c r="L860" t="s">
        <v>193</v>
      </c>
      <c r="M860" t="s">
        <v>418</v>
      </c>
      <c r="N860" t="str">
        <f t="shared" si="66"/>
        <v>Яковлев Артем ИгоревичНиколаева Юлия Егоровна</v>
      </c>
      <c r="O860" t="s">
        <v>8</v>
      </c>
      <c r="P860" t="s">
        <v>126</v>
      </c>
      <c r="Q860" t="s">
        <v>143</v>
      </c>
    </row>
    <row r="861" spans="10:17" x14ac:dyDescent="0.3">
      <c r="J861" t="str">
        <f t="shared" si="65"/>
        <v>Фролов Сергей ВикторовичСмирнова Юлия Олеговна</v>
      </c>
      <c r="K861" t="s">
        <v>40</v>
      </c>
      <c r="L861" t="s">
        <v>163</v>
      </c>
      <c r="M861" t="s">
        <v>419</v>
      </c>
      <c r="N861" t="str">
        <f t="shared" si="66"/>
        <v>Фролов Сергей ВикторовичСидорова Ксения Дмитриевна</v>
      </c>
      <c r="O861" t="s">
        <v>40</v>
      </c>
      <c r="P861" t="s">
        <v>99</v>
      </c>
      <c r="Q861" t="s">
        <v>143</v>
      </c>
    </row>
    <row r="862" spans="10:17" x14ac:dyDescent="0.3">
      <c r="J862" t="str">
        <f t="shared" si="65"/>
        <v>Фролов Сергей ВикторовичИванов Кирилл Владимирович</v>
      </c>
      <c r="K862" t="s">
        <v>40</v>
      </c>
      <c r="L862" t="s">
        <v>152</v>
      </c>
      <c r="M862" t="s">
        <v>419</v>
      </c>
      <c r="N862" t="str">
        <f t="shared" si="66"/>
        <v>Новикова Ольга ПетровнаСеменов Максим Геннадьевич</v>
      </c>
      <c r="O862" t="s">
        <v>47</v>
      </c>
      <c r="P862" t="s">
        <v>111</v>
      </c>
      <c r="Q862" t="s">
        <v>143</v>
      </c>
    </row>
    <row r="863" spans="10:17" x14ac:dyDescent="0.3">
      <c r="J863" t="str">
        <f t="shared" si="65"/>
        <v>Семенова Ирина ВалерьевнаАлексеева Елена Кирилловна</v>
      </c>
      <c r="K863" t="s">
        <v>12</v>
      </c>
      <c r="L863" t="s">
        <v>176</v>
      </c>
      <c r="M863" t="s">
        <v>419</v>
      </c>
      <c r="N863" t="str">
        <f t="shared" si="66"/>
        <v>Новикова Ольга ПетровнаМорозова Светлана Артемовна</v>
      </c>
      <c r="O863" t="s">
        <v>47</v>
      </c>
      <c r="P863" t="s">
        <v>107</v>
      </c>
      <c r="Q863" t="s">
        <v>143</v>
      </c>
    </row>
    <row r="864" spans="10:17" x14ac:dyDescent="0.3">
      <c r="J864" t="str">
        <f t="shared" si="65"/>
        <v>Новикова Ольга ПетровнаСтепанова Юлия Андреевна</v>
      </c>
      <c r="K864" t="s">
        <v>47</v>
      </c>
      <c r="L864" t="s">
        <v>217</v>
      </c>
      <c r="M864" t="s">
        <v>419</v>
      </c>
      <c r="N864" t="str">
        <f t="shared" si="66"/>
        <v>Новикова Ольга ПетровнаЕгорова Ирина Павловна</v>
      </c>
      <c r="O864" t="s">
        <v>47</v>
      </c>
      <c r="P864" t="s">
        <v>63</v>
      </c>
      <c r="Q864" t="s">
        <v>143</v>
      </c>
    </row>
    <row r="865" spans="10:17" x14ac:dyDescent="0.3">
      <c r="J865" t="str">
        <f t="shared" si="65"/>
        <v>Кузнецов Дмитрий ЛьвовичЕгорова Наталья Дмитриевна</v>
      </c>
      <c r="K865" t="s">
        <v>10</v>
      </c>
      <c r="L865" t="s">
        <v>251</v>
      </c>
      <c r="M865" t="s">
        <v>419</v>
      </c>
      <c r="N865" t="str">
        <f t="shared" si="66"/>
        <v>Ткаченко Андрей ОлеговичКозлова София Станиславовна</v>
      </c>
      <c r="O865" t="s">
        <v>5</v>
      </c>
      <c r="P865" t="s">
        <v>54</v>
      </c>
      <c r="Q865" t="s">
        <v>142</v>
      </c>
    </row>
    <row r="866" spans="10:17" x14ac:dyDescent="0.3">
      <c r="J866" t="str">
        <f t="shared" si="65"/>
        <v>Петров Владимир КирилловичФедорова Людмила Кирилловна</v>
      </c>
      <c r="K866" t="s">
        <v>50</v>
      </c>
      <c r="L866" t="s">
        <v>199</v>
      </c>
      <c r="M866" t="s">
        <v>419</v>
      </c>
      <c r="N866" t="str">
        <f t="shared" si="66"/>
        <v>Громова Мария ИльиничнаАлексеева Светлана Станиславовна</v>
      </c>
      <c r="O866" t="s">
        <v>14</v>
      </c>
      <c r="P866" t="s">
        <v>71</v>
      </c>
      <c r="Q866" t="s">
        <v>139</v>
      </c>
    </row>
    <row r="867" spans="10:17" x14ac:dyDescent="0.3">
      <c r="J867" t="str">
        <f t="shared" si="65"/>
        <v>Громова Мария ИльиничнаКузнецов Иван Ильич</v>
      </c>
      <c r="K867" t="s">
        <v>14</v>
      </c>
      <c r="L867" t="s">
        <v>178</v>
      </c>
      <c r="M867" t="s">
        <v>420</v>
      </c>
      <c r="N867" t="str">
        <f t="shared" si="66"/>
        <v>Фролов Сергей ВикторовичВасильева Людмила Ивановна</v>
      </c>
      <c r="O867" t="s">
        <v>40</v>
      </c>
      <c r="P867" t="s">
        <v>140</v>
      </c>
      <c r="Q867" t="s">
        <v>139</v>
      </c>
    </row>
    <row r="868" spans="10:17" x14ac:dyDescent="0.3">
      <c r="J868" t="str">
        <f t="shared" si="65"/>
        <v>Иванова Анна СергеевнаЕгорова Мария Викторовна</v>
      </c>
      <c r="K868" t="s">
        <v>28</v>
      </c>
      <c r="L868" t="s">
        <v>96</v>
      </c>
      <c r="M868" t="s">
        <v>420</v>
      </c>
      <c r="N868" t="str">
        <f t="shared" si="66"/>
        <v>Фролов Сергей ВикторовичПавлова Екатерина Егоровна</v>
      </c>
      <c r="O868" t="s">
        <v>40</v>
      </c>
      <c r="P868" t="s">
        <v>141</v>
      </c>
      <c r="Q868" t="s">
        <v>139</v>
      </c>
    </row>
    <row r="869" spans="10:17" x14ac:dyDescent="0.3">
      <c r="J869" t="str">
        <f t="shared" si="65"/>
        <v>Кузнецов Дмитрий ЛьвовичКузнецова Ирина Владимировна</v>
      </c>
      <c r="K869" t="s">
        <v>10</v>
      </c>
      <c r="L869" t="s">
        <v>276</v>
      </c>
      <c r="M869" t="s">
        <v>420</v>
      </c>
      <c r="N869" t="str">
        <f t="shared" si="66"/>
        <v>Орлов Павел ДенисовичВасильев Матвей Андреевич</v>
      </c>
      <c r="O869" t="s">
        <v>45</v>
      </c>
      <c r="P869" t="s">
        <v>95</v>
      </c>
      <c r="Q869" t="s">
        <v>134</v>
      </c>
    </row>
    <row r="870" spans="10:17" x14ac:dyDescent="0.3">
      <c r="J870" t="str">
        <f t="shared" si="65"/>
        <v>Белов Алексей КонстантиновичВасильев Никита Павлович</v>
      </c>
      <c r="K870" t="s">
        <v>21</v>
      </c>
      <c r="L870" t="s">
        <v>89</v>
      </c>
      <c r="M870" t="s">
        <v>420</v>
      </c>
      <c r="N870" t="str">
        <f t="shared" si="66"/>
        <v>Громова Мария ИльиничнаСидоров Александр Артемович</v>
      </c>
      <c r="O870" t="s">
        <v>14</v>
      </c>
      <c r="P870" t="s">
        <v>77</v>
      </c>
      <c r="Q870" t="s">
        <v>134</v>
      </c>
    </row>
    <row r="871" spans="10:17" x14ac:dyDescent="0.3">
      <c r="J871" t="str">
        <f t="shared" si="65"/>
        <v>Орлов Павел ДенисовичСидорова Елена Кирилловна</v>
      </c>
      <c r="K871" t="s">
        <v>45</v>
      </c>
      <c r="L871" t="s">
        <v>180</v>
      </c>
      <c r="M871" t="s">
        <v>421</v>
      </c>
      <c r="N871" t="str">
        <f t="shared" si="66"/>
        <v>Яковлев Артем ИгоревичСидорова Александра Александровна</v>
      </c>
      <c r="O871" t="s">
        <v>8</v>
      </c>
      <c r="P871" t="s">
        <v>135</v>
      </c>
      <c r="Q871" t="s">
        <v>134</v>
      </c>
    </row>
    <row r="872" spans="10:17" x14ac:dyDescent="0.3">
      <c r="J872" t="str">
        <f t="shared" si="65"/>
        <v>Иванова Анна СергеевнаПавлов Михаил Геннадьевич</v>
      </c>
      <c r="K872" t="s">
        <v>28</v>
      </c>
      <c r="L872" t="s">
        <v>154</v>
      </c>
      <c r="M872" t="s">
        <v>421</v>
      </c>
      <c r="N872" t="str">
        <f t="shared" si="66"/>
        <v>Орлов Павел ДенисовичПопов Иван Михайлович</v>
      </c>
      <c r="O872" t="s">
        <v>45</v>
      </c>
      <c r="P872" t="s">
        <v>109</v>
      </c>
      <c r="Q872" t="s">
        <v>134</v>
      </c>
    </row>
    <row r="873" spans="10:17" x14ac:dyDescent="0.3">
      <c r="J873" t="str">
        <f t="shared" si="65"/>
        <v>Белов Алексей КонстантиновичЕгоров Никита Ильич</v>
      </c>
      <c r="K873" t="s">
        <v>21</v>
      </c>
      <c r="L873" t="s">
        <v>112</v>
      </c>
      <c r="M873" t="s">
        <v>422</v>
      </c>
      <c r="N873" t="str">
        <f t="shared" si="66"/>
        <v>Кузнецов Дмитрий ЛьвовичЛебедев Артем Кириллович</v>
      </c>
      <c r="O873" t="s">
        <v>10</v>
      </c>
      <c r="P873" t="s">
        <v>49</v>
      </c>
      <c r="Q873" t="s">
        <v>134</v>
      </c>
    </row>
    <row r="874" spans="10:17" x14ac:dyDescent="0.3">
      <c r="J874" t="str">
        <f t="shared" si="65"/>
        <v>Фролов Сергей ВикторовичОрлов Сергей Иванович</v>
      </c>
      <c r="K874" t="s">
        <v>40</v>
      </c>
      <c r="L874" t="s">
        <v>364</v>
      </c>
      <c r="M874" t="s">
        <v>423</v>
      </c>
      <c r="N874" t="str">
        <f t="shared" si="66"/>
        <v>Семенова Ирина ВалерьевнаЕгоров Константин Ильич</v>
      </c>
      <c r="O874" t="s">
        <v>12</v>
      </c>
      <c r="P874" t="s">
        <v>136</v>
      </c>
      <c r="Q874" t="s">
        <v>134</v>
      </c>
    </row>
    <row r="875" spans="10:17" x14ac:dyDescent="0.3">
      <c r="J875" t="str">
        <f t="shared" si="65"/>
        <v>Громова Мария ИльиничнаКузнецова Дарья Дмитриевна</v>
      </c>
      <c r="K875" t="s">
        <v>14</v>
      </c>
      <c r="L875" t="s">
        <v>43</v>
      </c>
      <c r="M875" t="s">
        <v>424</v>
      </c>
      <c r="N875" t="str">
        <f t="shared" si="66"/>
        <v>Кузнецов Дмитрий ЛьвовичСидоров Кирилл Кириллович</v>
      </c>
      <c r="O875" t="s">
        <v>10</v>
      </c>
      <c r="P875" t="s">
        <v>137</v>
      </c>
      <c r="Q875" t="s">
        <v>134</v>
      </c>
    </row>
    <row r="876" spans="10:17" x14ac:dyDescent="0.3">
      <c r="J876" t="str">
        <f t="shared" si="65"/>
        <v>Ткаченко Андрей ОлеговичПетрова Вероника Александровна</v>
      </c>
      <c r="K876" t="s">
        <v>5</v>
      </c>
      <c r="L876" t="s">
        <v>23</v>
      </c>
      <c r="M876" t="s">
        <v>424</v>
      </c>
      <c r="N876" t="str">
        <f t="shared" si="66"/>
        <v>Белов Алексей КонстантиновичОрлова Людмила Михайловна</v>
      </c>
      <c r="O876" t="s">
        <v>21</v>
      </c>
      <c r="P876" t="s">
        <v>138</v>
      </c>
      <c r="Q876" t="s">
        <v>134</v>
      </c>
    </row>
    <row r="877" spans="10:17" x14ac:dyDescent="0.3">
      <c r="J877" t="str">
        <f t="shared" si="65"/>
        <v>Сидорова Елена ВасильевнаФедорова Виктория Михайловна</v>
      </c>
      <c r="K877" t="s">
        <v>18</v>
      </c>
      <c r="L877" t="s">
        <v>197</v>
      </c>
      <c r="M877" t="s">
        <v>424</v>
      </c>
      <c r="N877" t="str">
        <f t="shared" si="66"/>
        <v>Петров Владимир КирилловичИванов Александр Павлович</v>
      </c>
      <c r="O877" t="s">
        <v>50</v>
      </c>
      <c r="P877" t="s">
        <v>37</v>
      </c>
      <c r="Q877" t="s">
        <v>133</v>
      </c>
    </row>
    <row r="878" spans="10:17" x14ac:dyDescent="0.3">
      <c r="J878" t="str">
        <f t="shared" si="65"/>
        <v>Орлов Павел ДенисовичСмирнов Андрей Алексеевич</v>
      </c>
      <c r="K878" t="s">
        <v>45</v>
      </c>
      <c r="L878" t="s">
        <v>318</v>
      </c>
      <c r="M878" t="s">
        <v>424</v>
      </c>
      <c r="N878" t="str">
        <f t="shared" si="66"/>
        <v>Фролов Сергей ВикторовичПавлов Кирилл Артемович</v>
      </c>
      <c r="O878" t="s">
        <v>40</v>
      </c>
      <c r="P878" t="s">
        <v>94</v>
      </c>
      <c r="Q878" t="s">
        <v>133</v>
      </c>
    </row>
    <row r="879" spans="10:17" x14ac:dyDescent="0.3">
      <c r="J879" t="str">
        <f t="shared" si="65"/>
        <v>Ткаченко Андрей ОлеговичФедоров Владимир Артемович</v>
      </c>
      <c r="K879" t="s">
        <v>5</v>
      </c>
      <c r="L879" t="s">
        <v>88</v>
      </c>
      <c r="M879" t="s">
        <v>424</v>
      </c>
      <c r="N879" t="str">
        <f t="shared" si="66"/>
        <v>Петров Владимир КирилловичЛебедева Виктория Михайловна</v>
      </c>
      <c r="O879" t="s">
        <v>50</v>
      </c>
      <c r="P879" t="s">
        <v>131</v>
      </c>
      <c r="Q879" t="s">
        <v>132</v>
      </c>
    </row>
    <row r="880" spans="10:17" x14ac:dyDescent="0.3">
      <c r="J880" t="str">
        <f t="shared" si="65"/>
        <v>Белов Алексей КонстантиновичСидоров Дмитрий Кириллович</v>
      </c>
      <c r="K880" t="s">
        <v>21</v>
      </c>
      <c r="L880" t="s">
        <v>166</v>
      </c>
      <c r="M880" t="s">
        <v>424</v>
      </c>
      <c r="N880" t="str">
        <f t="shared" si="66"/>
        <v>Громова Мария ИльиничнаФедоров Роман Дмитриевич</v>
      </c>
      <c r="O880" t="s">
        <v>14</v>
      </c>
      <c r="P880" t="s">
        <v>41</v>
      </c>
      <c r="Q880" t="s">
        <v>129</v>
      </c>
    </row>
    <row r="881" spans="10:17" x14ac:dyDescent="0.3">
      <c r="J881" t="str">
        <f t="shared" si="65"/>
        <v>Фролов Сергей ВикторовичСеменова Наталья Павловна</v>
      </c>
      <c r="K881" t="s">
        <v>40</v>
      </c>
      <c r="L881" t="s">
        <v>194</v>
      </c>
      <c r="M881" t="s">
        <v>424</v>
      </c>
      <c r="N881" t="str">
        <f t="shared" si="66"/>
        <v>Ткаченко Андрей ОлеговичВасильева Ирина Павловна</v>
      </c>
      <c r="O881" t="s">
        <v>5</v>
      </c>
      <c r="P881" t="s">
        <v>130</v>
      </c>
      <c r="Q881" t="s">
        <v>129</v>
      </c>
    </row>
    <row r="882" spans="10:17" x14ac:dyDescent="0.3">
      <c r="J882" t="str">
        <f t="shared" si="65"/>
        <v>Громова Мария ИльиничнаКозлов Роман Сергеевич</v>
      </c>
      <c r="K882" t="s">
        <v>14</v>
      </c>
      <c r="L882" t="s">
        <v>209</v>
      </c>
      <c r="M882" t="s">
        <v>424</v>
      </c>
      <c r="N882" t="str">
        <f t="shared" si="66"/>
        <v>Ткаченко Андрей ОлеговичСеменов Дмитрий Олегович</v>
      </c>
      <c r="O882" t="s">
        <v>5</v>
      </c>
      <c r="P882" t="s">
        <v>9</v>
      </c>
      <c r="Q882" t="s">
        <v>128</v>
      </c>
    </row>
    <row r="883" spans="10:17" x14ac:dyDescent="0.3">
      <c r="J883" t="str">
        <f t="shared" si="65"/>
        <v>Яковлев Артем ИгоревичКузнецов Никита Андреевич</v>
      </c>
      <c r="K883" t="s">
        <v>8</v>
      </c>
      <c r="L883" t="s">
        <v>20</v>
      </c>
      <c r="M883" t="s">
        <v>424</v>
      </c>
      <c r="N883" t="str">
        <f t="shared" si="66"/>
        <v>Иванова Анна СергеевнаПетров Алексей Сергеевич</v>
      </c>
      <c r="O883" t="s">
        <v>28</v>
      </c>
      <c r="P883" t="s">
        <v>66</v>
      </c>
      <c r="Q883" t="s">
        <v>128</v>
      </c>
    </row>
    <row r="884" spans="10:17" x14ac:dyDescent="0.3">
      <c r="J884" t="str">
        <f t="shared" si="65"/>
        <v>Кузнецов Дмитрий ЛьвовичЕгорова Татьяна Александровна</v>
      </c>
      <c r="K884" t="s">
        <v>10</v>
      </c>
      <c r="L884" t="s">
        <v>168</v>
      </c>
      <c r="M884" t="s">
        <v>425</v>
      </c>
      <c r="N884" t="str">
        <f t="shared" si="66"/>
        <v>Сидорова Елена ВасильевнаИванов Дмитрий Павлович</v>
      </c>
      <c r="O884" t="s">
        <v>18</v>
      </c>
      <c r="P884" t="s">
        <v>124</v>
      </c>
      <c r="Q884" t="s">
        <v>125</v>
      </c>
    </row>
    <row r="885" spans="10:17" x14ac:dyDescent="0.3">
      <c r="J885" t="str">
        <f t="shared" si="65"/>
        <v>Орлов Павел ДенисовичСмирнов Андрей Алексеевич</v>
      </c>
      <c r="K885" t="s">
        <v>45</v>
      </c>
      <c r="L885" t="s">
        <v>318</v>
      </c>
      <c r="M885" t="s">
        <v>426</v>
      </c>
      <c r="N885" t="str">
        <f t="shared" si="66"/>
        <v>Орлов Павел ДенисовичНиколаева Юлия Егоровна</v>
      </c>
      <c r="O885" t="s">
        <v>45</v>
      </c>
      <c r="P885" t="s">
        <v>126</v>
      </c>
      <c r="Q885" t="s">
        <v>125</v>
      </c>
    </row>
    <row r="886" spans="10:17" x14ac:dyDescent="0.3">
      <c r="J886" t="str">
        <f t="shared" si="65"/>
        <v>Громова Мария ИльиничнаСтепанов Александр Станиславович</v>
      </c>
      <c r="K886" t="s">
        <v>14</v>
      </c>
      <c r="L886" t="s">
        <v>122</v>
      </c>
      <c r="M886" t="s">
        <v>426</v>
      </c>
      <c r="N886" t="str">
        <f t="shared" si="66"/>
        <v>Белов Алексей КонстантиновичМорозов Сергей Олегович</v>
      </c>
      <c r="O886" t="s">
        <v>21</v>
      </c>
      <c r="P886" t="s">
        <v>46</v>
      </c>
      <c r="Q886" t="s">
        <v>125</v>
      </c>
    </row>
    <row r="887" spans="10:17" x14ac:dyDescent="0.3">
      <c r="J887" t="str">
        <f t="shared" si="65"/>
        <v>Орлов Павел ДенисовичПетров Илья Михайлович</v>
      </c>
      <c r="K887" t="s">
        <v>45</v>
      </c>
      <c r="L887" t="s">
        <v>15</v>
      </c>
      <c r="M887" t="s">
        <v>427</v>
      </c>
      <c r="N887" t="str">
        <f t="shared" si="66"/>
        <v>Новикова Ольга ПетровнаОрлова Ирина Ильинична</v>
      </c>
      <c r="O887" t="s">
        <v>47</v>
      </c>
      <c r="P887" t="s">
        <v>29</v>
      </c>
      <c r="Q887" t="s">
        <v>125</v>
      </c>
    </row>
    <row r="888" spans="10:17" x14ac:dyDescent="0.3">
      <c r="J888" t="str">
        <f t="shared" si="65"/>
        <v>Белов Алексей КонстантиновичЛебедев Никита Сергеевич</v>
      </c>
      <c r="K888" t="s">
        <v>21</v>
      </c>
      <c r="L888" t="s">
        <v>156</v>
      </c>
      <c r="M888" t="s">
        <v>427</v>
      </c>
      <c r="N888" t="str">
        <f t="shared" si="66"/>
        <v>Иванова Анна СергеевнаСмирнов Артем Егорович</v>
      </c>
      <c r="O888" t="s">
        <v>28</v>
      </c>
      <c r="P888" t="s">
        <v>127</v>
      </c>
      <c r="Q888" t="s">
        <v>125</v>
      </c>
    </row>
    <row r="889" spans="10:17" x14ac:dyDescent="0.3">
      <c r="J889" t="str">
        <f t="shared" si="65"/>
        <v>Белов Алексей КонстантиновичПетров Алексей Сергеевич</v>
      </c>
      <c r="K889" t="s">
        <v>21</v>
      </c>
      <c r="L889" t="s">
        <v>66</v>
      </c>
      <c r="M889" t="s">
        <v>427</v>
      </c>
      <c r="N889" t="str">
        <f t="shared" si="66"/>
        <v>Иванова Анна СергеевнаПетров Илья Андреевич</v>
      </c>
      <c r="O889" t="s">
        <v>28</v>
      </c>
      <c r="P889" t="s">
        <v>70</v>
      </c>
      <c r="Q889" t="s">
        <v>125</v>
      </c>
    </row>
    <row r="890" spans="10:17" x14ac:dyDescent="0.3">
      <c r="J890" t="str">
        <f t="shared" si="65"/>
        <v>Семенова Ирина ВалерьевнаОрлова Полина Олеговна</v>
      </c>
      <c r="K890" t="s">
        <v>12</v>
      </c>
      <c r="L890" t="s">
        <v>101</v>
      </c>
      <c r="M890" t="s">
        <v>427</v>
      </c>
      <c r="N890" t="str">
        <f t="shared" si="66"/>
        <v>Семенова Ирина ВалерьевнаПетрова Вероника Александровна</v>
      </c>
      <c r="O890" t="s">
        <v>12</v>
      </c>
      <c r="P890" t="s">
        <v>23</v>
      </c>
      <c r="Q890" t="s">
        <v>125</v>
      </c>
    </row>
    <row r="891" spans="10:17" x14ac:dyDescent="0.3">
      <c r="J891" t="str">
        <f t="shared" si="65"/>
        <v>Новикова Ольга ПетровнаСмирнов Андрей Алексеевич</v>
      </c>
      <c r="K891" t="s">
        <v>47</v>
      </c>
      <c r="L891" t="s">
        <v>318</v>
      </c>
      <c r="M891" t="s">
        <v>428</v>
      </c>
      <c r="N891" t="str">
        <f t="shared" si="66"/>
        <v>Новикова Ольга ПетровнаИванов Дмитрий Павлович</v>
      </c>
      <c r="O891" t="s">
        <v>47</v>
      </c>
      <c r="P891" t="s">
        <v>124</v>
      </c>
      <c r="Q891" t="s">
        <v>125</v>
      </c>
    </row>
    <row r="892" spans="10:17" x14ac:dyDescent="0.3">
      <c r="J892" t="str">
        <f t="shared" si="65"/>
        <v>Петров Владимир КирилловичСидоров Александр Артемович</v>
      </c>
      <c r="K892" t="s">
        <v>50</v>
      </c>
      <c r="L892" t="s">
        <v>77</v>
      </c>
      <c r="M892" t="s">
        <v>429</v>
      </c>
      <c r="N892" t="str">
        <f t="shared" si="66"/>
        <v>Ткаченко Андрей ОлеговичПетрова Вероника Александровна</v>
      </c>
      <c r="O892" t="s">
        <v>5</v>
      </c>
      <c r="P892" t="s">
        <v>23</v>
      </c>
      <c r="Q892" t="s">
        <v>125</v>
      </c>
    </row>
    <row r="893" spans="10:17" x14ac:dyDescent="0.3">
      <c r="J893" t="str">
        <f t="shared" si="65"/>
        <v>Орлов Павел ДенисовичЛебедев Владимир Егорович</v>
      </c>
      <c r="K893" t="s">
        <v>45</v>
      </c>
      <c r="L893" t="s">
        <v>59</v>
      </c>
      <c r="M893" t="s">
        <v>429</v>
      </c>
      <c r="N893" t="str">
        <f t="shared" si="66"/>
        <v>Петров Владимир КирилловичФедоров Дмитрий Михайлович</v>
      </c>
      <c r="O893" t="s">
        <v>50</v>
      </c>
      <c r="P893" t="s">
        <v>100</v>
      </c>
      <c r="Q893" t="s">
        <v>121</v>
      </c>
    </row>
    <row r="894" spans="10:17" x14ac:dyDescent="0.3">
      <c r="J894" t="str">
        <f t="shared" si="65"/>
        <v>Новикова Ольга ПетровнаЕгорова Алиса Егоровна</v>
      </c>
      <c r="K894" t="s">
        <v>47</v>
      </c>
      <c r="L894" t="s">
        <v>144</v>
      </c>
      <c r="M894" t="s">
        <v>429</v>
      </c>
      <c r="N894" t="str">
        <f t="shared" si="66"/>
        <v>Новикова Ольга ПетровнаСтепанов Александр Станиславович</v>
      </c>
      <c r="O894" t="s">
        <v>47</v>
      </c>
      <c r="P894" t="s">
        <v>122</v>
      </c>
      <c r="Q894" t="s">
        <v>121</v>
      </c>
    </row>
    <row r="895" spans="10:17" x14ac:dyDescent="0.3">
      <c r="J895" t="str">
        <f t="shared" si="65"/>
        <v>Сидорова Елена ВасильевнаНиколаева София Геннадьевна</v>
      </c>
      <c r="K895" t="s">
        <v>18</v>
      </c>
      <c r="L895" t="s">
        <v>315</v>
      </c>
      <c r="M895" t="s">
        <v>429</v>
      </c>
      <c r="N895" t="str">
        <f t="shared" si="66"/>
        <v>Новикова Ольга ПетровнаЛебедев Матвей Кириллович</v>
      </c>
      <c r="O895" t="s">
        <v>47</v>
      </c>
      <c r="P895" t="s">
        <v>123</v>
      </c>
      <c r="Q895" t="s">
        <v>121</v>
      </c>
    </row>
    <row r="896" spans="10:17" x14ac:dyDescent="0.3">
      <c r="J896" t="str">
        <f t="shared" si="65"/>
        <v>Петров Владимир КирилловичВолков Александр Юрьевич</v>
      </c>
      <c r="K896" t="s">
        <v>50</v>
      </c>
      <c r="L896" t="s">
        <v>103</v>
      </c>
      <c r="M896" t="s">
        <v>429</v>
      </c>
      <c r="N896" t="str">
        <f t="shared" si="66"/>
        <v>Иванова Анна СергеевнаСеменова Полина Артемовна</v>
      </c>
      <c r="O896" t="s">
        <v>28</v>
      </c>
      <c r="P896" t="s">
        <v>119</v>
      </c>
      <c r="Q896" t="s">
        <v>120</v>
      </c>
    </row>
    <row r="897" spans="10:17" x14ac:dyDescent="0.3">
      <c r="J897" t="str">
        <f t="shared" si="65"/>
        <v>Фролов Сергей ВикторовичЕгоров Артем Никитич</v>
      </c>
      <c r="K897" t="s">
        <v>40</v>
      </c>
      <c r="L897" t="s">
        <v>25</v>
      </c>
      <c r="M897" t="s">
        <v>429</v>
      </c>
      <c r="N897" t="str">
        <f t="shared" si="66"/>
        <v>Кузнецов Дмитрий ЛьвовичМорозова София Геннадьевна</v>
      </c>
      <c r="O897" t="s">
        <v>10</v>
      </c>
      <c r="P897" t="s">
        <v>115</v>
      </c>
      <c r="Q897" t="s">
        <v>120</v>
      </c>
    </row>
    <row r="898" spans="10:17" x14ac:dyDescent="0.3">
      <c r="J898" t="str">
        <f t="shared" si="65"/>
        <v>Ткаченко Андрей ОлеговичПавлов Георгий Александрович</v>
      </c>
      <c r="K898" t="s">
        <v>5</v>
      </c>
      <c r="L898" t="s">
        <v>273</v>
      </c>
      <c r="M898" t="s">
        <v>430</v>
      </c>
      <c r="N898" t="str">
        <f t="shared" si="66"/>
        <v>Яковлев Артем ИгоревичСмирнова Алиса Сергеевна</v>
      </c>
      <c r="O898" t="s">
        <v>8</v>
      </c>
      <c r="P898" t="s">
        <v>117</v>
      </c>
      <c r="Q898" t="s">
        <v>118</v>
      </c>
    </row>
    <row r="899" spans="10:17" x14ac:dyDescent="0.3">
      <c r="J899" t="str">
        <f t="shared" ref="J899:J962" si="67">K899&amp;L899</f>
        <v>Сидорова Елена ВасильевнаМорозов Андрей Никитич</v>
      </c>
      <c r="K899" t="s">
        <v>18</v>
      </c>
      <c r="L899" t="s">
        <v>147</v>
      </c>
      <c r="M899" t="s">
        <v>430</v>
      </c>
      <c r="N899" t="str">
        <f t="shared" ref="N899:N962" si="68">O899&amp;P899</f>
        <v>Яковлев Артем ИгоревичПавлов Георгий Андреевич</v>
      </c>
      <c r="O899" t="s">
        <v>8</v>
      </c>
      <c r="P899" t="s">
        <v>72</v>
      </c>
      <c r="Q899" t="s">
        <v>118</v>
      </c>
    </row>
    <row r="900" spans="10:17" x14ac:dyDescent="0.3">
      <c r="J900" t="str">
        <f t="shared" si="67"/>
        <v>Белов Алексей КонстантиновичСтепанов Александр Станиславович</v>
      </c>
      <c r="K900" t="s">
        <v>21</v>
      </c>
      <c r="L900" t="s">
        <v>122</v>
      </c>
      <c r="M900" t="s">
        <v>430</v>
      </c>
      <c r="N900" t="str">
        <f t="shared" si="68"/>
        <v>Сидорова Елена ВасильевнаЕгорова Мария Викторовна</v>
      </c>
      <c r="O900" t="s">
        <v>18</v>
      </c>
      <c r="P900" t="s">
        <v>96</v>
      </c>
      <c r="Q900" t="s">
        <v>118</v>
      </c>
    </row>
    <row r="901" spans="10:17" x14ac:dyDescent="0.3">
      <c r="J901" t="str">
        <f t="shared" si="67"/>
        <v>Орлов Павел ДенисовичСидорова Александра Александровна</v>
      </c>
      <c r="K901" t="s">
        <v>45</v>
      </c>
      <c r="L901" t="s">
        <v>135</v>
      </c>
      <c r="M901" t="s">
        <v>431</v>
      </c>
      <c r="N901" t="str">
        <f t="shared" si="68"/>
        <v>Новикова Ольга ПетровнаЕгоров Никита Ильич</v>
      </c>
      <c r="O901" t="s">
        <v>47</v>
      </c>
      <c r="P901" t="s">
        <v>112</v>
      </c>
      <c r="Q901" t="s">
        <v>113</v>
      </c>
    </row>
    <row r="902" spans="10:17" x14ac:dyDescent="0.3">
      <c r="J902" t="str">
        <f t="shared" si="67"/>
        <v>Яковлев Артем ИгоревичСмирнов Павел Геннадьевич</v>
      </c>
      <c r="K902" t="s">
        <v>8</v>
      </c>
      <c r="L902" t="s">
        <v>56</v>
      </c>
      <c r="M902" t="s">
        <v>432</v>
      </c>
      <c r="N902" t="str">
        <f t="shared" si="68"/>
        <v>Сидорова Елена ВасильевнаЕгоров Максим Олегович</v>
      </c>
      <c r="O902" t="s">
        <v>18</v>
      </c>
      <c r="P902" t="s">
        <v>114</v>
      </c>
      <c r="Q902" t="s">
        <v>113</v>
      </c>
    </row>
    <row r="903" spans="10:17" x14ac:dyDescent="0.3">
      <c r="J903" t="str">
        <f t="shared" si="67"/>
        <v>Ткаченко Андрей ОлеговичПавлова София Владимировна</v>
      </c>
      <c r="K903" t="s">
        <v>5</v>
      </c>
      <c r="L903" t="s">
        <v>394</v>
      </c>
      <c r="M903" t="s">
        <v>432</v>
      </c>
      <c r="N903" t="str">
        <f t="shared" si="68"/>
        <v>Семенова Ирина ВалерьевнаСидоров Роман Кириллович</v>
      </c>
      <c r="O903" t="s">
        <v>12</v>
      </c>
      <c r="P903" t="s">
        <v>110</v>
      </c>
      <c r="Q903" t="s">
        <v>113</v>
      </c>
    </row>
    <row r="904" spans="10:17" x14ac:dyDescent="0.3">
      <c r="J904" t="str">
        <f t="shared" si="67"/>
        <v>Сидорова Елена ВасильевнаНовиков Михаил Владимирович</v>
      </c>
      <c r="K904" t="s">
        <v>18</v>
      </c>
      <c r="L904" t="s">
        <v>36</v>
      </c>
      <c r="M904" t="s">
        <v>432</v>
      </c>
      <c r="N904" t="str">
        <f t="shared" si="68"/>
        <v>Белов Алексей КонстантиновичОрлов Георгий Кириллович</v>
      </c>
      <c r="O904" t="s">
        <v>21</v>
      </c>
      <c r="P904" t="s">
        <v>30</v>
      </c>
      <c r="Q904" t="s">
        <v>113</v>
      </c>
    </row>
    <row r="905" spans="10:17" x14ac:dyDescent="0.3">
      <c r="J905" t="str">
        <f t="shared" si="67"/>
        <v>Ткаченко Андрей ОлеговичКозлова Татьяна Михайловна</v>
      </c>
      <c r="K905" t="s">
        <v>5</v>
      </c>
      <c r="L905" t="s">
        <v>61</v>
      </c>
      <c r="M905" t="s">
        <v>432</v>
      </c>
      <c r="N905" t="str">
        <f t="shared" si="68"/>
        <v>Кузнецов Дмитрий ЛьвовичЛебедев Дмитрий Викторович</v>
      </c>
      <c r="O905" t="s">
        <v>10</v>
      </c>
      <c r="P905" t="s">
        <v>85</v>
      </c>
      <c r="Q905" t="s">
        <v>113</v>
      </c>
    </row>
    <row r="906" spans="10:17" x14ac:dyDescent="0.3">
      <c r="J906" t="str">
        <f t="shared" si="67"/>
        <v>Громова Мария ИльиничнаНиколаев Артем Олегович</v>
      </c>
      <c r="K906" t="s">
        <v>14</v>
      </c>
      <c r="L906" t="s">
        <v>80</v>
      </c>
      <c r="M906" t="s">
        <v>433</v>
      </c>
      <c r="N906" t="str">
        <f t="shared" si="68"/>
        <v>Ткаченко Андрей ОлеговичМорозова София Геннадьевна</v>
      </c>
      <c r="O906" t="s">
        <v>5</v>
      </c>
      <c r="P906" t="s">
        <v>115</v>
      </c>
      <c r="Q906" t="s">
        <v>113</v>
      </c>
    </row>
    <row r="907" spans="10:17" x14ac:dyDescent="0.3">
      <c r="J907" t="str">
        <f t="shared" si="67"/>
        <v>Иванова Анна СергеевнаПетров Алексей Олегович</v>
      </c>
      <c r="K907" t="s">
        <v>28</v>
      </c>
      <c r="L907" t="s">
        <v>190</v>
      </c>
      <c r="M907" t="s">
        <v>433</v>
      </c>
      <c r="N907" t="str">
        <f t="shared" si="68"/>
        <v>Белов Алексей КонстантиновичНовиков Иван Андреевич</v>
      </c>
      <c r="O907" t="s">
        <v>21</v>
      </c>
      <c r="P907" t="s">
        <v>81</v>
      </c>
      <c r="Q907" t="s">
        <v>113</v>
      </c>
    </row>
    <row r="908" spans="10:17" x14ac:dyDescent="0.3">
      <c r="J908" t="str">
        <f t="shared" si="67"/>
        <v>Ткаченко Андрей ОлеговичЛебедева Елена Олеговна</v>
      </c>
      <c r="K908" t="s">
        <v>5</v>
      </c>
      <c r="L908" t="s">
        <v>388</v>
      </c>
      <c r="M908" t="s">
        <v>433</v>
      </c>
      <c r="N908" t="str">
        <f t="shared" si="68"/>
        <v>Орлов Павел ДенисовичОрлов Матвей Алексеевич</v>
      </c>
      <c r="O908" t="s">
        <v>45</v>
      </c>
      <c r="P908" t="s">
        <v>116</v>
      </c>
      <c r="Q908" t="s">
        <v>113</v>
      </c>
    </row>
    <row r="909" spans="10:17" x14ac:dyDescent="0.3">
      <c r="J909" t="str">
        <f t="shared" si="67"/>
        <v>Новикова Ольга ПетровнаВасильев Матвей Геннадьевич</v>
      </c>
      <c r="K909" t="s">
        <v>47</v>
      </c>
      <c r="L909" t="s">
        <v>160</v>
      </c>
      <c r="M909" t="s">
        <v>433</v>
      </c>
      <c r="N909" t="str">
        <f t="shared" si="68"/>
        <v>Новикова Ольга ПетровнаМорозова Светлана Артемовна</v>
      </c>
      <c r="O909" t="s">
        <v>47</v>
      </c>
      <c r="P909" t="s">
        <v>107</v>
      </c>
      <c r="Q909" t="s">
        <v>108</v>
      </c>
    </row>
    <row r="910" spans="10:17" x14ac:dyDescent="0.3">
      <c r="J910" t="str">
        <f t="shared" si="67"/>
        <v>Иванова Анна СергеевнаОрлова Юлия Алексеевна</v>
      </c>
      <c r="K910" t="s">
        <v>28</v>
      </c>
      <c r="L910" t="s">
        <v>171</v>
      </c>
      <c r="M910" t="s">
        <v>434</v>
      </c>
      <c r="N910" t="str">
        <f t="shared" si="68"/>
        <v>Белов Алексей КонстантиновичПопов Иван Михайлович</v>
      </c>
      <c r="O910" t="s">
        <v>21</v>
      </c>
      <c r="P910" t="s">
        <v>109</v>
      </c>
      <c r="Q910" t="s">
        <v>108</v>
      </c>
    </row>
    <row r="911" spans="10:17" x14ac:dyDescent="0.3">
      <c r="J911" t="str">
        <f t="shared" si="67"/>
        <v>Кузнецов Дмитрий ЛьвовичЛебедев Никита Сергеевич</v>
      </c>
      <c r="K911" t="s">
        <v>10</v>
      </c>
      <c r="L911" t="s">
        <v>156</v>
      </c>
      <c r="M911" t="s">
        <v>434</v>
      </c>
      <c r="N911" t="str">
        <f t="shared" si="68"/>
        <v>Ткаченко Андрей ОлеговичНовиков Михаил Владимирович</v>
      </c>
      <c r="O911" t="s">
        <v>5</v>
      </c>
      <c r="P911" t="s">
        <v>36</v>
      </c>
      <c r="Q911" t="s">
        <v>108</v>
      </c>
    </row>
    <row r="912" spans="10:17" x14ac:dyDescent="0.3">
      <c r="J912" t="str">
        <f t="shared" si="67"/>
        <v>Петров Владимир КирилловичПопова Виктория Геннадьевна</v>
      </c>
      <c r="K912" t="s">
        <v>50</v>
      </c>
      <c r="L912" t="s">
        <v>167</v>
      </c>
      <c r="M912" t="s">
        <v>434</v>
      </c>
      <c r="N912" t="str">
        <f t="shared" si="68"/>
        <v>Сидорова Елена ВасильевнаСидоров Роман Кириллович</v>
      </c>
      <c r="O912" t="s">
        <v>18</v>
      </c>
      <c r="P912" t="s">
        <v>110</v>
      </c>
      <c r="Q912" t="s">
        <v>108</v>
      </c>
    </row>
    <row r="913" spans="10:17" x14ac:dyDescent="0.3">
      <c r="J913" t="str">
        <f t="shared" si="67"/>
        <v>Орлов Павел ДенисовичАлексеев Матвей Александрович</v>
      </c>
      <c r="K913" t="s">
        <v>45</v>
      </c>
      <c r="L913" t="s">
        <v>305</v>
      </c>
      <c r="M913" t="s">
        <v>434</v>
      </c>
      <c r="N913" t="str">
        <f t="shared" si="68"/>
        <v>Семенова Ирина ВалерьевнаПопова Людмила Ивановна</v>
      </c>
      <c r="O913" t="s">
        <v>12</v>
      </c>
      <c r="P913" t="s">
        <v>106</v>
      </c>
      <c r="Q913" t="s">
        <v>108</v>
      </c>
    </row>
    <row r="914" spans="10:17" x14ac:dyDescent="0.3">
      <c r="J914" t="str">
        <f t="shared" si="67"/>
        <v>Громова Мария ИльиничнаЛебедева Анна Викторовна</v>
      </c>
      <c r="K914" t="s">
        <v>14</v>
      </c>
      <c r="L914" t="s">
        <v>48</v>
      </c>
      <c r="M914" t="s">
        <v>434</v>
      </c>
      <c r="N914" t="str">
        <f t="shared" si="68"/>
        <v>Орлов Павел ДенисовичСеменов Максим Геннадьевич</v>
      </c>
      <c r="O914" t="s">
        <v>45</v>
      </c>
      <c r="P914" t="s">
        <v>111</v>
      </c>
      <c r="Q914" t="s">
        <v>108</v>
      </c>
    </row>
    <row r="915" spans="10:17" x14ac:dyDescent="0.3">
      <c r="J915" t="str">
        <f t="shared" si="67"/>
        <v>Сидорова Елена ВасильевнаОрлова Валерия Юрьевна</v>
      </c>
      <c r="K915" t="s">
        <v>18</v>
      </c>
      <c r="L915" t="s">
        <v>258</v>
      </c>
      <c r="M915" t="s">
        <v>435</v>
      </c>
      <c r="N915" t="str">
        <f t="shared" si="68"/>
        <v>Фролов Сергей ВикторовичВолков Александр Юрьевич</v>
      </c>
      <c r="O915" t="s">
        <v>40</v>
      </c>
      <c r="P915" t="s">
        <v>103</v>
      </c>
      <c r="Q915" t="s">
        <v>104</v>
      </c>
    </row>
    <row r="916" spans="10:17" x14ac:dyDescent="0.3">
      <c r="J916" t="str">
        <f t="shared" si="67"/>
        <v>Яковлев Артем ИгоревичПетров Иван Егорович</v>
      </c>
      <c r="K916" t="s">
        <v>8</v>
      </c>
      <c r="L916" t="s">
        <v>149</v>
      </c>
      <c r="M916" t="s">
        <v>435</v>
      </c>
      <c r="N916" t="str">
        <f t="shared" si="68"/>
        <v>Орлов Павел ДенисовичНовикова Ирина Геннадьевна</v>
      </c>
      <c r="O916" t="s">
        <v>45</v>
      </c>
      <c r="P916" t="s">
        <v>105</v>
      </c>
      <c r="Q916" t="s">
        <v>104</v>
      </c>
    </row>
    <row r="917" spans="10:17" x14ac:dyDescent="0.3">
      <c r="J917" t="str">
        <f t="shared" si="67"/>
        <v>Сидорова Елена ВасильевнаЕгоров Максим Олегович</v>
      </c>
      <c r="K917" t="s">
        <v>18</v>
      </c>
      <c r="L917" t="s">
        <v>114</v>
      </c>
      <c r="M917" t="s">
        <v>435</v>
      </c>
      <c r="N917" t="str">
        <f t="shared" si="68"/>
        <v>Иванова Анна СергеевнаПопова Людмила Ивановна</v>
      </c>
      <c r="O917" t="s">
        <v>28</v>
      </c>
      <c r="P917" t="s">
        <v>106</v>
      </c>
      <c r="Q917" t="s">
        <v>104</v>
      </c>
    </row>
    <row r="918" spans="10:17" x14ac:dyDescent="0.3">
      <c r="J918" t="str">
        <f t="shared" si="67"/>
        <v>Кузнецов Дмитрий ЛьвовичКузнецов Иван Ильич</v>
      </c>
      <c r="K918" t="s">
        <v>10</v>
      </c>
      <c r="L918" t="s">
        <v>178</v>
      </c>
      <c r="M918" t="s">
        <v>436</v>
      </c>
      <c r="N918" t="str">
        <f t="shared" si="68"/>
        <v>Сидорова Елена ВасильевнаЕгорова Мария Викторовна</v>
      </c>
      <c r="O918" t="s">
        <v>18</v>
      </c>
      <c r="P918" t="s">
        <v>96</v>
      </c>
      <c r="Q918" t="s">
        <v>102</v>
      </c>
    </row>
    <row r="919" spans="10:17" x14ac:dyDescent="0.3">
      <c r="J919" t="str">
        <f t="shared" si="67"/>
        <v>Громова Мария ИльиничнаИванов Дмитрий Павлович</v>
      </c>
      <c r="K919" t="s">
        <v>14</v>
      </c>
      <c r="L919" t="s">
        <v>124</v>
      </c>
      <c r="M919" t="s">
        <v>436</v>
      </c>
      <c r="N919" t="str">
        <f t="shared" si="68"/>
        <v>Фролов Сергей ВикторовичФедоров Дмитрий Михайлович</v>
      </c>
      <c r="O919" t="s">
        <v>40</v>
      </c>
      <c r="P919" t="s">
        <v>100</v>
      </c>
      <c r="Q919" t="s">
        <v>102</v>
      </c>
    </row>
    <row r="920" spans="10:17" x14ac:dyDescent="0.3">
      <c r="J920" t="str">
        <f t="shared" si="67"/>
        <v>Белов Алексей КонстантиновичЕгорова Наталья Дмитриевна</v>
      </c>
      <c r="K920" t="s">
        <v>21</v>
      </c>
      <c r="L920" t="s">
        <v>251</v>
      </c>
      <c r="M920" t="s">
        <v>437</v>
      </c>
      <c r="N920" t="str">
        <f t="shared" si="68"/>
        <v>Петров Владимир КирилловичКузнецова Дарья Дмитриевна</v>
      </c>
      <c r="O920" t="s">
        <v>50</v>
      </c>
      <c r="P920" t="s">
        <v>43</v>
      </c>
      <c r="Q920" t="s">
        <v>98</v>
      </c>
    </row>
    <row r="921" spans="10:17" x14ac:dyDescent="0.3">
      <c r="J921" t="str">
        <f t="shared" si="67"/>
        <v>Петров Владимир КирилловичКузнецов Георгий Кириллович</v>
      </c>
      <c r="K921" t="s">
        <v>50</v>
      </c>
      <c r="L921" t="s">
        <v>252</v>
      </c>
      <c r="M921" t="s">
        <v>438</v>
      </c>
      <c r="N921" t="str">
        <f t="shared" si="68"/>
        <v>Петров Владимир КирилловичСидорова Ксения Дмитриевна</v>
      </c>
      <c r="O921" t="s">
        <v>50</v>
      </c>
      <c r="P921" t="s">
        <v>99</v>
      </c>
      <c r="Q921" t="s">
        <v>98</v>
      </c>
    </row>
    <row r="922" spans="10:17" x14ac:dyDescent="0.3">
      <c r="J922" t="str">
        <f t="shared" si="67"/>
        <v>Орлов Павел ДенисовичСмирнов Дмитрий Никитич</v>
      </c>
      <c r="K922" t="s">
        <v>45</v>
      </c>
      <c r="L922" t="s">
        <v>165</v>
      </c>
      <c r="M922" t="s">
        <v>438</v>
      </c>
      <c r="N922" t="str">
        <f t="shared" si="68"/>
        <v>Новикова Ольга ПетровнаЛебедев Артем Кириллович</v>
      </c>
      <c r="O922" t="s">
        <v>47</v>
      </c>
      <c r="P922" t="s">
        <v>49</v>
      </c>
      <c r="Q922" t="s">
        <v>98</v>
      </c>
    </row>
    <row r="923" spans="10:17" x14ac:dyDescent="0.3">
      <c r="J923" t="str">
        <f t="shared" si="67"/>
        <v>Семенова Ирина ВалерьевнаНиколаева Юлия Егоровна</v>
      </c>
      <c r="K923" t="s">
        <v>12</v>
      </c>
      <c r="L923" t="s">
        <v>126</v>
      </c>
      <c r="M923" t="s">
        <v>438</v>
      </c>
      <c r="N923" t="str">
        <f t="shared" si="68"/>
        <v>Кузнецов Дмитрий ЛьвовичФедоров Дмитрий Михайлович</v>
      </c>
      <c r="O923" t="s">
        <v>10</v>
      </c>
      <c r="P923" t="s">
        <v>100</v>
      </c>
      <c r="Q923" t="s">
        <v>98</v>
      </c>
    </row>
    <row r="924" spans="10:17" x14ac:dyDescent="0.3">
      <c r="J924" t="str">
        <f t="shared" si="67"/>
        <v>Петров Владимир КирилловичЕгоров Артур Егорович</v>
      </c>
      <c r="K924" t="s">
        <v>50</v>
      </c>
      <c r="L924" t="s">
        <v>238</v>
      </c>
      <c r="M924" t="s">
        <v>438</v>
      </c>
      <c r="N924" t="str">
        <f t="shared" si="68"/>
        <v>Новикова Ольга ПетровнаОрлова Полина Олеговна</v>
      </c>
      <c r="O924" t="s">
        <v>47</v>
      </c>
      <c r="P924" t="s">
        <v>101</v>
      </c>
      <c r="Q924" t="s">
        <v>98</v>
      </c>
    </row>
    <row r="925" spans="10:17" x14ac:dyDescent="0.3">
      <c r="J925" t="str">
        <f t="shared" si="67"/>
        <v>Яковлев Артем ИгоревичСтепанова Мария Ильинична</v>
      </c>
      <c r="K925" t="s">
        <v>8</v>
      </c>
      <c r="L925" t="s">
        <v>338</v>
      </c>
      <c r="M925" t="s">
        <v>438</v>
      </c>
      <c r="N925" t="str">
        <f t="shared" si="68"/>
        <v>Яковлев Артем ИгоревичПопов Алексей Кириллович</v>
      </c>
      <c r="O925" t="s">
        <v>8</v>
      </c>
      <c r="P925" t="s">
        <v>92</v>
      </c>
      <c r="Q925" t="s">
        <v>93</v>
      </c>
    </row>
    <row r="926" spans="10:17" x14ac:dyDescent="0.3">
      <c r="J926" t="str">
        <f t="shared" si="67"/>
        <v>Яковлев Артем ИгоревичКозлова София Станиславовна</v>
      </c>
      <c r="K926" t="s">
        <v>8</v>
      </c>
      <c r="L926" t="s">
        <v>54</v>
      </c>
      <c r="M926" t="s">
        <v>438</v>
      </c>
      <c r="N926" t="str">
        <f t="shared" si="68"/>
        <v>Сидорова Елена ВасильевнаПетров Павел Кириллович</v>
      </c>
      <c r="O926" t="s">
        <v>18</v>
      </c>
      <c r="P926" t="s">
        <v>78</v>
      </c>
      <c r="Q926" t="s">
        <v>93</v>
      </c>
    </row>
    <row r="927" spans="10:17" x14ac:dyDescent="0.3">
      <c r="J927" t="str">
        <f t="shared" si="67"/>
        <v>Новикова Ольга ПетровнаИванов Илья Артемович</v>
      </c>
      <c r="K927" t="s">
        <v>47</v>
      </c>
      <c r="L927" t="s">
        <v>83</v>
      </c>
      <c r="M927" t="s">
        <v>439</v>
      </c>
      <c r="N927" t="str">
        <f t="shared" si="68"/>
        <v>Сидорова Елена ВасильевнаЛебедева Анна Викторовна</v>
      </c>
      <c r="O927" t="s">
        <v>18</v>
      </c>
      <c r="P927" t="s">
        <v>48</v>
      </c>
      <c r="Q927" t="s">
        <v>93</v>
      </c>
    </row>
    <row r="928" spans="10:17" x14ac:dyDescent="0.3">
      <c r="J928" t="str">
        <f t="shared" si="67"/>
        <v>Иванова Анна СергеевнаКузнецова Юлия Андреевна</v>
      </c>
      <c r="K928" t="s">
        <v>28</v>
      </c>
      <c r="L928" t="s">
        <v>440</v>
      </c>
      <c r="M928" t="s">
        <v>439</v>
      </c>
      <c r="N928" t="str">
        <f t="shared" si="68"/>
        <v>Петров Владимир КирилловичОрлова София Станиславовна</v>
      </c>
      <c r="O928" t="s">
        <v>50</v>
      </c>
      <c r="P928" t="s">
        <v>27</v>
      </c>
      <c r="Q928" t="s">
        <v>93</v>
      </c>
    </row>
    <row r="929" spans="10:17" x14ac:dyDescent="0.3">
      <c r="J929" t="str">
        <f t="shared" si="67"/>
        <v>Иванова Анна СергеевнаЕгоров Артур Владимирович</v>
      </c>
      <c r="K929" t="s">
        <v>28</v>
      </c>
      <c r="L929" t="s">
        <v>150</v>
      </c>
      <c r="M929" t="s">
        <v>439</v>
      </c>
      <c r="N929" t="str">
        <f t="shared" si="68"/>
        <v>Сидорова Елена ВасильевнаПавлов Кирилл Артемович</v>
      </c>
      <c r="O929" t="s">
        <v>18</v>
      </c>
      <c r="P929" t="s">
        <v>94</v>
      </c>
      <c r="Q929" t="s">
        <v>93</v>
      </c>
    </row>
    <row r="930" spans="10:17" x14ac:dyDescent="0.3">
      <c r="J930" t="str">
        <f t="shared" si="67"/>
        <v>Яковлев Артем ИгоревичПопова Полина Алексеевна</v>
      </c>
      <c r="K930" t="s">
        <v>8</v>
      </c>
      <c r="L930" t="s">
        <v>256</v>
      </c>
      <c r="M930" t="s">
        <v>439</v>
      </c>
      <c r="N930" t="str">
        <f t="shared" si="68"/>
        <v>Кузнецов Дмитрий ЛьвовичВасильев Матвей Андреевич</v>
      </c>
      <c r="O930" t="s">
        <v>10</v>
      </c>
      <c r="P930" t="s">
        <v>95</v>
      </c>
      <c r="Q930" t="s">
        <v>93</v>
      </c>
    </row>
    <row r="931" spans="10:17" x14ac:dyDescent="0.3">
      <c r="J931" t="str">
        <f t="shared" si="67"/>
        <v>Громова Мария ИльиничнаВасильев Константин Геннадьевич</v>
      </c>
      <c r="K931" t="s">
        <v>14</v>
      </c>
      <c r="L931" t="s">
        <v>221</v>
      </c>
      <c r="M931" t="s">
        <v>439</v>
      </c>
      <c r="N931" t="str">
        <f t="shared" si="68"/>
        <v>Новикова Ольга ПетровнаСмирнов Павел Геннадьевич</v>
      </c>
      <c r="O931" t="s">
        <v>47</v>
      </c>
      <c r="P931" t="s">
        <v>56</v>
      </c>
      <c r="Q931" t="s">
        <v>93</v>
      </c>
    </row>
    <row r="932" spans="10:17" x14ac:dyDescent="0.3">
      <c r="J932" t="str">
        <f t="shared" si="67"/>
        <v>Семенова Ирина ВалерьевнаНовиков Роман Романович</v>
      </c>
      <c r="K932" t="s">
        <v>12</v>
      </c>
      <c r="L932" t="s">
        <v>97</v>
      </c>
      <c r="M932" t="s">
        <v>439</v>
      </c>
      <c r="N932" t="str">
        <f t="shared" si="68"/>
        <v>Новикова Ольга ПетровнаЕгорова Мария Викторовна</v>
      </c>
      <c r="O932" t="s">
        <v>47</v>
      </c>
      <c r="P932" t="s">
        <v>96</v>
      </c>
      <c r="Q932" t="s">
        <v>93</v>
      </c>
    </row>
    <row r="933" spans="10:17" x14ac:dyDescent="0.3">
      <c r="J933" t="str">
        <f t="shared" si="67"/>
        <v>Семенова Ирина ВалерьевнаСтепанова Полина Артемовна</v>
      </c>
      <c r="K933" t="s">
        <v>12</v>
      </c>
      <c r="L933" t="s">
        <v>35</v>
      </c>
      <c r="M933" t="s">
        <v>439</v>
      </c>
      <c r="N933" t="str">
        <f t="shared" si="68"/>
        <v>Яковлев Артем ИгоревичНиколаев Артем Олегович</v>
      </c>
      <c r="O933" t="s">
        <v>8</v>
      </c>
      <c r="P933" t="s">
        <v>80</v>
      </c>
      <c r="Q933" t="s">
        <v>93</v>
      </c>
    </row>
    <row r="934" spans="10:17" x14ac:dyDescent="0.3">
      <c r="J934" t="str">
        <f t="shared" si="67"/>
        <v>Громова Мария ИльиничнаМорозов Сергей Олегович</v>
      </c>
      <c r="K934" t="s">
        <v>14</v>
      </c>
      <c r="L934" t="s">
        <v>46</v>
      </c>
      <c r="M934" t="s">
        <v>439</v>
      </c>
      <c r="N934" t="str">
        <f t="shared" si="68"/>
        <v>Орлов Павел ДенисовичНовиков Роман Романович</v>
      </c>
      <c r="O934" t="s">
        <v>45</v>
      </c>
      <c r="P934" t="s">
        <v>97</v>
      </c>
      <c r="Q934" t="s">
        <v>93</v>
      </c>
    </row>
    <row r="935" spans="10:17" x14ac:dyDescent="0.3">
      <c r="J935" t="str">
        <f t="shared" si="67"/>
        <v>Громова Мария ИльиничнаОрлов Александр Иванович</v>
      </c>
      <c r="K935" t="s">
        <v>14</v>
      </c>
      <c r="L935" t="s">
        <v>69</v>
      </c>
      <c r="M935" t="s">
        <v>441</v>
      </c>
      <c r="N935" t="str">
        <f t="shared" si="68"/>
        <v>Сидорова Елена ВасильевнаПопова Алиса Ильинична</v>
      </c>
      <c r="O935" t="s">
        <v>18</v>
      </c>
      <c r="P935" t="s">
        <v>90</v>
      </c>
      <c r="Q935" t="s">
        <v>91</v>
      </c>
    </row>
    <row r="936" spans="10:17" x14ac:dyDescent="0.3">
      <c r="J936" t="str">
        <f t="shared" si="67"/>
        <v>Новикова Ольга ПетровнаФедорова Людмила Кирилловна</v>
      </c>
      <c r="K936" t="s">
        <v>47</v>
      </c>
      <c r="L936" t="s">
        <v>199</v>
      </c>
      <c r="M936" t="s">
        <v>441</v>
      </c>
      <c r="N936" t="str">
        <f t="shared" si="68"/>
        <v>Новикова Ольга ПетровнаЛебедев Дмитрий Викторович</v>
      </c>
      <c r="O936" t="s">
        <v>47</v>
      </c>
      <c r="P936" t="s">
        <v>85</v>
      </c>
      <c r="Q936" t="s">
        <v>86</v>
      </c>
    </row>
    <row r="937" spans="10:17" x14ac:dyDescent="0.3">
      <c r="J937" t="str">
        <f t="shared" si="67"/>
        <v>Громова Мария ИльиничнаЛебедев Матвей Кириллович</v>
      </c>
      <c r="K937" t="s">
        <v>14</v>
      </c>
      <c r="L937" t="s">
        <v>123</v>
      </c>
      <c r="M937" t="s">
        <v>442</v>
      </c>
      <c r="N937" t="str">
        <f t="shared" si="68"/>
        <v>Орлов Павел ДенисовичФедорова Ольга Викторовна</v>
      </c>
      <c r="O937" t="s">
        <v>45</v>
      </c>
      <c r="P937" t="s">
        <v>87</v>
      </c>
      <c r="Q937" t="s">
        <v>86</v>
      </c>
    </row>
    <row r="938" spans="10:17" x14ac:dyDescent="0.3">
      <c r="J938" t="str">
        <f t="shared" si="67"/>
        <v>Семенова Ирина ВалерьевнаНовикова Ирина Юрьевна</v>
      </c>
      <c r="K938" t="s">
        <v>12</v>
      </c>
      <c r="L938" t="s">
        <v>195</v>
      </c>
      <c r="M938" t="s">
        <v>442</v>
      </c>
      <c r="N938" t="str">
        <f t="shared" si="68"/>
        <v>Яковлев Артем ИгоревичОрлов Александр Иванович</v>
      </c>
      <c r="O938" t="s">
        <v>8</v>
      </c>
      <c r="P938" t="s">
        <v>69</v>
      </c>
      <c r="Q938" t="s">
        <v>86</v>
      </c>
    </row>
    <row r="939" spans="10:17" x14ac:dyDescent="0.3">
      <c r="J939" t="str">
        <f t="shared" si="67"/>
        <v>Белов Алексей КонстантиновичФедорова Виктория Михайловна</v>
      </c>
      <c r="K939" t="s">
        <v>21</v>
      </c>
      <c r="L939" t="s">
        <v>197</v>
      </c>
      <c r="M939" t="s">
        <v>442</v>
      </c>
      <c r="N939" t="str">
        <f t="shared" si="68"/>
        <v>Петров Владимир КирилловичФедоров Владимир Артемович</v>
      </c>
      <c r="O939" t="s">
        <v>50</v>
      </c>
      <c r="P939" t="s">
        <v>88</v>
      </c>
      <c r="Q939" t="s">
        <v>86</v>
      </c>
    </row>
    <row r="940" spans="10:17" x14ac:dyDescent="0.3">
      <c r="J940" t="str">
        <f t="shared" si="67"/>
        <v>Ткаченко Андрей ОлеговичЕгоров Артем Никитич</v>
      </c>
      <c r="K940" t="s">
        <v>5</v>
      </c>
      <c r="L940" t="s">
        <v>25</v>
      </c>
      <c r="M940" t="s">
        <v>442</v>
      </c>
      <c r="N940" t="str">
        <f t="shared" si="68"/>
        <v>Белов Алексей КонстантиновичВасильев Никита Павлович</v>
      </c>
      <c r="O940" t="s">
        <v>21</v>
      </c>
      <c r="P940" t="s">
        <v>89</v>
      </c>
      <c r="Q940" t="s">
        <v>86</v>
      </c>
    </row>
    <row r="941" spans="10:17" x14ac:dyDescent="0.3">
      <c r="J941" t="str">
        <f t="shared" si="67"/>
        <v>Яковлев Артем ИгоревичСмирнова София Андреевна</v>
      </c>
      <c r="K941" t="s">
        <v>8</v>
      </c>
      <c r="L941" t="s">
        <v>182</v>
      </c>
      <c r="M941" t="s">
        <v>442</v>
      </c>
      <c r="N941" t="str">
        <f t="shared" si="68"/>
        <v>Иванова Анна СергеевнаСмирнов Павел Геннадьевич</v>
      </c>
      <c r="O941" t="s">
        <v>28</v>
      </c>
      <c r="P941" t="s">
        <v>56</v>
      </c>
      <c r="Q941" t="s">
        <v>82</v>
      </c>
    </row>
    <row r="942" spans="10:17" x14ac:dyDescent="0.3">
      <c r="J942" t="str">
        <f t="shared" si="67"/>
        <v>Ткаченко Андрей ОлеговичПавлова София Владимировна</v>
      </c>
      <c r="K942" t="s">
        <v>5</v>
      </c>
      <c r="L942" t="s">
        <v>394</v>
      </c>
      <c r="M942" t="s">
        <v>442</v>
      </c>
      <c r="N942" t="str">
        <f t="shared" si="68"/>
        <v>Новикова Ольга ПетровнаИванов Илья Артемович</v>
      </c>
      <c r="O942" t="s">
        <v>47</v>
      </c>
      <c r="P942" t="s">
        <v>83</v>
      </c>
      <c r="Q942" t="s">
        <v>82</v>
      </c>
    </row>
    <row r="943" spans="10:17" x14ac:dyDescent="0.3">
      <c r="J943" t="str">
        <f t="shared" si="67"/>
        <v>Сидорова Елена ВасильевнаОрлов Александр Иванович</v>
      </c>
      <c r="K943" t="s">
        <v>18</v>
      </c>
      <c r="L943" t="s">
        <v>69</v>
      </c>
      <c r="M943" t="s">
        <v>443</v>
      </c>
      <c r="N943" t="str">
        <f t="shared" si="68"/>
        <v>Белов Алексей КонстантиновичМорозова Мария Дмитриевна</v>
      </c>
      <c r="O943" t="s">
        <v>21</v>
      </c>
      <c r="P943" t="s">
        <v>84</v>
      </c>
      <c r="Q943" t="s">
        <v>82</v>
      </c>
    </row>
    <row r="944" spans="10:17" x14ac:dyDescent="0.3">
      <c r="J944" t="str">
        <f t="shared" si="67"/>
        <v>Иванова Анна СергеевнаОрлова Валерия Юрьевна</v>
      </c>
      <c r="K944" t="s">
        <v>28</v>
      </c>
      <c r="L944" t="s">
        <v>258</v>
      </c>
      <c r="M944" t="s">
        <v>444</v>
      </c>
      <c r="N944" t="str">
        <f t="shared" si="68"/>
        <v>Сидорова Елена ВасильевнаПетров Павел Кириллович</v>
      </c>
      <c r="O944" t="s">
        <v>18</v>
      </c>
      <c r="P944" t="s">
        <v>78</v>
      </c>
      <c r="Q944" t="s">
        <v>79</v>
      </c>
    </row>
    <row r="945" spans="10:17" x14ac:dyDescent="0.3">
      <c r="J945" t="str">
        <f t="shared" si="67"/>
        <v>Громова Мария ИльиничнаПопов Илья Егорович</v>
      </c>
      <c r="K945" t="s">
        <v>14</v>
      </c>
      <c r="L945" t="s">
        <v>210</v>
      </c>
      <c r="M945" t="s">
        <v>444</v>
      </c>
      <c r="N945" t="str">
        <f t="shared" si="68"/>
        <v>Яковлев Артем ИгоревичНиколаев Артем Олегович</v>
      </c>
      <c r="O945" t="s">
        <v>8</v>
      </c>
      <c r="P945" t="s">
        <v>80</v>
      </c>
      <c r="Q945" t="s">
        <v>79</v>
      </c>
    </row>
    <row r="946" spans="10:17" x14ac:dyDescent="0.3">
      <c r="J946" t="str">
        <f t="shared" si="67"/>
        <v>Иванова Анна СергеевнаЕгоров Артур Егорович</v>
      </c>
      <c r="K946" t="s">
        <v>28</v>
      </c>
      <c r="L946" t="s">
        <v>238</v>
      </c>
      <c r="M946" t="s">
        <v>445</v>
      </c>
      <c r="N946" t="str">
        <f t="shared" si="68"/>
        <v>Громова Мария ИльиничнаВолкова Татьяна Кирилловна</v>
      </c>
      <c r="O946" t="s">
        <v>14</v>
      </c>
      <c r="P946" t="s">
        <v>53</v>
      </c>
      <c r="Q946" t="s">
        <v>79</v>
      </c>
    </row>
    <row r="947" spans="10:17" x14ac:dyDescent="0.3">
      <c r="J947" t="str">
        <f t="shared" si="67"/>
        <v>Сидорова Елена ВасильевнаВасильева Людмила Ивановна</v>
      </c>
      <c r="K947" t="s">
        <v>18</v>
      </c>
      <c r="L947" t="s">
        <v>140</v>
      </c>
      <c r="M947" t="s">
        <v>445</v>
      </c>
      <c r="N947" t="str">
        <f t="shared" si="68"/>
        <v>Фролов Сергей ВикторовичНовиков Иван Андреевич</v>
      </c>
      <c r="O947" t="s">
        <v>40</v>
      </c>
      <c r="P947" t="s">
        <v>81</v>
      </c>
      <c r="Q947" t="s">
        <v>79</v>
      </c>
    </row>
    <row r="948" spans="10:17" x14ac:dyDescent="0.3">
      <c r="J948" t="str">
        <f t="shared" si="67"/>
        <v>Петров Владимир КирилловичОрлов Александр Иванович</v>
      </c>
      <c r="K948" t="s">
        <v>50</v>
      </c>
      <c r="L948" t="s">
        <v>69</v>
      </c>
      <c r="M948" t="s">
        <v>445</v>
      </c>
      <c r="N948" t="str">
        <f t="shared" si="68"/>
        <v>Иванова Анна СергеевнаПавлов Георгий Андреевич</v>
      </c>
      <c r="O948" t="s">
        <v>28</v>
      </c>
      <c r="P948" t="s">
        <v>72</v>
      </c>
      <c r="Q948" t="s">
        <v>73</v>
      </c>
    </row>
    <row r="949" spans="10:17" x14ac:dyDescent="0.3">
      <c r="J949" t="str">
        <f t="shared" si="67"/>
        <v>Фролов Сергей ВикторовичЛебедева Дарья Никитична</v>
      </c>
      <c r="K949" t="s">
        <v>40</v>
      </c>
      <c r="L949" t="s">
        <v>75</v>
      </c>
      <c r="M949" t="s">
        <v>445</v>
      </c>
      <c r="N949" t="str">
        <f t="shared" si="68"/>
        <v>Иванова Анна СергеевнаВолкова Татьяна Кирилловна</v>
      </c>
      <c r="O949" t="s">
        <v>28</v>
      </c>
      <c r="P949" t="s">
        <v>53</v>
      </c>
      <c r="Q949" t="s">
        <v>73</v>
      </c>
    </row>
    <row r="950" spans="10:17" x14ac:dyDescent="0.3">
      <c r="J950" t="str">
        <f t="shared" si="67"/>
        <v>Фролов Сергей ВикторовичИванов Дмитрий Павлович</v>
      </c>
      <c r="K950" t="s">
        <v>40</v>
      </c>
      <c r="L950" t="s">
        <v>124</v>
      </c>
      <c r="M950" t="s">
        <v>445</v>
      </c>
      <c r="N950" t="str">
        <f t="shared" si="68"/>
        <v>Иванова Анна СергеевнаКозлов Роман Александрович</v>
      </c>
      <c r="O950" t="s">
        <v>28</v>
      </c>
      <c r="P950" t="s">
        <v>74</v>
      </c>
      <c r="Q950" t="s">
        <v>73</v>
      </c>
    </row>
    <row r="951" spans="10:17" x14ac:dyDescent="0.3">
      <c r="J951" t="str">
        <f t="shared" si="67"/>
        <v>Громова Мария ИльиничнаПавлов Илья Никитич</v>
      </c>
      <c r="K951" t="s">
        <v>14</v>
      </c>
      <c r="L951" t="s">
        <v>324</v>
      </c>
      <c r="M951" t="s">
        <v>445</v>
      </c>
      <c r="N951" t="str">
        <f t="shared" si="68"/>
        <v>Семенова Ирина ВалерьевнаЛебедева Дарья Никитична</v>
      </c>
      <c r="O951" t="s">
        <v>12</v>
      </c>
      <c r="P951" t="s">
        <v>75</v>
      </c>
      <c r="Q951" t="s">
        <v>73</v>
      </c>
    </row>
    <row r="952" spans="10:17" x14ac:dyDescent="0.3">
      <c r="J952" t="str">
        <f t="shared" si="67"/>
        <v>Орлов Павел ДенисовичНовикова Мария Викторовна</v>
      </c>
      <c r="K952" t="s">
        <v>45</v>
      </c>
      <c r="L952" t="s">
        <v>247</v>
      </c>
      <c r="M952" t="s">
        <v>445</v>
      </c>
      <c r="N952" t="str">
        <f t="shared" si="68"/>
        <v>Иванова Анна СергеевнаФедоров Михаил Кириллович</v>
      </c>
      <c r="O952" t="s">
        <v>28</v>
      </c>
      <c r="P952" t="s">
        <v>76</v>
      </c>
      <c r="Q952" t="s">
        <v>73</v>
      </c>
    </row>
    <row r="953" spans="10:17" x14ac:dyDescent="0.3">
      <c r="J953" t="str">
        <f t="shared" si="67"/>
        <v>Фролов Сергей ВикторовичНовиков Михаил Владимирович</v>
      </c>
      <c r="K953" t="s">
        <v>40</v>
      </c>
      <c r="L953" t="s">
        <v>36</v>
      </c>
      <c r="M953" t="s">
        <v>445</v>
      </c>
      <c r="N953" t="str">
        <f t="shared" si="68"/>
        <v>Ткаченко Андрей ОлеговичСидоров Александр Артемович</v>
      </c>
      <c r="O953" t="s">
        <v>5</v>
      </c>
      <c r="P953" t="s">
        <v>77</v>
      </c>
      <c r="Q953" t="s">
        <v>73</v>
      </c>
    </row>
    <row r="954" spans="10:17" x14ac:dyDescent="0.3">
      <c r="J954" t="str">
        <f t="shared" si="67"/>
        <v>Громова Мария ИльиничнаНиколаев Роман Ильич</v>
      </c>
      <c r="K954" t="s">
        <v>14</v>
      </c>
      <c r="L954" t="s">
        <v>202</v>
      </c>
      <c r="M954" t="s">
        <v>445</v>
      </c>
      <c r="N954" t="str">
        <f t="shared" si="68"/>
        <v>Орлов Павел ДенисовичОрлов Георгий Кириллович</v>
      </c>
      <c r="O954" t="s">
        <v>45</v>
      </c>
      <c r="P954" t="s">
        <v>30</v>
      </c>
      <c r="Q954" t="s">
        <v>73</v>
      </c>
    </row>
    <row r="955" spans="10:17" x14ac:dyDescent="0.3">
      <c r="J955" t="str">
        <f t="shared" si="67"/>
        <v>Фролов Сергей ВикторовичОрлова Валерия Юрьевна</v>
      </c>
      <c r="K955" t="s">
        <v>40</v>
      </c>
      <c r="L955" t="s">
        <v>258</v>
      </c>
      <c r="M955" t="s">
        <v>446</v>
      </c>
      <c r="N955" t="str">
        <f t="shared" si="68"/>
        <v>Яковлев Артем ИгоревичКузнецов Михаил Артемович</v>
      </c>
      <c r="O955" t="s">
        <v>8</v>
      </c>
      <c r="P955" t="s">
        <v>67</v>
      </c>
      <c r="Q955" t="s">
        <v>68</v>
      </c>
    </row>
    <row r="956" spans="10:17" x14ac:dyDescent="0.3">
      <c r="J956" t="str">
        <f t="shared" si="67"/>
        <v>Яковлев Артем ИгоревичНовикова Ирина Юрьевна</v>
      </c>
      <c r="K956" t="s">
        <v>8</v>
      </c>
      <c r="L956" t="s">
        <v>195</v>
      </c>
      <c r="M956" t="s">
        <v>446</v>
      </c>
      <c r="N956" t="str">
        <f t="shared" si="68"/>
        <v>Иванова Анна СергеевнаОрлов Александр Иванович</v>
      </c>
      <c r="O956" t="s">
        <v>28</v>
      </c>
      <c r="P956" t="s">
        <v>69</v>
      </c>
      <c r="Q956" t="s">
        <v>68</v>
      </c>
    </row>
    <row r="957" spans="10:17" x14ac:dyDescent="0.3">
      <c r="J957" t="str">
        <f t="shared" si="67"/>
        <v>Белов Алексей КонстантиновичОрлова София Станиславовна</v>
      </c>
      <c r="K957" t="s">
        <v>21</v>
      </c>
      <c r="L957" t="s">
        <v>27</v>
      </c>
      <c r="M957" t="s">
        <v>447</v>
      </c>
      <c r="N957" t="str">
        <f t="shared" si="68"/>
        <v>Петров Владимир КирилловичПетров Илья Андреевич</v>
      </c>
      <c r="O957" t="s">
        <v>50</v>
      </c>
      <c r="P957" t="s">
        <v>70</v>
      </c>
      <c r="Q957" t="s">
        <v>68</v>
      </c>
    </row>
    <row r="958" spans="10:17" x14ac:dyDescent="0.3">
      <c r="J958" t="str">
        <f t="shared" si="67"/>
        <v>Семенова Ирина ВалерьевнаКозлов Роман Сергеевич</v>
      </c>
      <c r="K958" t="s">
        <v>12</v>
      </c>
      <c r="L958" t="s">
        <v>209</v>
      </c>
      <c r="M958" t="s">
        <v>447</v>
      </c>
      <c r="N958" t="str">
        <f t="shared" si="68"/>
        <v>Белов Алексей КонстантиновичАлексеева Светлана Станиславовна</v>
      </c>
      <c r="O958" t="s">
        <v>21</v>
      </c>
      <c r="P958" t="s">
        <v>71</v>
      </c>
      <c r="Q958" t="s">
        <v>68</v>
      </c>
    </row>
    <row r="959" spans="10:17" x14ac:dyDescent="0.3">
      <c r="J959" t="str">
        <f t="shared" si="67"/>
        <v>Громова Мария ИльиничнаМорозов Никита Сергеевич</v>
      </c>
      <c r="K959" t="s">
        <v>14</v>
      </c>
      <c r="L959" t="s">
        <v>282</v>
      </c>
      <c r="M959" t="s">
        <v>447</v>
      </c>
      <c r="N959" t="str">
        <f t="shared" si="68"/>
        <v>Яковлев Артем ИгоревичЕгорова Ирина Павловна</v>
      </c>
      <c r="O959" t="s">
        <v>8</v>
      </c>
      <c r="P959" t="s">
        <v>63</v>
      </c>
      <c r="Q959" t="s">
        <v>64</v>
      </c>
    </row>
    <row r="960" spans="10:17" x14ac:dyDescent="0.3">
      <c r="J960" t="str">
        <f t="shared" si="67"/>
        <v>Орлов Павел ДенисовичПопов Алексей Кириллович</v>
      </c>
      <c r="K960" t="s">
        <v>45</v>
      </c>
      <c r="L960" t="s">
        <v>92</v>
      </c>
      <c r="M960" t="s">
        <v>447</v>
      </c>
      <c r="N960" t="str">
        <f t="shared" si="68"/>
        <v>Семенова Ирина ВалерьевнаСидорова Мария Павловна</v>
      </c>
      <c r="O960" t="s">
        <v>12</v>
      </c>
      <c r="P960" t="s">
        <v>65</v>
      </c>
      <c r="Q960" t="s">
        <v>64</v>
      </c>
    </row>
    <row r="961" spans="10:17" x14ac:dyDescent="0.3">
      <c r="J961" t="str">
        <f t="shared" si="67"/>
        <v>Ткаченко Андрей ОлеговичКузнецов Георгий Кириллович</v>
      </c>
      <c r="K961" t="s">
        <v>5</v>
      </c>
      <c r="L961" t="s">
        <v>252</v>
      </c>
      <c r="M961" t="s">
        <v>447</v>
      </c>
      <c r="N961" t="str">
        <f t="shared" si="68"/>
        <v>Белов Алексей КонстантиновичПетров Алексей Сергеевич</v>
      </c>
      <c r="O961" t="s">
        <v>21</v>
      </c>
      <c r="P961" t="s">
        <v>66</v>
      </c>
      <c r="Q961" t="s">
        <v>64</v>
      </c>
    </row>
    <row r="962" spans="10:17" x14ac:dyDescent="0.3">
      <c r="J962" t="str">
        <f t="shared" si="67"/>
        <v>Новикова Ольга ПетровнаОрлова Полина Олеговна</v>
      </c>
      <c r="K962" t="s">
        <v>47</v>
      </c>
      <c r="L962" t="s">
        <v>101</v>
      </c>
      <c r="M962" t="s">
        <v>447</v>
      </c>
      <c r="N962" t="str">
        <f t="shared" si="68"/>
        <v>Иванова Анна СергеевнаСмирнов Павел Геннадьевич</v>
      </c>
      <c r="O962" t="s">
        <v>28</v>
      </c>
      <c r="P962" t="s">
        <v>56</v>
      </c>
      <c r="Q962" t="s">
        <v>57</v>
      </c>
    </row>
    <row r="963" spans="10:17" x14ac:dyDescent="0.3">
      <c r="J963" t="str">
        <f t="shared" ref="J963:J1001" si="69">K963&amp;L963</f>
        <v>Белов Алексей КонстантиновичЛебедева Юлия Олеговна</v>
      </c>
      <c r="K963" t="s">
        <v>21</v>
      </c>
      <c r="L963" t="s">
        <v>312</v>
      </c>
      <c r="M963" t="s">
        <v>448</v>
      </c>
      <c r="N963" t="str">
        <f t="shared" ref="N963:N1001" si="70">O963&amp;P963</f>
        <v>Яковлев Артем ИгоревичСеменов Матвей Александрович</v>
      </c>
      <c r="O963" t="s">
        <v>8</v>
      </c>
      <c r="P963" t="s">
        <v>58</v>
      </c>
      <c r="Q963" t="s">
        <v>57</v>
      </c>
    </row>
    <row r="964" spans="10:17" x14ac:dyDescent="0.3">
      <c r="J964" t="str">
        <f t="shared" si="69"/>
        <v>Яковлев Артем ИгоревичЛебедев Владимир Егорович</v>
      </c>
      <c r="K964" t="s">
        <v>8</v>
      </c>
      <c r="L964" t="s">
        <v>59</v>
      </c>
      <c r="M964" t="s">
        <v>448</v>
      </c>
      <c r="N964" t="str">
        <f t="shared" si="70"/>
        <v>Громова Мария ИльиничнаЛебедев Владимир Егорович</v>
      </c>
      <c r="O964" t="s">
        <v>14</v>
      </c>
      <c r="P964" t="s">
        <v>59</v>
      </c>
      <c r="Q964" t="s">
        <v>57</v>
      </c>
    </row>
    <row r="965" spans="10:17" x14ac:dyDescent="0.3">
      <c r="J965" t="str">
        <f t="shared" si="69"/>
        <v>Кузнецов Дмитрий ЛьвовичОрлов Александр Иванович</v>
      </c>
      <c r="K965" t="s">
        <v>10</v>
      </c>
      <c r="L965" t="s">
        <v>69</v>
      </c>
      <c r="M965" t="s">
        <v>448</v>
      </c>
      <c r="N965" t="str">
        <f t="shared" si="70"/>
        <v>Орлов Павел ДенисовичОрлов Михаил Никитич</v>
      </c>
      <c r="O965" t="s">
        <v>45</v>
      </c>
      <c r="P965" t="s">
        <v>60</v>
      </c>
      <c r="Q965" t="s">
        <v>57</v>
      </c>
    </row>
    <row r="966" spans="10:17" x14ac:dyDescent="0.3">
      <c r="J966" t="str">
        <f t="shared" si="69"/>
        <v>Яковлев Артем ИгоревичОрлов Александр Иванович</v>
      </c>
      <c r="K966" t="s">
        <v>8</v>
      </c>
      <c r="L966" t="s">
        <v>69</v>
      </c>
      <c r="M966" t="s">
        <v>448</v>
      </c>
      <c r="N966" t="str">
        <f t="shared" si="70"/>
        <v>Фролов Сергей ВикторовичКозлова Татьяна Михайловна</v>
      </c>
      <c r="O966" t="s">
        <v>40</v>
      </c>
      <c r="P966" t="s">
        <v>61</v>
      </c>
      <c r="Q966" t="s">
        <v>57</v>
      </c>
    </row>
    <row r="967" spans="10:17" x14ac:dyDescent="0.3">
      <c r="J967" t="str">
        <f t="shared" si="69"/>
        <v>Белов Алексей КонстантиновичКузнецова Полина Романовна</v>
      </c>
      <c r="K967" t="s">
        <v>21</v>
      </c>
      <c r="L967" t="s">
        <v>17</v>
      </c>
      <c r="M967" t="s">
        <v>449</v>
      </c>
      <c r="N967" t="str">
        <f t="shared" si="70"/>
        <v>Белов Алексей КонстантиновичМорозова Полина Александровна</v>
      </c>
      <c r="O967" t="s">
        <v>21</v>
      </c>
      <c r="P967" t="s">
        <v>62</v>
      </c>
      <c r="Q967" t="s">
        <v>57</v>
      </c>
    </row>
    <row r="968" spans="10:17" x14ac:dyDescent="0.3">
      <c r="J968" t="str">
        <f t="shared" si="69"/>
        <v>Белов Алексей КонстантиновичВасильев Никита Павлович</v>
      </c>
      <c r="K968" t="s">
        <v>21</v>
      </c>
      <c r="L968" t="s">
        <v>89</v>
      </c>
      <c r="M968" t="s">
        <v>449</v>
      </c>
      <c r="N968" t="str">
        <f t="shared" si="70"/>
        <v>Фролов Сергей ВикторовичКузнецова Дарья Дмитриевна</v>
      </c>
      <c r="O968" t="s">
        <v>40</v>
      </c>
      <c r="P968" t="s">
        <v>43</v>
      </c>
      <c r="Q968" t="s">
        <v>44</v>
      </c>
    </row>
    <row r="969" spans="10:17" x14ac:dyDescent="0.3">
      <c r="J969" t="str">
        <f t="shared" si="69"/>
        <v>Петров Владимир КирилловичЕгорова Юлия Алексеевна</v>
      </c>
      <c r="K969" t="s">
        <v>50</v>
      </c>
      <c r="L969" t="s">
        <v>13</v>
      </c>
      <c r="M969" t="s">
        <v>449</v>
      </c>
      <c r="N969" t="str">
        <f t="shared" si="70"/>
        <v>Орлов Павел ДенисовичМорозов Сергей Олегович</v>
      </c>
      <c r="O969" t="s">
        <v>45</v>
      </c>
      <c r="P969" t="s">
        <v>46</v>
      </c>
      <c r="Q969" t="s">
        <v>44</v>
      </c>
    </row>
    <row r="970" spans="10:17" x14ac:dyDescent="0.3">
      <c r="J970" t="str">
        <f t="shared" si="69"/>
        <v>Ткаченко Андрей ОлеговичНиколаев Егор Романович</v>
      </c>
      <c r="K970" t="s">
        <v>5</v>
      </c>
      <c r="L970" t="s">
        <v>277</v>
      </c>
      <c r="M970" t="s">
        <v>449</v>
      </c>
      <c r="N970" t="str">
        <f t="shared" si="70"/>
        <v>Новикова Ольга ПетровнаЛебедева Анна Викторовна</v>
      </c>
      <c r="O970" t="s">
        <v>47</v>
      </c>
      <c r="P970" t="s">
        <v>48</v>
      </c>
      <c r="Q970" t="s">
        <v>44</v>
      </c>
    </row>
    <row r="971" spans="10:17" x14ac:dyDescent="0.3">
      <c r="J971" t="str">
        <f t="shared" si="69"/>
        <v>Семенова Ирина ВалерьевнаСмирнов Артем Егорович</v>
      </c>
      <c r="K971" t="s">
        <v>12</v>
      </c>
      <c r="L971" t="s">
        <v>127</v>
      </c>
      <c r="M971" t="s">
        <v>449</v>
      </c>
      <c r="N971" t="str">
        <f t="shared" si="70"/>
        <v>Яковлев Артем ИгоревичЛебедев Артем Кириллович</v>
      </c>
      <c r="O971" t="s">
        <v>8</v>
      </c>
      <c r="P971" t="s">
        <v>49</v>
      </c>
      <c r="Q971" t="s">
        <v>44</v>
      </c>
    </row>
    <row r="972" spans="10:17" x14ac:dyDescent="0.3">
      <c r="J972" t="str">
        <f t="shared" si="69"/>
        <v>Орлов Павел ДенисовичНовиков Михаил Владимирович</v>
      </c>
      <c r="K972" t="s">
        <v>45</v>
      </c>
      <c r="L972" t="s">
        <v>36</v>
      </c>
      <c r="M972" t="s">
        <v>449</v>
      </c>
      <c r="N972" t="str">
        <f t="shared" si="70"/>
        <v>Фролов Сергей ВикторовичПетрова Валерия Павловна</v>
      </c>
      <c r="O972" t="s">
        <v>40</v>
      </c>
      <c r="P972" t="s">
        <v>32</v>
      </c>
      <c r="Q972" t="s">
        <v>44</v>
      </c>
    </row>
    <row r="973" spans="10:17" x14ac:dyDescent="0.3">
      <c r="J973" t="str">
        <f t="shared" si="69"/>
        <v>Белов Алексей КонстантиновичКузнецова Ирина Владимировна</v>
      </c>
      <c r="K973" t="s">
        <v>21</v>
      </c>
      <c r="L973" t="s">
        <v>276</v>
      </c>
      <c r="M973" t="s">
        <v>450</v>
      </c>
      <c r="N973" t="str">
        <f t="shared" si="70"/>
        <v>Петров Владимир КирилловичЛебедев Илья Станиславович</v>
      </c>
      <c r="O973" t="s">
        <v>50</v>
      </c>
      <c r="P973" t="s">
        <v>51</v>
      </c>
      <c r="Q973" t="s">
        <v>44</v>
      </c>
    </row>
    <row r="974" spans="10:17" x14ac:dyDescent="0.3">
      <c r="J974" t="str">
        <f t="shared" si="69"/>
        <v>Ткаченко Андрей ОлеговичЕгоров Никита Ильич</v>
      </c>
      <c r="K974" t="s">
        <v>5</v>
      </c>
      <c r="L974" t="s">
        <v>112</v>
      </c>
      <c r="M974" t="s">
        <v>450</v>
      </c>
      <c r="N974" t="str">
        <f t="shared" si="70"/>
        <v>Фролов Сергей ВикторовичМорозов Максим Андреевич</v>
      </c>
      <c r="O974" t="s">
        <v>40</v>
      </c>
      <c r="P974" t="s">
        <v>52</v>
      </c>
      <c r="Q974" t="s">
        <v>44</v>
      </c>
    </row>
    <row r="975" spans="10:17" x14ac:dyDescent="0.3">
      <c r="J975" t="str">
        <f t="shared" si="69"/>
        <v>Орлов Павел ДенисовичЛебедева Анна Викторовна</v>
      </c>
      <c r="K975" t="s">
        <v>45</v>
      </c>
      <c r="L975" t="s">
        <v>48</v>
      </c>
      <c r="M975" t="s">
        <v>450</v>
      </c>
      <c r="N975" t="str">
        <f t="shared" si="70"/>
        <v>Новикова Ольга ПетровнаВолкова Татьяна Кирилловна</v>
      </c>
      <c r="O975" t="s">
        <v>47</v>
      </c>
      <c r="P975" t="s">
        <v>53</v>
      </c>
      <c r="Q975" t="s">
        <v>44</v>
      </c>
    </row>
    <row r="976" spans="10:17" x14ac:dyDescent="0.3">
      <c r="J976" t="str">
        <f t="shared" si="69"/>
        <v>Громова Мария ИльиничнаЕгоров Константин Ильич</v>
      </c>
      <c r="K976" t="s">
        <v>14</v>
      </c>
      <c r="L976" t="s">
        <v>136</v>
      </c>
      <c r="M976" t="s">
        <v>451</v>
      </c>
      <c r="N976" t="str">
        <f t="shared" si="70"/>
        <v>Сидорова Елена ВасильевнаКозлова София Станиславовна</v>
      </c>
      <c r="O976" t="s">
        <v>18</v>
      </c>
      <c r="P976" t="s">
        <v>54</v>
      </c>
      <c r="Q976" t="s">
        <v>44</v>
      </c>
    </row>
    <row r="977" spans="10:17" x14ac:dyDescent="0.3">
      <c r="J977" t="str">
        <f t="shared" si="69"/>
        <v>Ткаченко Андрей ОлеговичФедоров Михаил Кириллович</v>
      </c>
      <c r="K977" t="s">
        <v>5</v>
      </c>
      <c r="L977" t="s">
        <v>76</v>
      </c>
      <c r="M977" t="s">
        <v>451</v>
      </c>
      <c r="N977" t="str">
        <f t="shared" si="70"/>
        <v>Яковлев Артем ИгоревичЛебедев Владимир Сергеевич</v>
      </c>
      <c r="O977" t="s">
        <v>8</v>
      </c>
      <c r="P977" t="s">
        <v>55</v>
      </c>
      <c r="Q977" t="s">
        <v>44</v>
      </c>
    </row>
    <row r="978" spans="10:17" x14ac:dyDescent="0.3">
      <c r="J978" t="str">
        <f t="shared" si="69"/>
        <v>Кузнецов Дмитрий ЛьвовичПавлов Алексей Геннадьевич</v>
      </c>
      <c r="K978" t="s">
        <v>10</v>
      </c>
      <c r="L978" t="s">
        <v>191</v>
      </c>
      <c r="M978" t="s">
        <v>451</v>
      </c>
      <c r="N978" t="str">
        <f t="shared" si="70"/>
        <v>Громова Мария ИльиничнаИванов Александр Павлович</v>
      </c>
      <c r="O978" t="s">
        <v>14</v>
      </c>
      <c r="P978" t="s">
        <v>37</v>
      </c>
      <c r="Q978" t="s">
        <v>38</v>
      </c>
    </row>
    <row r="979" spans="10:17" x14ac:dyDescent="0.3">
      <c r="J979" t="str">
        <f t="shared" si="69"/>
        <v>Новикова Ольга ПетровнаНовикова Анна Геннадьевна</v>
      </c>
      <c r="K979" t="s">
        <v>47</v>
      </c>
      <c r="L979" t="s">
        <v>402</v>
      </c>
      <c r="M979" t="s">
        <v>452</v>
      </c>
      <c r="N979" t="str">
        <f t="shared" si="70"/>
        <v>Кузнецов Дмитрий ЛьвовичПетров Иван Артемович</v>
      </c>
      <c r="O979" t="s">
        <v>10</v>
      </c>
      <c r="P979" t="s">
        <v>39</v>
      </c>
      <c r="Q979" t="s">
        <v>38</v>
      </c>
    </row>
    <row r="980" spans="10:17" x14ac:dyDescent="0.3">
      <c r="J980" t="str">
        <f t="shared" si="69"/>
        <v>Новикова Ольга ПетровнаФедоров Владимир Артемович</v>
      </c>
      <c r="K980" t="s">
        <v>47</v>
      </c>
      <c r="L980" t="s">
        <v>88</v>
      </c>
      <c r="M980" t="s">
        <v>453</v>
      </c>
      <c r="N980" t="str">
        <f t="shared" si="70"/>
        <v>Фролов Сергей ВикторовичФедоров Роман Дмитриевич</v>
      </c>
      <c r="O980" t="s">
        <v>40</v>
      </c>
      <c r="P980" t="s">
        <v>41</v>
      </c>
      <c r="Q980" t="s">
        <v>38</v>
      </c>
    </row>
    <row r="981" spans="10:17" x14ac:dyDescent="0.3">
      <c r="J981" t="str">
        <f t="shared" si="69"/>
        <v>Ткаченко Андрей ОлеговичЛебедев Дмитрий Викторович</v>
      </c>
      <c r="K981" t="s">
        <v>5</v>
      </c>
      <c r="L981" t="s">
        <v>85</v>
      </c>
      <c r="M981" t="s">
        <v>453</v>
      </c>
      <c r="N981" t="str">
        <f t="shared" si="70"/>
        <v>Кузнецов Дмитрий ЛьвовичНовикова Людмила Кирилловна</v>
      </c>
      <c r="O981" t="s">
        <v>10</v>
      </c>
      <c r="P981" t="s">
        <v>42</v>
      </c>
      <c r="Q981" t="s">
        <v>38</v>
      </c>
    </row>
    <row r="982" spans="10:17" x14ac:dyDescent="0.3">
      <c r="J982" t="str">
        <f t="shared" si="69"/>
        <v>Иванова Анна СергеевнаЕгорова Ирина Павловна</v>
      </c>
      <c r="K982" t="s">
        <v>28</v>
      </c>
      <c r="L982" t="s">
        <v>63</v>
      </c>
      <c r="M982" t="s">
        <v>453</v>
      </c>
      <c r="N982" t="str">
        <f t="shared" si="70"/>
        <v>Семенова Ирина ВалерьевнаПетрова Валерия Павловна</v>
      </c>
      <c r="O982" t="s">
        <v>12</v>
      </c>
      <c r="P982" t="s">
        <v>32</v>
      </c>
      <c r="Q982" t="s">
        <v>33</v>
      </c>
    </row>
    <row r="983" spans="10:17" x14ac:dyDescent="0.3">
      <c r="J983" t="str">
        <f t="shared" si="69"/>
        <v>Громова Мария ИльиничнаМорозов Артем Александрович</v>
      </c>
      <c r="K983" t="s">
        <v>14</v>
      </c>
      <c r="L983" t="s">
        <v>289</v>
      </c>
      <c r="M983" t="s">
        <v>453</v>
      </c>
      <c r="N983" t="str">
        <f t="shared" si="70"/>
        <v>Иванова Анна СергеевнаФедоров Илья Владимирович</v>
      </c>
      <c r="O983" t="s">
        <v>28</v>
      </c>
      <c r="P983" t="s">
        <v>34</v>
      </c>
      <c r="Q983" t="s">
        <v>33</v>
      </c>
    </row>
    <row r="984" spans="10:17" x14ac:dyDescent="0.3">
      <c r="J984" t="str">
        <f t="shared" si="69"/>
        <v>Белов Алексей КонстантиновичКузнецов Сергей Кириллович</v>
      </c>
      <c r="K984" t="s">
        <v>21</v>
      </c>
      <c r="L984" t="s">
        <v>225</v>
      </c>
      <c r="M984" t="s">
        <v>453</v>
      </c>
      <c r="N984" t="str">
        <f t="shared" si="70"/>
        <v>Громова Мария ИльиничнаФедоров Илья Владимирович</v>
      </c>
      <c r="O984" t="s">
        <v>14</v>
      </c>
      <c r="P984" t="s">
        <v>34</v>
      </c>
      <c r="Q984" t="s">
        <v>33</v>
      </c>
    </row>
    <row r="985" spans="10:17" x14ac:dyDescent="0.3">
      <c r="J985" t="str">
        <f t="shared" si="69"/>
        <v>Кузнецов Дмитрий ЛьвовичПавлова София Владимировна</v>
      </c>
      <c r="K985" t="s">
        <v>10</v>
      </c>
      <c r="L985" t="s">
        <v>394</v>
      </c>
      <c r="M985" t="s">
        <v>453</v>
      </c>
      <c r="N985" t="str">
        <f t="shared" si="70"/>
        <v>Ткаченко Андрей ОлеговичСтепанова Полина Артемовна</v>
      </c>
      <c r="O985" t="s">
        <v>5</v>
      </c>
      <c r="P985" t="s">
        <v>35</v>
      </c>
      <c r="Q985" t="s">
        <v>33</v>
      </c>
    </row>
    <row r="986" spans="10:17" x14ac:dyDescent="0.3">
      <c r="J986" t="str">
        <f t="shared" si="69"/>
        <v>Громова Мария ИльиничнаПавлова Екатерина Егоровна</v>
      </c>
      <c r="K986" t="s">
        <v>14</v>
      </c>
      <c r="L986" t="s">
        <v>141</v>
      </c>
      <c r="M986" t="s">
        <v>453</v>
      </c>
      <c r="N986" t="str">
        <f t="shared" si="70"/>
        <v>Громова Мария ИльиничнаНовиков Михаил Владимирович</v>
      </c>
      <c r="O986" t="s">
        <v>14</v>
      </c>
      <c r="P986" t="s">
        <v>36</v>
      </c>
      <c r="Q986" t="s">
        <v>33</v>
      </c>
    </row>
    <row r="987" spans="10:17" x14ac:dyDescent="0.3">
      <c r="J987" t="str">
        <f t="shared" si="69"/>
        <v>Петров Владимир КирилловичКозлов Роман Александрович</v>
      </c>
      <c r="K987" t="s">
        <v>50</v>
      </c>
      <c r="L987" t="s">
        <v>74</v>
      </c>
      <c r="M987" t="s">
        <v>454</v>
      </c>
      <c r="N987" t="str">
        <f t="shared" si="70"/>
        <v>Семенова Ирина ВалерьевнаОрлов Георгий Кириллович</v>
      </c>
      <c r="O987" t="s">
        <v>12</v>
      </c>
      <c r="P987" t="s">
        <v>30</v>
      </c>
      <c r="Q987" t="s">
        <v>31</v>
      </c>
    </row>
    <row r="988" spans="10:17" x14ac:dyDescent="0.3">
      <c r="J988" t="str">
        <f t="shared" si="69"/>
        <v>Иванова Анна СергеевнаНиколаев Егор Романович</v>
      </c>
      <c r="K988" t="s">
        <v>28</v>
      </c>
      <c r="L988" t="s">
        <v>277</v>
      </c>
      <c r="M988" t="s">
        <v>454</v>
      </c>
      <c r="N988" t="str">
        <f t="shared" si="70"/>
        <v>Сидорова Елена ВасильевнаЕгоров Артем Никитич</v>
      </c>
      <c r="O988" t="s">
        <v>18</v>
      </c>
      <c r="P988" t="s">
        <v>25</v>
      </c>
      <c r="Q988" t="s">
        <v>26</v>
      </c>
    </row>
    <row r="989" spans="10:17" x14ac:dyDescent="0.3">
      <c r="J989" t="str">
        <f t="shared" si="69"/>
        <v>Яковлев Артем ИгоревичИванов Дмитрий Павлович</v>
      </c>
      <c r="K989" t="s">
        <v>8</v>
      </c>
      <c r="L989" t="s">
        <v>124</v>
      </c>
      <c r="M989" t="s">
        <v>455</v>
      </c>
      <c r="N989" t="str">
        <f t="shared" si="70"/>
        <v>Сидорова Елена ВасильевнаОрлова София Станиславовна</v>
      </c>
      <c r="O989" t="s">
        <v>18</v>
      </c>
      <c r="P989" t="s">
        <v>27</v>
      </c>
      <c r="Q989" t="s">
        <v>26</v>
      </c>
    </row>
    <row r="990" spans="10:17" x14ac:dyDescent="0.3">
      <c r="J990" t="str">
        <f t="shared" si="69"/>
        <v>Сидорова Елена ВасильевнаНовикова Ирина Юрьевна</v>
      </c>
      <c r="K990" t="s">
        <v>18</v>
      </c>
      <c r="L990" t="s">
        <v>195</v>
      </c>
      <c r="M990" t="s">
        <v>455</v>
      </c>
      <c r="N990" t="str">
        <f t="shared" si="70"/>
        <v>Иванова Анна СергеевнаОрлова Ирина Ильинична</v>
      </c>
      <c r="O990" t="s">
        <v>28</v>
      </c>
      <c r="P990" t="s">
        <v>29</v>
      </c>
      <c r="Q990" t="s">
        <v>26</v>
      </c>
    </row>
    <row r="991" spans="10:17" x14ac:dyDescent="0.3">
      <c r="J991" t="str">
        <f t="shared" si="69"/>
        <v>Сидорова Елена ВасильевнаОрлов Матвей Алексеевич</v>
      </c>
      <c r="K991" t="s">
        <v>18</v>
      </c>
      <c r="L991" t="s">
        <v>116</v>
      </c>
      <c r="M991" t="s">
        <v>456</v>
      </c>
      <c r="N991" t="str">
        <f t="shared" si="70"/>
        <v>Громова Мария ИльиничнаПетров Илья Михайлович</v>
      </c>
      <c r="O991" t="s">
        <v>14</v>
      </c>
      <c r="P991" t="s">
        <v>15</v>
      </c>
      <c r="Q991" t="s">
        <v>16</v>
      </c>
    </row>
    <row r="992" spans="10:17" x14ac:dyDescent="0.3">
      <c r="J992" t="str">
        <f t="shared" si="69"/>
        <v>Орлов Павел ДенисовичПавлов Павел Юрьевич</v>
      </c>
      <c r="K992" t="s">
        <v>45</v>
      </c>
      <c r="L992" t="s">
        <v>380</v>
      </c>
      <c r="M992" t="s">
        <v>456</v>
      </c>
      <c r="N992" t="str">
        <f t="shared" si="70"/>
        <v>Яковлев Артем ИгоревичКузнецова Полина Романовна</v>
      </c>
      <c r="O992" t="s">
        <v>8</v>
      </c>
      <c r="P992" t="s">
        <v>17</v>
      </c>
      <c r="Q992" t="s">
        <v>16</v>
      </c>
    </row>
    <row r="993" spans="10:17" x14ac:dyDescent="0.3">
      <c r="J993" t="str">
        <f t="shared" si="69"/>
        <v>Ткаченко Андрей ОлеговичСмирнов Павел Геннадьевич</v>
      </c>
      <c r="K993" t="s">
        <v>5</v>
      </c>
      <c r="L993" t="s">
        <v>56</v>
      </c>
      <c r="M993" t="s">
        <v>456</v>
      </c>
      <c r="N993" t="str">
        <f t="shared" si="70"/>
        <v>Сидорова Елена ВасильевнаЛебедева Полина Ивановна</v>
      </c>
      <c r="O993" t="s">
        <v>18</v>
      </c>
      <c r="P993" t="s">
        <v>19</v>
      </c>
      <c r="Q993" t="s">
        <v>16</v>
      </c>
    </row>
    <row r="994" spans="10:17" x14ac:dyDescent="0.3">
      <c r="J994" t="str">
        <f t="shared" si="69"/>
        <v>Фролов Сергей ВикторовичСидорова Елена Кирилловна</v>
      </c>
      <c r="K994" t="s">
        <v>40</v>
      </c>
      <c r="L994" t="s">
        <v>180</v>
      </c>
      <c r="M994" t="s">
        <v>456</v>
      </c>
      <c r="N994" t="str">
        <f t="shared" si="70"/>
        <v>Яковлев Артем ИгоревичКузнецов Никита Андреевич</v>
      </c>
      <c r="O994" t="s">
        <v>8</v>
      </c>
      <c r="P994" t="s">
        <v>20</v>
      </c>
      <c r="Q994" t="s">
        <v>16</v>
      </c>
    </row>
    <row r="995" spans="10:17" x14ac:dyDescent="0.3">
      <c r="J995" t="str">
        <f t="shared" si="69"/>
        <v>Ткаченко Андрей ОлеговичЛебедева Юлия Олеговна</v>
      </c>
      <c r="K995" t="s">
        <v>5</v>
      </c>
      <c r="L995" t="s">
        <v>312</v>
      </c>
      <c r="M995" t="s">
        <v>456</v>
      </c>
      <c r="N995" t="str">
        <f t="shared" si="70"/>
        <v>Белов Алексей КонстантиновичКузнецова Мария Юрьевна</v>
      </c>
      <c r="O995" t="s">
        <v>21</v>
      </c>
      <c r="P995" t="s">
        <v>22</v>
      </c>
      <c r="Q995" t="s">
        <v>16</v>
      </c>
    </row>
    <row r="996" spans="10:17" x14ac:dyDescent="0.3">
      <c r="J996" t="str">
        <f t="shared" si="69"/>
        <v>Фролов Сергей ВикторовичПетров Павел Кириллович</v>
      </c>
      <c r="K996" t="s">
        <v>40</v>
      </c>
      <c r="L996" t="s">
        <v>78</v>
      </c>
      <c r="M996" t="s">
        <v>457</v>
      </c>
      <c r="N996" t="str">
        <f t="shared" si="70"/>
        <v>Громова Мария ИльиничнаПетрова Вероника Александровна</v>
      </c>
      <c r="O996" t="s">
        <v>14</v>
      </c>
      <c r="P996" t="s">
        <v>23</v>
      </c>
      <c r="Q996" t="s">
        <v>16</v>
      </c>
    </row>
    <row r="997" spans="10:17" x14ac:dyDescent="0.3">
      <c r="J997" t="str">
        <f t="shared" si="69"/>
        <v>Белов Алексей КонстантиновичЛебедев Дмитрий Викторович</v>
      </c>
      <c r="K997" t="s">
        <v>21</v>
      </c>
      <c r="L997" t="s">
        <v>85</v>
      </c>
      <c r="M997" t="s">
        <v>457</v>
      </c>
      <c r="N997" t="str">
        <f t="shared" si="70"/>
        <v>Яковлев Артем ИгоревичВасильев Матвей Романович</v>
      </c>
      <c r="O997" t="s">
        <v>8</v>
      </c>
      <c r="P997" t="s">
        <v>24</v>
      </c>
      <c r="Q997" t="s">
        <v>16</v>
      </c>
    </row>
    <row r="998" spans="10:17" x14ac:dyDescent="0.3">
      <c r="J998" t="str">
        <f t="shared" si="69"/>
        <v>Семенова Ирина ВалерьевнаАлексеева Елена Кирилловна</v>
      </c>
      <c r="K998" t="s">
        <v>12</v>
      </c>
      <c r="L998" t="s">
        <v>176</v>
      </c>
      <c r="M998" t="s">
        <v>457</v>
      </c>
      <c r="N998" t="str">
        <f t="shared" si="70"/>
        <v>Ткаченко Андрей ОлеговичЛебедева Виктория Дмитриевна</v>
      </c>
      <c r="O998" t="s">
        <v>5</v>
      </c>
      <c r="P998" t="s">
        <v>6</v>
      </c>
      <c r="Q998" t="s">
        <v>7</v>
      </c>
    </row>
    <row r="999" spans="10:17" x14ac:dyDescent="0.3">
      <c r="J999" t="str">
        <f t="shared" si="69"/>
        <v>Иванова Анна СергеевнаНовикова Екатерина Михайловна</v>
      </c>
      <c r="K999" t="s">
        <v>28</v>
      </c>
      <c r="L999" t="s">
        <v>181</v>
      </c>
      <c r="M999" t="s">
        <v>458</v>
      </c>
      <c r="N999" t="str">
        <f t="shared" si="70"/>
        <v>Яковлев Артем ИгоревичСеменов Дмитрий Олегович</v>
      </c>
      <c r="O999" t="s">
        <v>8</v>
      </c>
      <c r="P999" t="s">
        <v>9</v>
      </c>
      <c r="Q999" t="s">
        <v>7</v>
      </c>
    </row>
    <row r="1000" spans="10:17" x14ac:dyDescent="0.3">
      <c r="J1000" t="str">
        <f t="shared" si="69"/>
        <v>Семенова Ирина ВалерьевнаЛебедев Максим Михайлович</v>
      </c>
      <c r="K1000" t="s">
        <v>12</v>
      </c>
      <c r="L1000" t="s">
        <v>183</v>
      </c>
      <c r="M1000" t="s">
        <v>458</v>
      </c>
      <c r="N1000" t="str">
        <f t="shared" si="70"/>
        <v>Кузнецов Дмитрий ЛьвовичНовикова Екатерина Ивановна</v>
      </c>
      <c r="O1000" t="s">
        <v>10</v>
      </c>
      <c r="P1000" t="s">
        <v>11</v>
      </c>
      <c r="Q1000" t="s">
        <v>7</v>
      </c>
    </row>
    <row r="1001" spans="10:17" x14ac:dyDescent="0.3">
      <c r="J1001" t="str">
        <f t="shared" si="69"/>
        <v>Ткаченко Андрей ОлеговичВасильева Александра Александровна</v>
      </c>
      <c r="K1001" t="s">
        <v>5</v>
      </c>
      <c r="L1001" t="s">
        <v>412</v>
      </c>
      <c r="M1001" t="s">
        <v>458</v>
      </c>
      <c r="N1001" t="str">
        <f t="shared" si="70"/>
        <v>Семенова Ирина ВалерьевнаЕгорова Юлия Алексеевна</v>
      </c>
      <c r="O1001" t="s">
        <v>12</v>
      </c>
      <c r="P1001" t="s">
        <v>13</v>
      </c>
      <c r="Q1001" t="s">
        <v>7</v>
      </c>
    </row>
  </sheetData>
  <sortState xmlns:xlrd2="http://schemas.microsoft.com/office/spreadsheetml/2017/richdata2" ref="O2:Q1004">
    <sortCondition descending="1" ref="Q1"/>
  </sortState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2322-2D3D-4524-8176-4ABEF7F60C5E}">
  <dimension ref="A1:C815"/>
  <sheetViews>
    <sheetView workbookViewId="0">
      <selection activeCell="G17" sqref="G17"/>
    </sheetView>
  </sheetViews>
  <sheetFormatPr defaultRowHeight="14.4" x14ac:dyDescent="0.3"/>
  <cols>
    <col min="1" max="1" width="29.33203125" customWidth="1"/>
    <col min="2" max="2" width="33.21875" customWidth="1"/>
    <col min="4" max="4" width="10.33203125" customWidth="1"/>
  </cols>
  <sheetData>
    <row r="1" spans="1:3" x14ac:dyDescent="0.3">
      <c r="A1" t="s">
        <v>0</v>
      </c>
      <c r="B1" t="s">
        <v>1</v>
      </c>
      <c r="C1" t="s">
        <v>511</v>
      </c>
    </row>
    <row r="2" spans="1:3" x14ac:dyDescent="0.3">
      <c r="A2" t="s">
        <v>21</v>
      </c>
      <c r="B2" t="s">
        <v>89</v>
      </c>
      <c r="C2">
        <v>333</v>
      </c>
    </row>
    <row r="3" spans="1:3" x14ac:dyDescent="0.3">
      <c r="A3" t="s">
        <v>8</v>
      </c>
      <c r="B3" t="s">
        <v>69</v>
      </c>
      <c r="C3">
        <v>329</v>
      </c>
    </row>
    <row r="4" spans="1:3" x14ac:dyDescent="0.3">
      <c r="A4" t="s">
        <v>47</v>
      </c>
      <c r="B4" t="s">
        <v>101</v>
      </c>
      <c r="C4">
        <v>323</v>
      </c>
    </row>
    <row r="5" spans="1:3" x14ac:dyDescent="0.3">
      <c r="A5" t="s">
        <v>47</v>
      </c>
      <c r="B5" t="s">
        <v>83</v>
      </c>
      <c r="C5">
        <v>320</v>
      </c>
    </row>
    <row r="6" spans="1:3" x14ac:dyDescent="0.3">
      <c r="A6" t="s">
        <v>8</v>
      </c>
      <c r="B6" t="s">
        <v>20</v>
      </c>
      <c r="C6">
        <v>315</v>
      </c>
    </row>
    <row r="7" spans="1:3" x14ac:dyDescent="0.3">
      <c r="A7" t="s">
        <v>21</v>
      </c>
      <c r="B7" t="s">
        <v>66</v>
      </c>
      <c r="C7">
        <v>309</v>
      </c>
    </row>
    <row r="8" spans="1:3" x14ac:dyDescent="0.3">
      <c r="A8" t="s">
        <v>18</v>
      </c>
      <c r="B8" t="s">
        <v>114</v>
      </c>
      <c r="C8">
        <v>302</v>
      </c>
    </row>
    <row r="9" spans="1:3" x14ac:dyDescent="0.3">
      <c r="A9" t="s">
        <v>45</v>
      </c>
      <c r="B9" t="s">
        <v>48</v>
      </c>
      <c r="C9">
        <v>300</v>
      </c>
    </row>
    <row r="10" spans="1:3" x14ac:dyDescent="0.3">
      <c r="A10" t="s">
        <v>18</v>
      </c>
      <c r="B10" t="s">
        <v>69</v>
      </c>
      <c r="C10">
        <v>289</v>
      </c>
    </row>
    <row r="11" spans="1:3" x14ac:dyDescent="0.3">
      <c r="A11" t="s">
        <v>8</v>
      </c>
      <c r="B11" t="s">
        <v>49</v>
      </c>
      <c r="C11">
        <v>287</v>
      </c>
    </row>
    <row r="12" spans="1:3" x14ac:dyDescent="0.3">
      <c r="A12" t="s">
        <v>50</v>
      </c>
      <c r="B12" t="s">
        <v>70</v>
      </c>
      <c r="C12">
        <v>286</v>
      </c>
    </row>
    <row r="13" spans="1:3" x14ac:dyDescent="0.3">
      <c r="A13" t="s">
        <v>5</v>
      </c>
      <c r="B13" t="s">
        <v>23</v>
      </c>
      <c r="C13">
        <v>280</v>
      </c>
    </row>
    <row r="14" spans="1:3" x14ac:dyDescent="0.3">
      <c r="A14" t="s">
        <v>18</v>
      </c>
      <c r="B14" t="s">
        <v>147</v>
      </c>
      <c r="C14">
        <v>277</v>
      </c>
    </row>
    <row r="15" spans="1:3" x14ac:dyDescent="0.3">
      <c r="A15" t="s">
        <v>18</v>
      </c>
      <c r="B15" t="s">
        <v>140</v>
      </c>
      <c r="C15">
        <v>273</v>
      </c>
    </row>
    <row r="16" spans="1:3" x14ac:dyDescent="0.3">
      <c r="A16" t="s">
        <v>12</v>
      </c>
      <c r="B16" t="s">
        <v>209</v>
      </c>
      <c r="C16">
        <v>268</v>
      </c>
    </row>
    <row r="17" spans="1:3" x14ac:dyDescent="0.3">
      <c r="A17" t="s">
        <v>10</v>
      </c>
      <c r="B17" t="s">
        <v>69</v>
      </c>
      <c r="C17">
        <v>262</v>
      </c>
    </row>
    <row r="18" spans="1:3" x14ac:dyDescent="0.3">
      <c r="A18" t="s">
        <v>18</v>
      </c>
      <c r="B18" t="s">
        <v>27</v>
      </c>
      <c r="C18">
        <v>259</v>
      </c>
    </row>
    <row r="19" spans="1:3" x14ac:dyDescent="0.3">
      <c r="A19" t="s">
        <v>8</v>
      </c>
      <c r="B19" t="s">
        <v>72</v>
      </c>
      <c r="C19">
        <v>257</v>
      </c>
    </row>
    <row r="20" spans="1:3" x14ac:dyDescent="0.3">
      <c r="A20" t="s">
        <v>45</v>
      </c>
      <c r="B20" t="s">
        <v>111</v>
      </c>
      <c r="C20">
        <v>255</v>
      </c>
    </row>
    <row r="21" spans="1:3" x14ac:dyDescent="0.3">
      <c r="A21" t="s">
        <v>5</v>
      </c>
      <c r="B21" t="s">
        <v>169</v>
      </c>
      <c r="C21">
        <v>247</v>
      </c>
    </row>
    <row r="22" spans="1:3" x14ac:dyDescent="0.3">
      <c r="A22" t="s">
        <v>8</v>
      </c>
      <c r="B22" t="s">
        <v>17</v>
      </c>
      <c r="C22">
        <v>240</v>
      </c>
    </row>
    <row r="23" spans="1:3" x14ac:dyDescent="0.3">
      <c r="A23" t="s">
        <v>5</v>
      </c>
      <c r="B23" t="s">
        <v>130</v>
      </c>
      <c r="C23">
        <v>233</v>
      </c>
    </row>
    <row r="24" spans="1:3" x14ac:dyDescent="0.3">
      <c r="A24" t="s">
        <v>18</v>
      </c>
      <c r="B24" t="s">
        <v>80</v>
      </c>
      <c r="C24">
        <v>231</v>
      </c>
    </row>
    <row r="25" spans="1:3" x14ac:dyDescent="0.3">
      <c r="A25" t="s">
        <v>40</v>
      </c>
      <c r="B25" t="s">
        <v>81</v>
      </c>
      <c r="C25">
        <v>231</v>
      </c>
    </row>
    <row r="26" spans="1:3" x14ac:dyDescent="0.3">
      <c r="A26" t="s">
        <v>47</v>
      </c>
      <c r="B26" t="s">
        <v>105</v>
      </c>
      <c r="C26">
        <v>229</v>
      </c>
    </row>
    <row r="27" spans="1:3" x14ac:dyDescent="0.3">
      <c r="A27" t="s">
        <v>10</v>
      </c>
      <c r="B27" t="s">
        <v>137</v>
      </c>
      <c r="C27">
        <v>228</v>
      </c>
    </row>
    <row r="28" spans="1:3" x14ac:dyDescent="0.3">
      <c r="A28" t="s">
        <v>14</v>
      </c>
      <c r="B28" t="s">
        <v>43</v>
      </c>
      <c r="C28">
        <v>227</v>
      </c>
    </row>
    <row r="29" spans="1:3" x14ac:dyDescent="0.3">
      <c r="A29" t="s">
        <v>14</v>
      </c>
      <c r="B29" t="s">
        <v>23</v>
      </c>
      <c r="C29">
        <v>226</v>
      </c>
    </row>
    <row r="30" spans="1:3" x14ac:dyDescent="0.3">
      <c r="A30" t="s">
        <v>47</v>
      </c>
      <c r="B30" t="s">
        <v>199</v>
      </c>
      <c r="C30">
        <v>225</v>
      </c>
    </row>
    <row r="31" spans="1:3" x14ac:dyDescent="0.3">
      <c r="A31" t="s">
        <v>14</v>
      </c>
      <c r="B31" t="s">
        <v>37</v>
      </c>
      <c r="C31">
        <v>222</v>
      </c>
    </row>
    <row r="32" spans="1:3" x14ac:dyDescent="0.3">
      <c r="A32" t="s">
        <v>28</v>
      </c>
      <c r="B32" t="s">
        <v>258</v>
      </c>
      <c r="C32">
        <v>221</v>
      </c>
    </row>
    <row r="33" spans="1:3" x14ac:dyDescent="0.3">
      <c r="A33" t="s">
        <v>18</v>
      </c>
      <c r="B33" t="s">
        <v>94</v>
      </c>
      <c r="C33">
        <v>220</v>
      </c>
    </row>
    <row r="34" spans="1:3" x14ac:dyDescent="0.3">
      <c r="A34" t="s">
        <v>18</v>
      </c>
      <c r="B34" t="s">
        <v>193</v>
      </c>
      <c r="C34">
        <v>219</v>
      </c>
    </row>
    <row r="35" spans="1:3" x14ac:dyDescent="0.3">
      <c r="A35" t="s">
        <v>50</v>
      </c>
      <c r="B35" t="s">
        <v>36</v>
      </c>
      <c r="C35">
        <v>218</v>
      </c>
    </row>
    <row r="36" spans="1:3" x14ac:dyDescent="0.3">
      <c r="A36" t="s">
        <v>21</v>
      </c>
      <c r="B36" t="s">
        <v>176</v>
      </c>
      <c r="C36">
        <v>215</v>
      </c>
    </row>
    <row r="37" spans="1:3" x14ac:dyDescent="0.3">
      <c r="A37" t="s">
        <v>21</v>
      </c>
      <c r="B37" t="s">
        <v>276</v>
      </c>
      <c r="C37">
        <v>215</v>
      </c>
    </row>
    <row r="38" spans="1:3" x14ac:dyDescent="0.3">
      <c r="A38" t="s">
        <v>5</v>
      </c>
      <c r="B38" t="s">
        <v>77</v>
      </c>
      <c r="C38">
        <v>214</v>
      </c>
    </row>
    <row r="39" spans="1:3" x14ac:dyDescent="0.3">
      <c r="A39" t="s">
        <v>14</v>
      </c>
      <c r="B39" t="s">
        <v>289</v>
      </c>
      <c r="C39">
        <v>210</v>
      </c>
    </row>
    <row r="40" spans="1:3" x14ac:dyDescent="0.3">
      <c r="A40" t="s">
        <v>21</v>
      </c>
      <c r="B40" t="s">
        <v>109</v>
      </c>
      <c r="C40">
        <v>199</v>
      </c>
    </row>
    <row r="41" spans="1:3" x14ac:dyDescent="0.3">
      <c r="A41" t="s">
        <v>8</v>
      </c>
      <c r="B41" t="s">
        <v>109</v>
      </c>
      <c r="C41">
        <v>199</v>
      </c>
    </row>
    <row r="42" spans="1:3" x14ac:dyDescent="0.3">
      <c r="A42" t="s">
        <v>8</v>
      </c>
      <c r="B42" t="s">
        <v>149</v>
      </c>
      <c r="C42">
        <v>197</v>
      </c>
    </row>
    <row r="43" spans="1:3" x14ac:dyDescent="0.3">
      <c r="A43" t="s">
        <v>50</v>
      </c>
      <c r="B43" t="s">
        <v>99</v>
      </c>
      <c r="C43">
        <v>196</v>
      </c>
    </row>
    <row r="44" spans="1:3" x14ac:dyDescent="0.3">
      <c r="A44" t="s">
        <v>14</v>
      </c>
      <c r="B44" t="s">
        <v>107</v>
      </c>
      <c r="C44">
        <v>193</v>
      </c>
    </row>
    <row r="45" spans="1:3" x14ac:dyDescent="0.3">
      <c r="A45" t="s">
        <v>10</v>
      </c>
      <c r="B45" t="s">
        <v>191</v>
      </c>
      <c r="C45">
        <v>191</v>
      </c>
    </row>
    <row r="46" spans="1:3" x14ac:dyDescent="0.3">
      <c r="A46" t="s">
        <v>45</v>
      </c>
      <c r="B46" t="s">
        <v>54</v>
      </c>
      <c r="C46">
        <v>190</v>
      </c>
    </row>
    <row r="47" spans="1:3" x14ac:dyDescent="0.3">
      <c r="A47" t="s">
        <v>45</v>
      </c>
      <c r="B47" t="s">
        <v>126</v>
      </c>
      <c r="C47">
        <v>189</v>
      </c>
    </row>
    <row r="48" spans="1:3" x14ac:dyDescent="0.3">
      <c r="A48" t="s">
        <v>18</v>
      </c>
      <c r="B48" t="s">
        <v>124</v>
      </c>
      <c r="C48">
        <v>189</v>
      </c>
    </row>
    <row r="49" spans="1:3" x14ac:dyDescent="0.3">
      <c r="A49" t="s">
        <v>8</v>
      </c>
      <c r="B49" t="s">
        <v>48</v>
      </c>
      <c r="C49">
        <v>188</v>
      </c>
    </row>
    <row r="50" spans="1:3" x14ac:dyDescent="0.3">
      <c r="A50" t="s">
        <v>21</v>
      </c>
      <c r="B50" t="s">
        <v>251</v>
      </c>
      <c r="C50">
        <v>182</v>
      </c>
    </row>
    <row r="51" spans="1:3" x14ac:dyDescent="0.3">
      <c r="A51" t="s">
        <v>5</v>
      </c>
      <c r="B51" t="s">
        <v>95</v>
      </c>
      <c r="C51">
        <v>182</v>
      </c>
    </row>
    <row r="52" spans="1:3" x14ac:dyDescent="0.3">
      <c r="A52" t="s">
        <v>14</v>
      </c>
      <c r="B52" t="s">
        <v>53</v>
      </c>
      <c r="C52">
        <v>181</v>
      </c>
    </row>
    <row r="53" spans="1:3" x14ac:dyDescent="0.3">
      <c r="A53" t="s">
        <v>5</v>
      </c>
      <c r="B53" t="s">
        <v>312</v>
      </c>
      <c r="C53">
        <v>178</v>
      </c>
    </row>
    <row r="54" spans="1:3" x14ac:dyDescent="0.3">
      <c r="A54" t="s">
        <v>50</v>
      </c>
      <c r="B54" t="s">
        <v>13</v>
      </c>
      <c r="C54">
        <v>175</v>
      </c>
    </row>
    <row r="55" spans="1:3" x14ac:dyDescent="0.3">
      <c r="A55" t="s">
        <v>18</v>
      </c>
      <c r="B55" t="s">
        <v>48</v>
      </c>
      <c r="C55">
        <v>175</v>
      </c>
    </row>
    <row r="56" spans="1:3" x14ac:dyDescent="0.3">
      <c r="A56" t="s">
        <v>40</v>
      </c>
      <c r="B56" t="s">
        <v>100</v>
      </c>
      <c r="C56">
        <v>173</v>
      </c>
    </row>
    <row r="57" spans="1:3" x14ac:dyDescent="0.3">
      <c r="A57" t="s">
        <v>21</v>
      </c>
      <c r="B57" t="s">
        <v>192</v>
      </c>
      <c r="C57">
        <v>168</v>
      </c>
    </row>
    <row r="58" spans="1:3" x14ac:dyDescent="0.3">
      <c r="A58" t="s">
        <v>50</v>
      </c>
      <c r="B58" t="s">
        <v>150</v>
      </c>
      <c r="C58">
        <v>168</v>
      </c>
    </row>
    <row r="59" spans="1:3" x14ac:dyDescent="0.3">
      <c r="A59" t="s">
        <v>40</v>
      </c>
      <c r="B59" t="s">
        <v>25</v>
      </c>
      <c r="C59">
        <v>165</v>
      </c>
    </row>
    <row r="60" spans="1:3" x14ac:dyDescent="0.3">
      <c r="A60" t="s">
        <v>14</v>
      </c>
      <c r="B60" t="s">
        <v>54</v>
      </c>
      <c r="C60">
        <v>161</v>
      </c>
    </row>
    <row r="61" spans="1:3" x14ac:dyDescent="0.3">
      <c r="A61" t="s">
        <v>14</v>
      </c>
      <c r="B61" t="s">
        <v>324</v>
      </c>
      <c r="C61">
        <v>161</v>
      </c>
    </row>
    <row r="62" spans="1:3" x14ac:dyDescent="0.3">
      <c r="A62" t="s">
        <v>50</v>
      </c>
      <c r="B62" t="s">
        <v>51</v>
      </c>
      <c r="C62">
        <v>161</v>
      </c>
    </row>
    <row r="63" spans="1:3" x14ac:dyDescent="0.3">
      <c r="A63" t="s">
        <v>50</v>
      </c>
      <c r="B63" t="s">
        <v>190</v>
      </c>
      <c r="C63">
        <v>159</v>
      </c>
    </row>
    <row r="64" spans="1:3" x14ac:dyDescent="0.3">
      <c r="A64" t="s">
        <v>8</v>
      </c>
      <c r="B64" t="s">
        <v>193</v>
      </c>
      <c r="C64">
        <v>156</v>
      </c>
    </row>
    <row r="65" spans="1:3" x14ac:dyDescent="0.3">
      <c r="A65" t="s">
        <v>8</v>
      </c>
      <c r="B65" t="s">
        <v>178</v>
      </c>
      <c r="C65">
        <v>154</v>
      </c>
    </row>
    <row r="66" spans="1:3" x14ac:dyDescent="0.3">
      <c r="A66" t="s">
        <v>45</v>
      </c>
      <c r="B66" t="s">
        <v>36</v>
      </c>
      <c r="C66">
        <v>153</v>
      </c>
    </row>
    <row r="67" spans="1:3" x14ac:dyDescent="0.3">
      <c r="A67" t="s">
        <v>21</v>
      </c>
      <c r="B67" t="s">
        <v>85</v>
      </c>
      <c r="C67">
        <v>150</v>
      </c>
    </row>
    <row r="68" spans="1:3" x14ac:dyDescent="0.3">
      <c r="A68" t="s">
        <v>10</v>
      </c>
      <c r="B68" t="s">
        <v>71</v>
      </c>
      <c r="C68">
        <v>150</v>
      </c>
    </row>
    <row r="69" spans="1:3" x14ac:dyDescent="0.3">
      <c r="A69" t="s">
        <v>14</v>
      </c>
      <c r="B69" t="s">
        <v>136</v>
      </c>
      <c r="C69">
        <v>149</v>
      </c>
    </row>
    <row r="70" spans="1:3" x14ac:dyDescent="0.3">
      <c r="A70" t="s">
        <v>18</v>
      </c>
      <c r="B70" t="s">
        <v>315</v>
      </c>
      <c r="C70">
        <v>145</v>
      </c>
    </row>
    <row r="71" spans="1:3" x14ac:dyDescent="0.3">
      <c r="A71" t="s">
        <v>40</v>
      </c>
      <c r="B71" t="s">
        <v>103</v>
      </c>
      <c r="C71">
        <v>144</v>
      </c>
    </row>
    <row r="72" spans="1:3" x14ac:dyDescent="0.3">
      <c r="A72" t="s">
        <v>47</v>
      </c>
      <c r="B72" t="s">
        <v>81</v>
      </c>
      <c r="C72">
        <v>143</v>
      </c>
    </row>
    <row r="73" spans="1:3" x14ac:dyDescent="0.3">
      <c r="A73" t="s">
        <v>14</v>
      </c>
      <c r="B73" t="s">
        <v>122</v>
      </c>
      <c r="C73">
        <v>142</v>
      </c>
    </row>
    <row r="74" spans="1:3" x14ac:dyDescent="0.3">
      <c r="A74" t="s">
        <v>5</v>
      </c>
      <c r="B74" t="s">
        <v>154</v>
      </c>
      <c r="C74">
        <v>141</v>
      </c>
    </row>
    <row r="75" spans="1:3" x14ac:dyDescent="0.3">
      <c r="A75" t="s">
        <v>47</v>
      </c>
      <c r="B75" t="s">
        <v>217</v>
      </c>
      <c r="C75">
        <v>139</v>
      </c>
    </row>
    <row r="76" spans="1:3" x14ac:dyDescent="0.3">
      <c r="A76" t="s">
        <v>50</v>
      </c>
      <c r="B76" t="s">
        <v>124</v>
      </c>
      <c r="C76">
        <v>139</v>
      </c>
    </row>
    <row r="77" spans="1:3" x14ac:dyDescent="0.3">
      <c r="A77" t="s">
        <v>8</v>
      </c>
      <c r="B77" t="s">
        <v>90</v>
      </c>
      <c r="C77">
        <v>138</v>
      </c>
    </row>
    <row r="78" spans="1:3" x14ac:dyDescent="0.3">
      <c r="A78" t="s">
        <v>18</v>
      </c>
      <c r="B78" t="s">
        <v>17</v>
      </c>
      <c r="C78">
        <v>137</v>
      </c>
    </row>
    <row r="79" spans="1:3" x14ac:dyDescent="0.3">
      <c r="A79" t="s">
        <v>40</v>
      </c>
      <c r="B79" t="s">
        <v>124</v>
      </c>
      <c r="C79">
        <v>137</v>
      </c>
    </row>
    <row r="80" spans="1:3" x14ac:dyDescent="0.3">
      <c r="A80" t="s">
        <v>45</v>
      </c>
      <c r="B80" t="s">
        <v>199</v>
      </c>
      <c r="C80">
        <v>134</v>
      </c>
    </row>
    <row r="81" spans="1:3" x14ac:dyDescent="0.3">
      <c r="A81" t="s">
        <v>21</v>
      </c>
      <c r="B81" t="s">
        <v>63</v>
      </c>
      <c r="C81">
        <v>133</v>
      </c>
    </row>
    <row r="82" spans="1:3" x14ac:dyDescent="0.3">
      <c r="A82" t="s">
        <v>40</v>
      </c>
      <c r="B82" t="s">
        <v>99</v>
      </c>
      <c r="C82">
        <v>132</v>
      </c>
    </row>
    <row r="83" spans="1:3" x14ac:dyDescent="0.3">
      <c r="A83" t="s">
        <v>12</v>
      </c>
      <c r="B83" t="s">
        <v>71</v>
      </c>
      <c r="C83">
        <v>126</v>
      </c>
    </row>
    <row r="84" spans="1:3" x14ac:dyDescent="0.3">
      <c r="A84" t="s">
        <v>47</v>
      </c>
      <c r="B84" t="s">
        <v>70</v>
      </c>
      <c r="C84">
        <v>124</v>
      </c>
    </row>
    <row r="85" spans="1:3" x14ac:dyDescent="0.3">
      <c r="A85" t="s">
        <v>28</v>
      </c>
      <c r="B85" t="s">
        <v>119</v>
      </c>
      <c r="C85">
        <v>123</v>
      </c>
    </row>
    <row r="86" spans="1:3" x14ac:dyDescent="0.3">
      <c r="A86" t="s">
        <v>10</v>
      </c>
      <c r="B86" t="s">
        <v>81</v>
      </c>
      <c r="C86">
        <v>119</v>
      </c>
    </row>
    <row r="87" spans="1:3" x14ac:dyDescent="0.3">
      <c r="A87" t="s">
        <v>45</v>
      </c>
      <c r="B87" t="s">
        <v>46</v>
      </c>
      <c r="C87">
        <v>119</v>
      </c>
    </row>
    <row r="88" spans="1:3" x14ac:dyDescent="0.3">
      <c r="A88" t="s">
        <v>45</v>
      </c>
      <c r="B88" t="s">
        <v>105</v>
      </c>
      <c r="C88">
        <v>118</v>
      </c>
    </row>
    <row r="89" spans="1:3" x14ac:dyDescent="0.3">
      <c r="A89" t="s">
        <v>5</v>
      </c>
      <c r="B89" t="s">
        <v>178</v>
      </c>
      <c r="C89">
        <v>106</v>
      </c>
    </row>
    <row r="90" spans="1:3" x14ac:dyDescent="0.3">
      <c r="A90" t="s">
        <v>14</v>
      </c>
      <c r="B90" t="s">
        <v>146</v>
      </c>
      <c r="C90">
        <v>103</v>
      </c>
    </row>
    <row r="91" spans="1:3" x14ac:dyDescent="0.3">
      <c r="A91" t="s">
        <v>28</v>
      </c>
      <c r="B91" t="s">
        <v>205</v>
      </c>
      <c r="C91">
        <v>99</v>
      </c>
    </row>
    <row r="92" spans="1:3" x14ac:dyDescent="0.3">
      <c r="A92" t="s">
        <v>12</v>
      </c>
      <c r="B92" t="s">
        <v>81</v>
      </c>
      <c r="C92">
        <v>99</v>
      </c>
    </row>
    <row r="93" spans="1:3" x14ac:dyDescent="0.3">
      <c r="A93" t="s">
        <v>8</v>
      </c>
      <c r="B93" t="s">
        <v>200</v>
      </c>
      <c r="C93">
        <v>99</v>
      </c>
    </row>
    <row r="94" spans="1:3" x14ac:dyDescent="0.3">
      <c r="A94" t="s">
        <v>50</v>
      </c>
      <c r="B94" t="s">
        <v>85</v>
      </c>
      <c r="C94">
        <v>98</v>
      </c>
    </row>
    <row r="95" spans="1:3" x14ac:dyDescent="0.3">
      <c r="A95" t="s">
        <v>5</v>
      </c>
      <c r="B95" t="s">
        <v>116</v>
      </c>
      <c r="C95">
        <v>98</v>
      </c>
    </row>
    <row r="96" spans="1:3" x14ac:dyDescent="0.3">
      <c r="A96" t="s">
        <v>8</v>
      </c>
      <c r="B96" t="s">
        <v>84</v>
      </c>
      <c r="C96">
        <v>98</v>
      </c>
    </row>
    <row r="97" spans="1:3" x14ac:dyDescent="0.3">
      <c r="A97" t="s">
        <v>40</v>
      </c>
      <c r="B97" t="s">
        <v>116</v>
      </c>
      <c r="C97">
        <v>95</v>
      </c>
    </row>
    <row r="98" spans="1:3" x14ac:dyDescent="0.3">
      <c r="A98" t="s">
        <v>45</v>
      </c>
      <c r="B98" t="s">
        <v>256</v>
      </c>
      <c r="C98">
        <v>94</v>
      </c>
    </row>
    <row r="99" spans="1:3" x14ac:dyDescent="0.3">
      <c r="A99" t="s">
        <v>45</v>
      </c>
      <c r="B99" t="s">
        <v>116</v>
      </c>
      <c r="C99">
        <v>93</v>
      </c>
    </row>
    <row r="100" spans="1:3" x14ac:dyDescent="0.3">
      <c r="A100" t="s">
        <v>28</v>
      </c>
      <c r="B100" t="s">
        <v>191</v>
      </c>
      <c r="C100">
        <v>91</v>
      </c>
    </row>
    <row r="101" spans="1:3" x14ac:dyDescent="0.3">
      <c r="A101" t="s">
        <v>45</v>
      </c>
      <c r="B101" t="s">
        <v>268</v>
      </c>
      <c r="C101">
        <v>91</v>
      </c>
    </row>
    <row r="102" spans="1:3" x14ac:dyDescent="0.3">
      <c r="A102" t="s">
        <v>10</v>
      </c>
      <c r="B102" t="s">
        <v>251</v>
      </c>
      <c r="C102">
        <v>90</v>
      </c>
    </row>
    <row r="103" spans="1:3" x14ac:dyDescent="0.3">
      <c r="A103" t="s">
        <v>40</v>
      </c>
      <c r="B103" t="s">
        <v>141</v>
      </c>
      <c r="C103">
        <v>90</v>
      </c>
    </row>
    <row r="104" spans="1:3" x14ac:dyDescent="0.3">
      <c r="A104" t="s">
        <v>8</v>
      </c>
      <c r="B104" t="s">
        <v>61</v>
      </c>
      <c r="C104">
        <v>90</v>
      </c>
    </row>
    <row r="105" spans="1:3" x14ac:dyDescent="0.3">
      <c r="A105" t="s">
        <v>28</v>
      </c>
      <c r="B105" t="s">
        <v>72</v>
      </c>
      <c r="C105">
        <v>84</v>
      </c>
    </row>
    <row r="106" spans="1:3" x14ac:dyDescent="0.3">
      <c r="A106" t="s">
        <v>47</v>
      </c>
      <c r="B106" t="s">
        <v>17</v>
      </c>
      <c r="C106">
        <v>84</v>
      </c>
    </row>
    <row r="107" spans="1:3" x14ac:dyDescent="0.3">
      <c r="A107" t="s">
        <v>14</v>
      </c>
      <c r="B107" t="s">
        <v>186</v>
      </c>
      <c r="C107">
        <v>83</v>
      </c>
    </row>
    <row r="108" spans="1:3" x14ac:dyDescent="0.3">
      <c r="A108" t="s">
        <v>10</v>
      </c>
      <c r="B108" t="s">
        <v>126</v>
      </c>
      <c r="C108">
        <v>83</v>
      </c>
    </row>
    <row r="109" spans="1:3" x14ac:dyDescent="0.3">
      <c r="A109" t="s">
        <v>50</v>
      </c>
      <c r="B109" t="s">
        <v>191</v>
      </c>
      <c r="C109">
        <v>82</v>
      </c>
    </row>
    <row r="110" spans="1:3" x14ac:dyDescent="0.3">
      <c r="A110" t="s">
        <v>10</v>
      </c>
      <c r="B110" t="s">
        <v>6</v>
      </c>
      <c r="C110">
        <v>81</v>
      </c>
    </row>
    <row r="111" spans="1:3" x14ac:dyDescent="0.3">
      <c r="A111" t="s">
        <v>8</v>
      </c>
      <c r="B111" t="s">
        <v>103</v>
      </c>
      <c r="C111">
        <v>81</v>
      </c>
    </row>
    <row r="112" spans="1:3" x14ac:dyDescent="0.3">
      <c r="A112" t="s">
        <v>8</v>
      </c>
      <c r="B112" t="s">
        <v>166</v>
      </c>
      <c r="C112">
        <v>79</v>
      </c>
    </row>
    <row r="113" spans="1:3" x14ac:dyDescent="0.3">
      <c r="A113" t="s">
        <v>12</v>
      </c>
      <c r="B113" t="s">
        <v>191</v>
      </c>
      <c r="C113">
        <v>77</v>
      </c>
    </row>
    <row r="114" spans="1:3" x14ac:dyDescent="0.3">
      <c r="A114" t="s">
        <v>40</v>
      </c>
      <c r="B114" t="s">
        <v>22</v>
      </c>
      <c r="C114">
        <v>77</v>
      </c>
    </row>
    <row r="115" spans="1:3" x14ac:dyDescent="0.3">
      <c r="A115" t="s">
        <v>14</v>
      </c>
      <c r="B115" t="s">
        <v>111</v>
      </c>
      <c r="C115">
        <v>71</v>
      </c>
    </row>
    <row r="116" spans="1:3" x14ac:dyDescent="0.3">
      <c r="A116" t="s">
        <v>10</v>
      </c>
      <c r="B116" t="s">
        <v>49</v>
      </c>
      <c r="C116">
        <v>70</v>
      </c>
    </row>
    <row r="117" spans="1:3" x14ac:dyDescent="0.3">
      <c r="A117" t="s">
        <v>12</v>
      </c>
      <c r="B117" t="s">
        <v>83</v>
      </c>
      <c r="C117">
        <v>70</v>
      </c>
    </row>
    <row r="118" spans="1:3" x14ac:dyDescent="0.3">
      <c r="A118" t="s">
        <v>8</v>
      </c>
      <c r="B118" t="s">
        <v>180</v>
      </c>
      <c r="C118">
        <v>70</v>
      </c>
    </row>
    <row r="119" spans="1:3" x14ac:dyDescent="0.3">
      <c r="A119" t="s">
        <v>18</v>
      </c>
      <c r="B119" t="s">
        <v>90</v>
      </c>
      <c r="C119">
        <v>69</v>
      </c>
    </row>
    <row r="120" spans="1:3" x14ac:dyDescent="0.3">
      <c r="A120" t="s">
        <v>10</v>
      </c>
      <c r="B120" t="s">
        <v>221</v>
      </c>
      <c r="C120">
        <v>68</v>
      </c>
    </row>
    <row r="121" spans="1:3" x14ac:dyDescent="0.3">
      <c r="A121" t="s">
        <v>45</v>
      </c>
      <c r="B121" t="s">
        <v>165</v>
      </c>
      <c r="C121">
        <v>66</v>
      </c>
    </row>
    <row r="122" spans="1:3" x14ac:dyDescent="0.3">
      <c r="A122" t="s">
        <v>47</v>
      </c>
      <c r="B122" t="s">
        <v>25</v>
      </c>
      <c r="C122">
        <v>63</v>
      </c>
    </row>
    <row r="123" spans="1:3" x14ac:dyDescent="0.3">
      <c r="A123" t="s">
        <v>5</v>
      </c>
      <c r="B123" t="s">
        <v>112</v>
      </c>
      <c r="C123">
        <v>63</v>
      </c>
    </row>
    <row r="124" spans="1:3" x14ac:dyDescent="0.3">
      <c r="A124" t="s">
        <v>14</v>
      </c>
      <c r="B124" t="s">
        <v>364</v>
      </c>
      <c r="C124">
        <v>60</v>
      </c>
    </row>
    <row r="125" spans="1:3" x14ac:dyDescent="0.3">
      <c r="A125" t="s">
        <v>12</v>
      </c>
      <c r="B125" t="s">
        <v>202</v>
      </c>
      <c r="C125">
        <v>60</v>
      </c>
    </row>
    <row r="126" spans="1:3" x14ac:dyDescent="0.3">
      <c r="A126" t="s">
        <v>12</v>
      </c>
      <c r="B126" t="s">
        <v>270</v>
      </c>
      <c r="C126">
        <v>58</v>
      </c>
    </row>
    <row r="127" spans="1:3" x14ac:dyDescent="0.3">
      <c r="A127" t="s">
        <v>14</v>
      </c>
      <c r="B127" t="s">
        <v>227</v>
      </c>
      <c r="C127">
        <v>56</v>
      </c>
    </row>
    <row r="128" spans="1:3" x14ac:dyDescent="0.3">
      <c r="A128" t="s">
        <v>40</v>
      </c>
      <c r="B128" t="s">
        <v>324</v>
      </c>
      <c r="C128">
        <v>56</v>
      </c>
    </row>
    <row r="129" spans="1:3" x14ac:dyDescent="0.3">
      <c r="A129" t="s">
        <v>8</v>
      </c>
      <c r="B129" t="s">
        <v>9</v>
      </c>
      <c r="C129">
        <v>56</v>
      </c>
    </row>
    <row r="130" spans="1:3" x14ac:dyDescent="0.3">
      <c r="A130" t="s">
        <v>12</v>
      </c>
      <c r="B130" t="s">
        <v>176</v>
      </c>
      <c r="C130">
        <v>53</v>
      </c>
    </row>
    <row r="131" spans="1:3" x14ac:dyDescent="0.3">
      <c r="A131" t="s">
        <v>18</v>
      </c>
      <c r="B131" t="s">
        <v>190</v>
      </c>
      <c r="C131">
        <v>52</v>
      </c>
    </row>
    <row r="132" spans="1:3" x14ac:dyDescent="0.3">
      <c r="A132" t="s">
        <v>18</v>
      </c>
      <c r="B132" t="s">
        <v>35</v>
      </c>
      <c r="C132">
        <v>52</v>
      </c>
    </row>
    <row r="133" spans="1:3" x14ac:dyDescent="0.3">
      <c r="A133" t="s">
        <v>47</v>
      </c>
      <c r="B133" t="s">
        <v>160</v>
      </c>
      <c r="C133">
        <v>51</v>
      </c>
    </row>
    <row r="134" spans="1:3" x14ac:dyDescent="0.3">
      <c r="A134" t="s">
        <v>12</v>
      </c>
      <c r="B134" t="s">
        <v>110</v>
      </c>
      <c r="C134">
        <v>49</v>
      </c>
    </row>
    <row r="135" spans="1:3" x14ac:dyDescent="0.3">
      <c r="A135" t="s">
        <v>18</v>
      </c>
      <c r="B135" t="s">
        <v>174</v>
      </c>
      <c r="C135">
        <v>49</v>
      </c>
    </row>
    <row r="136" spans="1:3" x14ac:dyDescent="0.3">
      <c r="A136" t="s">
        <v>12</v>
      </c>
      <c r="B136" t="s">
        <v>101</v>
      </c>
      <c r="C136">
        <v>48</v>
      </c>
    </row>
    <row r="137" spans="1:3" x14ac:dyDescent="0.3">
      <c r="A137" t="s">
        <v>28</v>
      </c>
      <c r="B137" t="s">
        <v>180</v>
      </c>
      <c r="C137">
        <v>42</v>
      </c>
    </row>
    <row r="138" spans="1:3" x14ac:dyDescent="0.3">
      <c r="A138" t="s">
        <v>18</v>
      </c>
      <c r="B138" t="s">
        <v>144</v>
      </c>
      <c r="C138">
        <v>39</v>
      </c>
    </row>
    <row r="139" spans="1:3" x14ac:dyDescent="0.3">
      <c r="A139" t="s">
        <v>5</v>
      </c>
      <c r="B139" t="s">
        <v>9</v>
      </c>
      <c r="C139">
        <v>37</v>
      </c>
    </row>
    <row r="140" spans="1:3" x14ac:dyDescent="0.3">
      <c r="A140" t="s">
        <v>21</v>
      </c>
      <c r="B140" t="s">
        <v>9</v>
      </c>
      <c r="C140">
        <v>35</v>
      </c>
    </row>
    <row r="141" spans="1:3" x14ac:dyDescent="0.3">
      <c r="A141" t="s">
        <v>45</v>
      </c>
      <c r="B141" t="s">
        <v>30</v>
      </c>
      <c r="C141">
        <v>35</v>
      </c>
    </row>
    <row r="142" spans="1:3" x14ac:dyDescent="0.3">
      <c r="A142" t="s">
        <v>21</v>
      </c>
      <c r="B142" t="s">
        <v>360</v>
      </c>
      <c r="C142">
        <v>34</v>
      </c>
    </row>
    <row r="143" spans="1:3" x14ac:dyDescent="0.3">
      <c r="A143" t="s">
        <v>28</v>
      </c>
      <c r="B143" t="s">
        <v>49</v>
      </c>
      <c r="C143">
        <v>28</v>
      </c>
    </row>
    <row r="144" spans="1:3" x14ac:dyDescent="0.3">
      <c r="A144" t="s">
        <v>45</v>
      </c>
      <c r="B144" t="s">
        <v>152</v>
      </c>
      <c r="C144">
        <v>28</v>
      </c>
    </row>
    <row r="145" spans="1:3" x14ac:dyDescent="0.3">
      <c r="A145" t="s">
        <v>21</v>
      </c>
      <c r="B145" t="s">
        <v>147</v>
      </c>
      <c r="C145">
        <v>21</v>
      </c>
    </row>
    <row r="146" spans="1:3" x14ac:dyDescent="0.3">
      <c r="A146" t="s">
        <v>47</v>
      </c>
      <c r="B146" t="s">
        <v>107</v>
      </c>
      <c r="C146">
        <v>20</v>
      </c>
    </row>
    <row r="147" spans="1:3" x14ac:dyDescent="0.3">
      <c r="A147" t="s">
        <v>28</v>
      </c>
      <c r="B147" t="s">
        <v>388</v>
      </c>
      <c r="C147">
        <v>19</v>
      </c>
    </row>
    <row r="148" spans="1:3" x14ac:dyDescent="0.3">
      <c r="A148" t="s">
        <v>47</v>
      </c>
      <c r="B148" t="s">
        <v>123</v>
      </c>
      <c r="C148">
        <v>19</v>
      </c>
    </row>
    <row r="149" spans="1:3" x14ac:dyDescent="0.3">
      <c r="A149" t="s">
        <v>40</v>
      </c>
      <c r="B149" t="s">
        <v>146</v>
      </c>
      <c r="C149">
        <v>17</v>
      </c>
    </row>
    <row r="150" spans="1:3" x14ac:dyDescent="0.3">
      <c r="A150" t="s">
        <v>18</v>
      </c>
      <c r="B150" t="s">
        <v>197</v>
      </c>
      <c r="C150">
        <v>14</v>
      </c>
    </row>
    <row r="151" spans="1:3" x14ac:dyDescent="0.3">
      <c r="A151" t="s">
        <v>8</v>
      </c>
      <c r="B151" t="s">
        <v>221</v>
      </c>
      <c r="C151">
        <v>14</v>
      </c>
    </row>
    <row r="152" spans="1:3" x14ac:dyDescent="0.3">
      <c r="A152" t="s">
        <v>28</v>
      </c>
      <c r="B152" t="s">
        <v>185</v>
      </c>
      <c r="C152">
        <v>13</v>
      </c>
    </row>
    <row r="153" spans="1:3" x14ac:dyDescent="0.3">
      <c r="A153" t="s">
        <v>5</v>
      </c>
      <c r="B153" t="s">
        <v>394</v>
      </c>
      <c r="C153">
        <v>13</v>
      </c>
    </row>
    <row r="154" spans="1:3" x14ac:dyDescent="0.3">
      <c r="A154" t="s">
        <v>10</v>
      </c>
      <c r="B154" t="s">
        <v>105</v>
      </c>
      <c r="C154">
        <v>12</v>
      </c>
    </row>
    <row r="155" spans="1:3" x14ac:dyDescent="0.3">
      <c r="A155" t="s">
        <v>28</v>
      </c>
      <c r="B155" t="s">
        <v>56</v>
      </c>
      <c r="C155">
        <v>8</v>
      </c>
    </row>
    <row r="156" spans="1:3" x14ac:dyDescent="0.3">
      <c r="A156" t="s">
        <v>18</v>
      </c>
      <c r="B156" t="s">
        <v>96</v>
      </c>
      <c r="C156">
        <v>7</v>
      </c>
    </row>
    <row r="157" spans="1:3" x14ac:dyDescent="0.3">
      <c r="A157" t="s">
        <v>18</v>
      </c>
      <c r="B157" t="s">
        <v>78</v>
      </c>
      <c r="C157">
        <v>6</v>
      </c>
    </row>
    <row r="158" spans="1:3" x14ac:dyDescent="0.3">
      <c r="A158" t="s">
        <v>8</v>
      </c>
      <c r="B158" t="s">
        <v>80</v>
      </c>
      <c r="C158">
        <v>6</v>
      </c>
    </row>
    <row r="159" spans="1:3" x14ac:dyDescent="0.3">
      <c r="A159" t="s">
        <v>18</v>
      </c>
      <c r="B159" t="s">
        <v>221</v>
      </c>
      <c r="C159">
        <v>3</v>
      </c>
    </row>
    <row r="160" spans="1:3" x14ac:dyDescent="0.3">
      <c r="A160" t="s">
        <v>45</v>
      </c>
      <c r="B160" t="s">
        <v>318</v>
      </c>
      <c r="C160">
        <v>2</v>
      </c>
    </row>
    <row r="161" spans="1:3" x14ac:dyDescent="0.3">
      <c r="A161" t="s">
        <v>12</v>
      </c>
      <c r="B161" t="s">
        <v>181</v>
      </c>
      <c r="C161">
        <v>1</v>
      </c>
    </row>
    <row r="162" spans="1:3" x14ac:dyDescent="0.3">
      <c r="A162" t="s">
        <v>21</v>
      </c>
      <c r="B162" t="s">
        <v>305</v>
      </c>
      <c r="C162">
        <v>0</v>
      </c>
    </row>
    <row r="163" spans="1:3" x14ac:dyDescent="0.3">
      <c r="A163" t="s">
        <v>21</v>
      </c>
      <c r="B163" t="s">
        <v>71</v>
      </c>
      <c r="C163">
        <v>0</v>
      </c>
    </row>
    <row r="164" spans="1:3" x14ac:dyDescent="0.3">
      <c r="A164" t="s">
        <v>21</v>
      </c>
      <c r="B164" t="s">
        <v>160</v>
      </c>
      <c r="C164">
        <v>0</v>
      </c>
    </row>
    <row r="165" spans="1:3" x14ac:dyDescent="0.3">
      <c r="A165" t="s">
        <v>21</v>
      </c>
      <c r="B165" t="s">
        <v>24</v>
      </c>
      <c r="C165">
        <v>0</v>
      </c>
    </row>
    <row r="166" spans="1:3" x14ac:dyDescent="0.3">
      <c r="A166" t="s">
        <v>21</v>
      </c>
      <c r="B166" t="s">
        <v>200</v>
      </c>
      <c r="C166">
        <v>0</v>
      </c>
    </row>
    <row r="167" spans="1:3" x14ac:dyDescent="0.3">
      <c r="A167" t="s">
        <v>21</v>
      </c>
      <c r="B167" t="s">
        <v>173</v>
      </c>
      <c r="C167">
        <v>0</v>
      </c>
    </row>
    <row r="168" spans="1:3" x14ac:dyDescent="0.3">
      <c r="A168" t="s">
        <v>21</v>
      </c>
      <c r="B168" t="s">
        <v>140</v>
      </c>
      <c r="C168">
        <v>0</v>
      </c>
    </row>
    <row r="169" spans="1:3" x14ac:dyDescent="0.3">
      <c r="A169" t="s">
        <v>21</v>
      </c>
      <c r="B169" t="s">
        <v>103</v>
      </c>
      <c r="C169">
        <v>0</v>
      </c>
    </row>
    <row r="170" spans="1:3" x14ac:dyDescent="0.3">
      <c r="A170" t="s">
        <v>21</v>
      </c>
      <c r="B170" t="s">
        <v>53</v>
      </c>
      <c r="C170">
        <v>0</v>
      </c>
    </row>
    <row r="171" spans="1:3" x14ac:dyDescent="0.3">
      <c r="A171" t="s">
        <v>21</v>
      </c>
      <c r="B171" t="s">
        <v>112</v>
      </c>
      <c r="C171">
        <v>0</v>
      </c>
    </row>
    <row r="172" spans="1:3" x14ac:dyDescent="0.3">
      <c r="A172" t="s">
        <v>21</v>
      </c>
      <c r="B172" t="s">
        <v>83</v>
      </c>
      <c r="C172">
        <v>0</v>
      </c>
    </row>
    <row r="173" spans="1:3" x14ac:dyDescent="0.3">
      <c r="A173" t="s">
        <v>21</v>
      </c>
      <c r="B173" t="s">
        <v>74</v>
      </c>
      <c r="C173">
        <v>0</v>
      </c>
    </row>
    <row r="174" spans="1:3" x14ac:dyDescent="0.3">
      <c r="A174" t="s">
        <v>21</v>
      </c>
      <c r="B174" t="s">
        <v>279</v>
      </c>
      <c r="C174">
        <v>0</v>
      </c>
    </row>
    <row r="175" spans="1:3" x14ac:dyDescent="0.3">
      <c r="A175" t="s">
        <v>21</v>
      </c>
      <c r="B175" t="s">
        <v>398</v>
      </c>
      <c r="C175">
        <v>0</v>
      </c>
    </row>
    <row r="176" spans="1:3" x14ac:dyDescent="0.3">
      <c r="A176" t="s">
        <v>21</v>
      </c>
      <c r="B176" t="s">
        <v>252</v>
      </c>
      <c r="C176">
        <v>0</v>
      </c>
    </row>
    <row r="177" spans="1:3" x14ac:dyDescent="0.3">
      <c r="A177" t="s">
        <v>21</v>
      </c>
      <c r="B177" t="s">
        <v>67</v>
      </c>
      <c r="C177">
        <v>0</v>
      </c>
    </row>
    <row r="178" spans="1:3" x14ac:dyDescent="0.3">
      <c r="A178" t="s">
        <v>21</v>
      </c>
      <c r="B178" t="s">
        <v>225</v>
      </c>
      <c r="C178">
        <v>0</v>
      </c>
    </row>
    <row r="179" spans="1:3" x14ac:dyDescent="0.3">
      <c r="A179" t="s">
        <v>21</v>
      </c>
      <c r="B179" t="s">
        <v>43</v>
      </c>
      <c r="C179">
        <v>0</v>
      </c>
    </row>
    <row r="180" spans="1:3" x14ac:dyDescent="0.3">
      <c r="A180" t="s">
        <v>21</v>
      </c>
      <c r="B180" t="s">
        <v>22</v>
      </c>
      <c r="C180">
        <v>0</v>
      </c>
    </row>
    <row r="181" spans="1:3" x14ac:dyDescent="0.3">
      <c r="A181" t="s">
        <v>21</v>
      </c>
      <c r="B181" t="s">
        <v>17</v>
      </c>
      <c r="C181">
        <v>0</v>
      </c>
    </row>
    <row r="182" spans="1:3" x14ac:dyDescent="0.3">
      <c r="A182" t="s">
        <v>21</v>
      </c>
      <c r="B182" t="s">
        <v>156</v>
      </c>
      <c r="C182">
        <v>0</v>
      </c>
    </row>
    <row r="183" spans="1:3" x14ac:dyDescent="0.3">
      <c r="A183" t="s">
        <v>21</v>
      </c>
      <c r="B183" t="s">
        <v>387</v>
      </c>
      <c r="C183">
        <v>0</v>
      </c>
    </row>
    <row r="184" spans="1:3" x14ac:dyDescent="0.3">
      <c r="A184" t="s">
        <v>21</v>
      </c>
      <c r="B184" t="s">
        <v>312</v>
      </c>
      <c r="C184">
        <v>0</v>
      </c>
    </row>
    <row r="185" spans="1:3" x14ac:dyDescent="0.3">
      <c r="A185" t="s">
        <v>21</v>
      </c>
      <c r="B185" t="s">
        <v>289</v>
      </c>
      <c r="C185">
        <v>0</v>
      </c>
    </row>
    <row r="186" spans="1:3" x14ac:dyDescent="0.3">
      <c r="A186" t="s">
        <v>21</v>
      </c>
      <c r="B186" t="s">
        <v>282</v>
      </c>
      <c r="C186">
        <v>0</v>
      </c>
    </row>
    <row r="187" spans="1:3" x14ac:dyDescent="0.3">
      <c r="A187" t="s">
        <v>21</v>
      </c>
      <c r="B187" t="s">
        <v>146</v>
      </c>
      <c r="C187">
        <v>0</v>
      </c>
    </row>
    <row r="188" spans="1:3" x14ac:dyDescent="0.3">
      <c r="A188" t="s">
        <v>21</v>
      </c>
      <c r="B188" t="s">
        <v>46</v>
      </c>
      <c r="C188">
        <v>0</v>
      </c>
    </row>
    <row r="189" spans="1:3" x14ac:dyDescent="0.3">
      <c r="A189" t="s">
        <v>21</v>
      </c>
      <c r="B189" t="s">
        <v>174</v>
      </c>
      <c r="C189">
        <v>0</v>
      </c>
    </row>
    <row r="190" spans="1:3" x14ac:dyDescent="0.3">
      <c r="A190" t="s">
        <v>21</v>
      </c>
      <c r="B190" t="s">
        <v>84</v>
      </c>
      <c r="C190">
        <v>0</v>
      </c>
    </row>
    <row r="191" spans="1:3" x14ac:dyDescent="0.3">
      <c r="A191" t="s">
        <v>21</v>
      </c>
      <c r="B191" t="s">
        <v>62</v>
      </c>
      <c r="C191">
        <v>0</v>
      </c>
    </row>
    <row r="192" spans="1:3" x14ac:dyDescent="0.3">
      <c r="A192" t="s">
        <v>21</v>
      </c>
      <c r="B192" t="s">
        <v>277</v>
      </c>
      <c r="C192">
        <v>0</v>
      </c>
    </row>
    <row r="193" spans="1:3" x14ac:dyDescent="0.3">
      <c r="A193" t="s">
        <v>21</v>
      </c>
      <c r="B193" t="s">
        <v>81</v>
      </c>
      <c r="C193">
        <v>0</v>
      </c>
    </row>
    <row r="194" spans="1:3" x14ac:dyDescent="0.3">
      <c r="A194" t="s">
        <v>21</v>
      </c>
      <c r="B194" t="s">
        <v>11</v>
      </c>
      <c r="C194">
        <v>0</v>
      </c>
    </row>
    <row r="195" spans="1:3" x14ac:dyDescent="0.3">
      <c r="A195" t="s">
        <v>21</v>
      </c>
      <c r="B195" t="s">
        <v>30</v>
      </c>
      <c r="C195">
        <v>0</v>
      </c>
    </row>
    <row r="196" spans="1:3" x14ac:dyDescent="0.3">
      <c r="A196" t="s">
        <v>21</v>
      </c>
      <c r="B196" t="s">
        <v>116</v>
      </c>
      <c r="C196">
        <v>0</v>
      </c>
    </row>
    <row r="197" spans="1:3" x14ac:dyDescent="0.3">
      <c r="A197" t="s">
        <v>21</v>
      </c>
      <c r="B197" t="s">
        <v>138</v>
      </c>
      <c r="C197">
        <v>0</v>
      </c>
    </row>
    <row r="198" spans="1:3" x14ac:dyDescent="0.3">
      <c r="A198" t="s">
        <v>21</v>
      </c>
      <c r="B198" t="s">
        <v>27</v>
      </c>
      <c r="C198">
        <v>0</v>
      </c>
    </row>
    <row r="199" spans="1:3" x14ac:dyDescent="0.3">
      <c r="A199" t="s">
        <v>21</v>
      </c>
      <c r="B199" t="s">
        <v>169</v>
      </c>
      <c r="C199">
        <v>0</v>
      </c>
    </row>
    <row r="200" spans="1:3" x14ac:dyDescent="0.3">
      <c r="A200" t="s">
        <v>21</v>
      </c>
      <c r="B200" t="s">
        <v>70</v>
      </c>
      <c r="C200">
        <v>0</v>
      </c>
    </row>
    <row r="201" spans="1:3" x14ac:dyDescent="0.3">
      <c r="A201" t="s">
        <v>21</v>
      </c>
      <c r="B201" t="s">
        <v>78</v>
      </c>
      <c r="C201">
        <v>0</v>
      </c>
    </row>
    <row r="202" spans="1:3" x14ac:dyDescent="0.3">
      <c r="A202" t="s">
        <v>21</v>
      </c>
      <c r="B202" t="s">
        <v>92</v>
      </c>
      <c r="C202">
        <v>0</v>
      </c>
    </row>
    <row r="203" spans="1:3" x14ac:dyDescent="0.3">
      <c r="A203" t="s">
        <v>21</v>
      </c>
      <c r="B203" t="s">
        <v>90</v>
      </c>
      <c r="C203">
        <v>0</v>
      </c>
    </row>
    <row r="204" spans="1:3" x14ac:dyDescent="0.3">
      <c r="A204" t="s">
        <v>21</v>
      </c>
      <c r="B204" t="s">
        <v>167</v>
      </c>
      <c r="C204">
        <v>0</v>
      </c>
    </row>
    <row r="205" spans="1:3" x14ac:dyDescent="0.3">
      <c r="A205" t="s">
        <v>21</v>
      </c>
      <c r="B205" t="s">
        <v>256</v>
      </c>
      <c r="C205">
        <v>0</v>
      </c>
    </row>
    <row r="206" spans="1:3" x14ac:dyDescent="0.3">
      <c r="A206" t="s">
        <v>21</v>
      </c>
      <c r="B206" t="s">
        <v>268</v>
      </c>
      <c r="C206">
        <v>0</v>
      </c>
    </row>
    <row r="207" spans="1:3" x14ac:dyDescent="0.3">
      <c r="A207" t="s">
        <v>21</v>
      </c>
      <c r="B207" t="s">
        <v>245</v>
      </c>
      <c r="C207">
        <v>0</v>
      </c>
    </row>
    <row r="208" spans="1:3" x14ac:dyDescent="0.3">
      <c r="A208" t="s">
        <v>21</v>
      </c>
      <c r="B208" t="s">
        <v>111</v>
      </c>
      <c r="C208">
        <v>0</v>
      </c>
    </row>
    <row r="209" spans="1:3" x14ac:dyDescent="0.3">
      <c r="A209" t="s">
        <v>21</v>
      </c>
      <c r="B209" t="s">
        <v>58</v>
      </c>
      <c r="C209">
        <v>0</v>
      </c>
    </row>
    <row r="210" spans="1:3" x14ac:dyDescent="0.3">
      <c r="A210" t="s">
        <v>21</v>
      </c>
      <c r="B210" t="s">
        <v>194</v>
      </c>
      <c r="C210">
        <v>0</v>
      </c>
    </row>
    <row r="211" spans="1:3" x14ac:dyDescent="0.3">
      <c r="A211" t="s">
        <v>21</v>
      </c>
      <c r="B211" t="s">
        <v>119</v>
      </c>
      <c r="C211">
        <v>0</v>
      </c>
    </row>
    <row r="212" spans="1:3" x14ac:dyDescent="0.3">
      <c r="A212" t="s">
        <v>21</v>
      </c>
      <c r="B212" t="s">
        <v>77</v>
      </c>
      <c r="C212">
        <v>0</v>
      </c>
    </row>
    <row r="213" spans="1:3" x14ac:dyDescent="0.3">
      <c r="A213" t="s">
        <v>21</v>
      </c>
      <c r="B213" t="s">
        <v>166</v>
      </c>
      <c r="C213">
        <v>0</v>
      </c>
    </row>
    <row r="214" spans="1:3" x14ac:dyDescent="0.3">
      <c r="A214" t="s">
        <v>21</v>
      </c>
      <c r="B214" t="s">
        <v>180</v>
      </c>
      <c r="C214">
        <v>0</v>
      </c>
    </row>
    <row r="215" spans="1:3" x14ac:dyDescent="0.3">
      <c r="A215" t="s">
        <v>21</v>
      </c>
      <c r="B215" t="s">
        <v>65</v>
      </c>
      <c r="C215">
        <v>0</v>
      </c>
    </row>
    <row r="216" spans="1:3" x14ac:dyDescent="0.3">
      <c r="A216" t="s">
        <v>21</v>
      </c>
      <c r="B216" t="s">
        <v>127</v>
      </c>
      <c r="C216">
        <v>0</v>
      </c>
    </row>
    <row r="217" spans="1:3" x14ac:dyDescent="0.3">
      <c r="A217" t="s">
        <v>21</v>
      </c>
      <c r="B217" t="s">
        <v>56</v>
      </c>
      <c r="C217">
        <v>0</v>
      </c>
    </row>
    <row r="218" spans="1:3" x14ac:dyDescent="0.3">
      <c r="A218" t="s">
        <v>21</v>
      </c>
      <c r="B218" t="s">
        <v>117</v>
      </c>
      <c r="C218">
        <v>0</v>
      </c>
    </row>
    <row r="219" spans="1:3" x14ac:dyDescent="0.3">
      <c r="A219" t="s">
        <v>21</v>
      </c>
      <c r="B219" t="s">
        <v>163</v>
      </c>
      <c r="C219">
        <v>0</v>
      </c>
    </row>
    <row r="220" spans="1:3" x14ac:dyDescent="0.3">
      <c r="A220" t="s">
        <v>21</v>
      </c>
      <c r="B220" t="s">
        <v>122</v>
      </c>
      <c r="C220">
        <v>0</v>
      </c>
    </row>
    <row r="221" spans="1:3" x14ac:dyDescent="0.3">
      <c r="A221" t="s">
        <v>21</v>
      </c>
      <c r="B221" t="s">
        <v>217</v>
      </c>
      <c r="C221">
        <v>0</v>
      </c>
    </row>
    <row r="222" spans="1:3" x14ac:dyDescent="0.3">
      <c r="A222" t="s">
        <v>21</v>
      </c>
      <c r="B222" t="s">
        <v>88</v>
      </c>
      <c r="C222">
        <v>0</v>
      </c>
    </row>
    <row r="223" spans="1:3" x14ac:dyDescent="0.3">
      <c r="A223" t="s">
        <v>21</v>
      </c>
      <c r="B223" t="s">
        <v>197</v>
      </c>
      <c r="C223">
        <v>0</v>
      </c>
    </row>
    <row r="224" spans="1:3" x14ac:dyDescent="0.3">
      <c r="A224" t="s">
        <v>21</v>
      </c>
      <c r="B224" t="s">
        <v>199</v>
      </c>
      <c r="C224">
        <v>0</v>
      </c>
    </row>
    <row r="225" spans="1:3" x14ac:dyDescent="0.3">
      <c r="A225" t="s">
        <v>14</v>
      </c>
      <c r="B225" t="s">
        <v>176</v>
      </c>
      <c r="C225">
        <v>0</v>
      </c>
    </row>
    <row r="226" spans="1:3" x14ac:dyDescent="0.3">
      <c r="A226" t="s">
        <v>14</v>
      </c>
      <c r="B226" t="s">
        <v>71</v>
      </c>
      <c r="C226">
        <v>0</v>
      </c>
    </row>
    <row r="227" spans="1:3" x14ac:dyDescent="0.3">
      <c r="A227" t="s">
        <v>14</v>
      </c>
      <c r="B227" t="s">
        <v>297</v>
      </c>
      <c r="C227">
        <v>0</v>
      </c>
    </row>
    <row r="228" spans="1:3" x14ac:dyDescent="0.3">
      <c r="A228" t="s">
        <v>14</v>
      </c>
      <c r="B228" t="s">
        <v>221</v>
      </c>
      <c r="C228">
        <v>0</v>
      </c>
    </row>
    <row r="229" spans="1:3" x14ac:dyDescent="0.3">
      <c r="A229" t="s">
        <v>14</v>
      </c>
      <c r="B229" t="s">
        <v>89</v>
      </c>
      <c r="C229">
        <v>0</v>
      </c>
    </row>
    <row r="230" spans="1:3" x14ac:dyDescent="0.3">
      <c r="A230" t="s">
        <v>14</v>
      </c>
      <c r="B230" t="s">
        <v>235</v>
      </c>
      <c r="C230">
        <v>0</v>
      </c>
    </row>
    <row r="231" spans="1:3" x14ac:dyDescent="0.3">
      <c r="A231" t="s">
        <v>14</v>
      </c>
      <c r="B231" t="s">
        <v>103</v>
      </c>
      <c r="C231">
        <v>0</v>
      </c>
    </row>
    <row r="232" spans="1:3" x14ac:dyDescent="0.3">
      <c r="A232" t="s">
        <v>14</v>
      </c>
      <c r="B232" t="s">
        <v>25</v>
      </c>
      <c r="C232">
        <v>0</v>
      </c>
    </row>
    <row r="233" spans="1:3" x14ac:dyDescent="0.3">
      <c r="A233" t="s">
        <v>14</v>
      </c>
      <c r="B233" t="s">
        <v>114</v>
      </c>
      <c r="C233">
        <v>0</v>
      </c>
    </row>
    <row r="234" spans="1:3" x14ac:dyDescent="0.3">
      <c r="A234" t="s">
        <v>14</v>
      </c>
      <c r="B234" t="s">
        <v>112</v>
      </c>
      <c r="C234">
        <v>0</v>
      </c>
    </row>
    <row r="235" spans="1:3" x14ac:dyDescent="0.3">
      <c r="A235" t="s">
        <v>14</v>
      </c>
      <c r="B235" t="s">
        <v>144</v>
      </c>
      <c r="C235">
        <v>0</v>
      </c>
    </row>
    <row r="236" spans="1:3" x14ac:dyDescent="0.3">
      <c r="A236" t="s">
        <v>14</v>
      </c>
      <c r="B236" t="s">
        <v>251</v>
      </c>
      <c r="C236">
        <v>0</v>
      </c>
    </row>
    <row r="237" spans="1:3" x14ac:dyDescent="0.3">
      <c r="A237" t="s">
        <v>14</v>
      </c>
      <c r="B237" t="s">
        <v>168</v>
      </c>
      <c r="C237">
        <v>0</v>
      </c>
    </row>
    <row r="238" spans="1:3" x14ac:dyDescent="0.3">
      <c r="A238" t="s">
        <v>14</v>
      </c>
      <c r="B238" t="s">
        <v>124</v>
      </c>
      <c r="C238">
        <v>0</v>
      </c>
    </row>
    <row r="239" spans="1:3" x14ac:dyDescent="0.3">
      <c r="A239" t="s">
        <v>14</v>
      </c>
      <c r="B239" t="s">
        <v>284</v>
      </c>
      <c r="C239">
        <v>0</v>
      </c>
    </row>
    <row r="240" spans="1:3" x14ac:dyDescent="0.3">
      <c r="A240" t="s">
        <v>14</v>
      </c>
      <c r="B240" t="s">
        <v>222</v>
      </c>
      <c r="C240">
        <v>0</v>
      </c>
    </row>
    <row r="241" spans="1:3" x14ac:dyDescent="0.3">
      <c r="A241" t="s">
        <v>14</v>
      </c>
      <c r="B241" t="s">
        <v>209</v>
      </c>
      <c r="C241">
        <v>0</v>
      </c>
    </row>
    <row r="242" spans="1:3" x14ac:dyDescent="0.3">
      <c r="A242" t="s">
        <v>14</v>
      </c>
      <c r="B242" t="s">
        <v>178</v>
      </c>
      <c r="C242">
        <v>0</v>
      </c>
    </row>
    <row r="243" spans="1:3" x14ac:dyDescent="0.3">
      <c r="A243" t="s">
        <v>14</v>
      </c>
      <c r="B243" t="s">
        <v>20</v>
      </c>
      <c r="C243">
        <v>0</v>
      </c>
    </row>
    <row r="244" spans="1:3" x14ac:dyDescent="0.3">
      <c r="A244" t="s">
        <v>14</v>
      </c>
      <c r="B244" t="s">
        <v>225</v>
      </c>
      <c r="C244">
        <v>0</v>
      </c>
    </row>
    <row r="245" spans="1:3" x14ac:dyDescent="0.3">
      <c r="A245" t="s">
        <v>14</v>
      </c>
      <c r="B245" t="s">
        <v>49</v>
      </c>
      <c r="C245">
        <v>0</v>
      </c>
    </row>
    <row r="246" spans="1:3" x14ac:dyDescent="0.3">
      <c r="A246" t="s">
        <v>14</v>
      </c>
      <c r="B246" t="s">
        <v>59</v>
      </c>
      <c r="C246">
        <v>0</v>
      </c>
    </row>
    <row r="247" spans="1:3" x14ac:dyDescent="0.3">
      <c r="A247" t="s">
        <v>14</v>
      </c>
      <c r="B247" t="s">
        <v>85</v>
      </c>
      <c r="C247">
        <v>0</v>
      </c>
    </row>
    <row r="248" spans="1:3" x14ac:dyDescent="0.3">
      <c r="A248" t="s">
        <v>14</v>
      </c>
      <c r="B248" t="s">
        <v>262</v>
      </c>
      <c r="C248">
        <v>0</v>
      </c>
    </row>
    <row r="249" spans="1:3" x14ac:dyDescent="0.3">
      <c r="A249" t="s">
        <v>14</v>
      </c>
      <c r="B249" t="s">
        <v>51</v>
      </c>
      <c r="C249">
        <v>0</v>
      </c>
    </row>
    <row r="250" spans="1:3" x14ac:dyDescent="0.3">
      <c r="A250" t="s">
        <v>14</v>
      </c>
      <c r="B250" t="s">
        <v>183</v>
      </c>
      <c r="C250">
        <v>0</v>
      </c>
    </row>
    <row r="251" spans="1:3" x14ac:dyDescent="0.3">
      <c r="A251" t="s">
        <v>14</v>
      </c>
      <c r="B251" t="s">
        <v>123</v>
      </c>
      <c r="C251">
        <v>0</v>
      </c>
    </row>
    <row r="252" spans="1:3" x14ac:dyDescent="0.3">
      <c r="A252" t="s">
        <v>14</v>
      </c>
      <c r="B252" t="s">
        <v>48</v>
      </c>
      <c r="C252">
        <v>0</v>
      </c>
    </row>
    <row r="253" spans="1:3" x14ac:dyDescent="0.3">
      <c r="A253" t="s">
        <v>14</v>
      </c>
      <c r="B253" t="s">
        <v>19</v>
      </c>
      <c r="C253">
        <v>0</v>
      </c>
    </row>
    <row r="254" spans="1:3" x14ac:dyDescent="0.3">
      <c r="A254" t="s">
        <v>14</v>
      </c>
      <c r="B254" t="s">
        <v>52</v>
      </c>
      <c r="C254">
        <v>0</v>
      </c>
    </row>
    <row r="255" spans="1:3" x14ac:dyDescent="0.3">
      <c r="A255" t="s">
        <v>14</v>
      </c>
      <c r="B255" t="s">
        <v>282</v>
      </c>
      <c r="C255">
        <v>0</v>
      </c>
    </row>
    <row r="256" spans="1:3" x14ac:dyDescent="0.3">
      <c r="A256" t="s">
        <v>14</v>
      </c>
      <c r="B256" t="s">
        <v>46</v>
      </c>
      <c r="C256">
        <v>0</v>
      </c>
    </row>
    <row r="257" spans="1:3" x14ac:dyDescent="0.3">
      <c r="A257" t="s">
        <v>14</v>
      </c>
      <c r="B257" t="s">
        <v>174</v>
      </c>
      <c r="C257">
        <v>0</v>
      </c>
    </row>
    <row r="258" spans="1:3" x14ac:dyDescent="0.3">
      <c r="A258" t="s">
        <v>14</v>
      </c>
      <c r="B258" t="s">
        <v>84</v>
      </c>
      <c r="C258">
        <v>0</v>
      </c>
    </row>
    <row r="259" spans="1:3" x14ac:dyDescent="0.3">
      <c r="A259" t="s">
        <v>14</v>
      </c>
      <c r="B259" t="s">
        <v>115</v>
      </c>
      <c r="C259">
        <v>0</v>
      </c>
    </row>
    <row r="260" spans="1:3" x14ac:dyDescent="0.3">
      <c r="A260" t="s">
        <v>14</v>
      </c>
      <c r="B260" t="s">
        <v>80</v>
      </c>
      <c r="C260">
        <v>0</v>
      </c>
    </row>
    <row r="261" spans="1:3" x14ac:dyDescent="0.3">
      <c r="A261" t="s">
        <v>14</v>
      </c>
      <c r="B261" t="s">
        <v>202</v>
      </c>
      <c r="C261">
        <v>0</v>
      </c>
    </row>
    <row r="262" spans="1:3" x14ac:dyDescent="0.3">
      <c r="A262" t="s">
        <v>14</v>
      </c>
      <c r="B262" t="s">
        <v>36</v>
      </c>
      <c r="C262">
        <v>0</v>
      </c>
    </row>
    <row r="263" spans="1:3" x14ac:dyDescent="0.3">
      <c r="A263" t="s">
        <v>14</v>
      </c>
      <c r="B263" t="s">
        <v>11</v>
      </c>
      <c r="C263">
        <v>0</v>
      </c>
    </row>
    <row r="264" spans="1:3" x14ac:dyDescent="0.3">
      <c r="A264" t="s">
        <v>14</v>
      </c>
      <c r="B264" t="s">
        <v>69</v>
      </c>
      <c r="C264">
        <v>0</v>
      </c>
    </row>
    <row r="265" spans="1:3" x14ac:dyDescent="0.3">
      <c r="A265" t="s">
        <v>14</v>
      </c>
      <c r="B265" t="s">
        <v>171</v>
      </c>
      <c r="C265">
        <v>0</v>
      </c>
    </row>
    <row r="266" spans="1:3" x14ac:dyDescent="0.3">
      <c r="A266" t="s">
        <v>14</v>
      </c>
      <c r="B266" t="s">
        <v>191</v>
      </c>
      <c r="C266">
        <v>0</v>
      </c>
    </row>
    <row r="267" spans="1:3" x14ac:dyDescent="0.3">
      <c r="A267" t="s">
        <v>14</v>
      </c>
      <c r="B267" t="s">
        <v>72</v>
      </c>
      <c r="C267">
        <v>0</v>
      </c>
    </row>
    <row r="268" spans="1:3" x14ac:dyDescent="0.3">
      <c r="A268" t="s">
        <v>14</v>
      </c>
      <c r="B268" t="s">
        <v>141</v>
      </c>
      <c r="C268">
        <v>0</v>
      </c>
    </row>
    <row r="269" spans="1:3" x14ac:dyDescent="0.3">
      <c r="A269" t="s">
        <v>14</v>
      </c>
      <c r="B269" t="s">
        <v>66</v>
      </c>
      <c r="C269">
        <v>0</v>
      </c>
    </row>
    <row r="270" spans="1:3" x14ac:dyDescent="0.3">
      <c r="A270" t="s">
        <v>14</v>
      </c>
      <c r="B270" t="s">
        <v>39</v>
      </c>
      <c r="C270">
        <v>0</v>
      </c>
    </row>
    <row r="271" spans="1:3" x14ac:dyDescent="0.3">
      <c r="A271" t="s">
        <v>14</v>
      </c>
      <c r="B271" t="s">
        <v>15</v>
      </c>
      <c r="C271">
        <v>0</v>
      </c>
    </row>
    <row r="272" spans="1:3" x14ac:dyDescent="0.3">
      <c r="A272" t="s">
        <v>14</v>
      </c>
      <c r="B272" t="s">
        <v>32</v>
      </c>
      <c r="C272">
        <v>0</v>
      </c>
    </row>
    <row r="273" spans="1:3" x14ac:dyDescent="0.3">
      <c r="A273" t="s">
        <v>14</v>
      </c>
      <c r="B273" t="s">
        <v>210</v>
      </c>
      <c r="C273">
        <v>0</v>
      </c>
    </row>
    <row r="274" spans="1:3" x14ac:dyDescent="0.3">
      <c r="A274" t="s">
        <v>14</v>
      </c>
      <c r="B274" t="s">
        <v>245</v>
      </c>
      <c r="C274">
        <v>0</v>
      </c>
    </row>
    <row r="275" spans="1:3" x14ac:dyDescent="0.3">
      <c r="A275" t="s">
        <v>14</v>
      </c>
      <c r="B275" t="s">
        <v>194</v>
      </c>
      <c r="C275">
        <v>0</v>
      </c>
    </row>
    <row r="276" spans="1:3" x14ac:dyDescent="0.3">
      <c r="A276" t="s">
        <v>14</v>
      </c>
      <c r="B276" t="s">
        <v>119</v>
      </c>
      <c r="C276">
        <v>0</v>
      </c>
    </row>
    <row r="277" spans="1:3" x14ac:dyDescent="0.3">
      <c r="A277" t="s">
        <v>14</v>
      </c>
      <c r="B277" t="s">
        <v>77</v>
      </c>
      <c r="C277">
        <v>0</v>
      </c>
    </row>
    <row r="278" spans="1:3" x14ac:dyDescent="0.3">
      <c r="A278" t="s">
        <v>14</v>
      </c>
      <c r="B278" t="s">
        <v>166</v>
      </c>
      <c r="C278">
        <v>0</v>
      </c>
    </row>
    <row r="279" spans="1:3" x14ac:dyDescent="0.3">
      <c r="A279" t="s">
        <v>14</v>
      </c>
      <c r="B279" t="s">
        <v>110</v>
      </c>
      <c r="C279">
        <v>0</v>
      </c>
    </row>
    <row r="280" spans="1:3" x14ac:dyDescent="0.3">
      <c r="A280" t="s">
        <v>14</v>
      </c>
      <c r="B280" t="s">
        <v>162</v>
      </c>
      <c r="C280">
        <v>0</v>
      </c>
    </row>
    <row r="281" spans="1:3" x14ac:dyDescent="0.3">
      <c r="A281" t="s">
        <v>14</v>
      </c>
      <c r="B281" t="s">
        <v>165</v>
      </c>
      <c r="C281">
        <v>0</v>
      </c>
    </row>
    <row r="282" spans="1:3" x14ac:dyDescent="0.3">
      <c r="A282" t="s">
        <v>14</v>
      </c>
      <c r="B282" t="s">
        <v>231</v>
      </c>
      <c r="C282">
        <v>0</v>
      </c>
    </row>
    <row r="283" spans="1:3" x14ac:dyDescent="0.3">
      <c r="A283" t="s">
        <v>14</v>
      </c>
      <c r="B283" t="s">
        <v>217</v>
      </c>
      <c r="C283">
        <v>0</v>
      </c>
    </row>
    <row r="284" spans="1:3" x14ac:dyDescent="0.3">
      <c r="A284" t="s">
        <v>14</v>
      </c>
      <c r="B284" t="s">
        <v>34</v>
      </c>
      <c r="C284">
        <v>0</v>
      </c>
    </row>
    <row r="285" spans="1:3" x14ac:dyDescent="0.3">
      <c r="A285" t="s">
        <v>14</v>
      </c>
      <c r="B285" t="s">
        <v>41</v>
      </c>
      <c r="C285">
        <v>0</v>
      </c>
    </row>
    <row r="286" spans="1:3" x14ac:dyDescent="0.3">
      <c r="A286" t="s">
        <v>14</v>
      </c>
      <c r="B286" t="s">
        <v>199</v>
      </c>
      <c r="C286">
        <v>0</v>
      </c>
    </row>
    <row r="287" spans="1:3" x14ac:dyDescent="0.3">
      <c r="A287" t="s">
        <v>28</v>
      </c>
      <c r="B287" t="s">
        <v>95</v>
      </c>
      <c r="C287">
        <v>0</v>
      </c>
    </row>
    <row r="288" spans="1:3" x14ac:dyDescent="0.3">
      <c r="A288" t="s">
        <v>28</v>
      </c>
      <c r="B288" t="s">
        <v>160</v>
      </c>
      <c r="C288">
        <v>0</v>
      </c>
    </row>
    <row r="289" spans="1:3" x14ac:dyDescent="0.3">
      <c r="A289" t="s">
        <v>28</v>
      </c>
      <c r="B289" t="s">
        <v>53</v>
      </c>
      <c r="C289">
        <v>0</v>
      </c>
    </row>
    <row r="290" spans="1:3" x14ac:dyDescent="0.3">
      <c r="A290" t="s">
        <v>28</v>
      </c>
      <c r="B290" t="s">
        <v>150</v>
      </c>
      <c r="C290">
        <v>0</v>
      </c>
    </row>
    <row r="291" spans="1:3" x14ac:dyDescent="0.3">
      <c r="A291" t="s">
        <v>28</v>
      </c>
      <c r="B291" t="s">
        <v>238</v>
      </c>
      <c r="C291">
        <v>0</v>
      </c>
    </row>
    <row r="292" spans="1:3" x14ac:dyDescent="0.3">
      <c r="A292" t="s">
        <v>28</v>
      </c>
      <c r="B292" t="s">
        <v>63</v>
      </c>
      <c r="C292">
        <v>0</v>
      </c>
    </row>
    <row r="293" spans="1:3" x14ac:dyDescent="0.3">
      <c r="A293" t="s">
        <v>28</v>
      </c>
      <c r="B293" t="s">
        <v>96</v>
      </c>
      <c r="C293">
        <v>0</v>
      </c>
    </row>
    <row r="294" spans="1:3" x14ac:dyDescent="0.3">
      <c r="A294" t="s">
        <v>28</v>
      </c>
      <c r="B294" t="s">
        <v>74</v>
      </c>
      <c r="C294">
        <v>0</v>
      </c>
    </row>
    <row r="295" spans="1:3" x14ac:dyDescent="0.3">
      <c r="A295" t="s">
        <v>28</v>
      </c>
      <c r="B295" t="s">
        <v>54</v>
      </c>
      <c r="C295">
        <v>0</v>
      </c>
    </row>
    <row r="296" spans="1:3" x14ac:dyDescent="0.3">
      <c r="A296" t="s">
        <v>28</v>
      </c>
      <c r="B296" t="s">
        <v>67</v>
      </c>
      <c r="C296">
        <v>0</v>
      </c>
    </row>
    <row r="297" spans="1:3" x14ac:dyDescent="0.3">
      <c r="A297" t="s">
        <v>28</v>
      </c>
      <c r="B297" t="s">
        <v>22</v>
      </c>
      <c r="C297">
        <v>0</v>
      </c>
    </row>
    <row r="298" spans="1:3" x14ac:dyDescent="0.3">
      <c r="A298" t="s">
        <v>28</v>
      </c>
      <c r="B298" t="s">
        <v>302</v>
      </c>
      <c r="C298">
        <v>0</v>
      </c>
    </row>
    <row r="299" spans="1:3" x14ac:dyDescent="0.3">
      <c r="A299" t="s">
        <v>28</v>
      </c>
      <c r="B299" t="s">
        <v>440</v>
      </c>
      <c r="C299">
        <v>0</v>
      </c>
    </row>
    <row r="300" spans="1:3" x14ac:dyDescent="0.3">
      <c r="A300" t="s">
        <v>28</v>
      </c>
      <c r="B300" t="s">
        <v>262</v>
      </c>
      <c r="C300">
        <v>0</v>
      </c>
    </row>
    <row r="301" spans="1:3" x14ac:dyDescent="0.3">
      <c r="A301" t="s">
        <v>28</v>
      </c>
      <c r="B301" t="s">
        <v>183</v>
      </c>
      <c r="C301">
        <v>0</v>
      </c>
    </row>
    <row r="302" spans="1:3" x14ac:dyDescent="0.3">
      <c r="A302" t="s">
        <v>28</v>
      </c>
      <c r="B302" t="s">
        <v>131</v>
      </c>
      <c r="C302">
        <v>0</v>
      </c>
    </row>
    <row r="303" spans="1:3" x14ac:dyDescent="0.3">
      <c r="A303" t="s">
        <v>28</v>
      </c>
      <c r="B303" t="s">
        <v>312</v>
      </c>
      <c r="C303">
        <v>0</v>
      </c>
    </row>
    <row r="304" spans="1:3" x14ac:dyDescent="0.3">
      <c r="A304" t="s">
        <v>28</v>
      </c>
      <c r="B304" t="s">
        <v>146</v>
      </c>
      <c r="C304">
        <v>0</v>
      </c>
    </row>
    <row r="305" spans="1:3" x14ac:dyDescent="0.3">
      <c r="A305" t="s">
        <v>28</v>
      </c>
      <c r="B305" t="s">
        <v>174</v>
      </c>
      <c r="C305">
        <v>0</v>
      </c>
    </row>
    <row r="306" spans="1:3" x14ac:dyDescent="0.3">
      <c r="A306" t="s">
        <v>28</v>
      </c>
      <c r="B306" t="s">
        <v>84</v>
      </c>
      <c r="C306">
        <v>0</v>
      </c>
    </row>
    <row r="307" spans="1:3" x14ac:dyDescent="0.3">
      <c r="A307" t="s">
        <v>28</v>
      </c>
      <c r="B307" t="s">
        <v>107</v>
      </c>
      <c r="C307">
        <v>0</v>
      </c>
    </row>
    <row r="308" spans="1:3" x14ac:dyDescent="0.3">
      <c r="A308" t="s">
        <v>28</v>
      </c>
      <c r="B308" t="s">
        <v>80</v>
      </c>
      <c r="C308">
        <v>0</v>
      </c>
    </row>
    <row r="309" spans="1:3" x14ac:dyDescent="0.3">
      <c r="A309" t="s">
        <v>28</v>
      </c>
      <c r="B309" t="s">
        <v>277</v>
      </c>
      <c r="C309">
        <v>0</v>
      </c>
    </row>
    <row r="310" spans="1:3" x14ac:dyDescent="0.3">
      <c r="A310" t="s">
        <v>28</v>
      </c>
      <c r="B310" t="s">
        <v>193</v>
      </c>
      <c r="C310">
        <v>0</v>
      </c>
    </row>
    <row r="311" spans="1:3" x14ac:dyDescent="0.3">
      <c r="A311" t="s">
        <v>28</v>
      </c>
      <c r="B311" t="s">
        <v>315</v>
      </c>
      <c r="C311">
        <v>0</v>
      </c>
    </row>
    <row r="312" spans="1:3" x14ac:dyDescent="0.3">
      <c r="A312" t="s">
        <v>28</v>
      </c>
      <c r="B312" t="s">
        <v>81</v>
      </c>
      <c r="C312">
        <v>0</v>
      </c>
    </row>
    <row r="313" spans="1:3" x14ac:dyDescent="0.3">
      <c r="A313" t="s">
        <v>28</v>
      </c>
      <c r="B313" t="s">
        <v>181</v>
      </c>
      <c r="C313">
        <v>0</v>
      </c>
    </row>
    <row r="314" spans="1:3" x14ac:dyDescent="0.3">
      <c r="A314" t="s">
        <v>28</v>
      </c>
      <c r="B314" t="s">
        <v>69</v>
      </c>
      <c r="C314">
        <v>0</v>
      </c>
    </row>
    <row r="315" spans="1:3" x14ac:dyDescent="0.3">
      <c r="A315" t="s">
        <v>28</v>
      </c>
      <c r="B315" t="s">
        <v>60</v>
      </c>
      <c r="C315">
        <v>0</v>
      </c>
    </row>
    <row r="316" spans="1:3" x14ac:dyDescent="0.3">
      <c r="A316" t="s">
        <v>28</v>
      </c>
      <c r="B316" t="s">
        <v>290</v>
      </c>
      <c r="C316">
        <v>0</v>
      </c>
    </row>
    <row r="317" spans="1:3" x14ac:dyDescent="0.3">
      <c r="A317" t="s">
        <v>28</v>
      </c>
      <c r="B317" t="s">
        <v>29</v>
      </c>
      <c r="C317">
        <v>0</v>
      </c>
    </row>
    <row r="318" spans="1:3" x14ac:dyDescent="0.3">
      <c r="A318" t="s">
        <v>28</v>
      </c>
      <c r="B318" t="s">
        <v>171</v>
      </c>
      <c r="C318">
        <v>0</v>
      </c>
    </row>
    <row r="319" spans="1:3" x14ac:dyDescent="0.3">
      <c r="A319" t="s">
        <v>28</v>
      </c>
      <c r="B319" t="s">
        <v>94</v>
      </c>
      <c r="C319">
        <v>0</v>
      </c>
    </row>
    <row r="320" spans="1:3" x14ac:dyDescent="0.3">
      <c r="A320" t="s">
        <v>28</v>
      </c>
      <c r="B320" t="s">
        <v>154</v>
      </c>
      <c r="C320">
        <v>0</v>
      </c>
    </row>
    <row r="321" spans="1:3" x14ac:dyDescent="0.3">
      <c r="A321" t="s">
        <v>28</v>
      </c>
      <c r="B321" t="s">
        <v>190</v>
      </c>
      <c r="C321">
        <v>0</v>
      </c>
    </row>
    <row r="322" spans="1:3" x14ac:dyDescent="0.3">
      <c r="A322" t="s">
        <v>28</v>
      </c>
      <c r="B322" t="s">
        <v>66</v>
      </c>
      <c r="C322">
        <v>0</v>
      </c>
    </row>
    <row r="323" spans="1:3" x14ac:dyDescent="0.3">
      <c r="A323" t="s">
        <v>28</v>
      </c>
      <c r="B323" t="s">
        <v>149</v>
      </c>
      <c r="C323">
        <v>0</v>
      </c>
    </row>
    <row r="324" spans="1:3" x14ac:dyDescent="0.3">
      <c r="A324" t="s">
        <v>28</v>
      </c>
      <c r="B324" t="s">
        <v>70</v>
      </c>
      <c r="C324">
        <v>0</v>
      </c>
    </row>
    <row r="325" spans="1:3" x14ac:dyDescent="0.3">
      <c r="A325" t="s">
        <v>28</v>
      </c>
      <c r="B325" t="s">
        <v>78</v>
      </c>
      <c r="C325">
        <v>0</v>
      </c>
    </row>
    <row r="326" spans="1:3" x14ac:dyDescent="0.3">
      <c r="A326" t="s">
        <v>28</v>
      </c>
      <c r="B326" t="s">
        <v>32</v>
      </c>
      <c r="C326">
        <v>0</v>
      </c>
    </row>
    <row r="327" spans="1:3" x14ac:dyDescent="0.3">
      <c r="A327" t="s">
        <v>28</v>
      </c>
      <c r="B327" t="s">
        <v>106</v>
      </c>
      <c r="C327">
        <v>0</v>
      </c>
    </row>
    <row r="328" spans="1:3" x14ac:dyDescent="0.3">
      <c r="A328" t="s">
        <v>28</v>
      </c>
      <c r="B328" t="s">
        <v>245</v>
      </c>
      <c r="C328">
        <v>0</v>
      </c>
    </row>
    <row r="329" spans="1:3" x14ac:dyDescent="0.3">
      <c r="A329" t="s">
        <v>28</v>
      </c>
      <c r="B329" t="s">
        <v>137</v>
      </c>
      <c r="C329">
        <v>0</v>
      </c>
    </row>
    <row r="330" spans="1:3" x14ac:dyDescent="0.3">
      <c r="A330" t="s">
        <v>28</v>
      </c>
      <c r="B330" t="s">
        <v>127</v>
      </c>
      <c r="C330">
        <v>0</v>
      </c>
    </row>
    <row r="331" spans="1:3" x14ac:dyDescent="0.3">
      <c r="A331" t="s">
        <v>28</v>
      </c>
      <c r="B331" t="s">
        <v>162</v>
      </c>
      <c r="C331">
        <v>0</v>
      </c>
    </row>
    <row r="332" spans="1:3" x14ac:dyDescent="0.3">
      <c r="A332" t="s">
        <v>28</v>
      </c>
      <c r="B332" t="s">
        <v>163</v>
      </c>
      <c r="C332">
        <v>0</v>
      </c>
    </row>
    <row r="333" spans="1:3" x14ac:dyDescent="0.3">
      <c r="A333" t="s">
        <v>28</v>
      </c>
      <c r="B333" t="s">
        <v>35</v>
      </c>
      <c r="C333">
        <v>0</v>
      </c>
    </row>
    <row r="334" spans="1:3" x14ac:dyDescent="0.3">
      <c r="A334" t="s">
        <v>28</v>
      </c>
      <c r="B334" t="s">
        <v>88</v>
      </c>
      <c r="C334">
        <v>0</v>
      </c>
    </row>
    <row r="335" spans="1:3" x14ac:dyDescent="0.3">
      <c r="A335" t="s">
        <v>28</v>
      </c>
      <c r="B335" t="s">
        <v>100</v>
      </c>
      <c r="C335">
        <v>0</v>
      </c>
    </row>
    <row r="336" spans="1:3" x14ac:dyDescent="0.3">
      <c r="A336" t="s">
        <v>28</v>
      </c>
      <c r="B336" t="s">
        <v>34</v>
      </c>
      <c r="C336">
        <v>0</v>
      </c>
    </row>
    <row r="337" spans="1:3" x14ac:dyDescent="0.3">
      <c r="A337" t="s">
        <v>28</v>
      </c>
      <c r="B337" t="s">
        <v>76</v>
      </c>
      <c r="C337">
        <v>0</v>
      </c>
    </row>
    <row r="338" spans="1:3" x14ac:dyDescent="0.3">
      <c r="A338" t="s">
        <v>28</v>
      </c>
      <c r="B338" t="s">
        <v>192</v>
      </c>
      <c r="C338">
        <v>0</v>
      </c>
    </row>
    <row r="339" spans="1:3" x14ac:dyDescent="0.3">
      <c r="A339" t="s">
        <v>28</v>
      </c>
      <c r="B339" t="s">
        <v>199</v>
      </c>
      <c r="C339">
        <v>0</v>
      </c>
    </row>
    <row r="340" spans="1:3" x14ac:dyDescent="0.3">
      <c r="A340" t="s">
        <v>10</v>
      </c>
      <c r="B340" t="s">
        <v>95</v>
      </c>
      <c r="C340">
        <v>0</v>
      </c>
    </row>
    <row r="341" spans="1:3" x14ac:dyDescent="0.3">
      <c r="A341" t="s">
        <v>10</v>
      </c>
      <c r="B341" t="s">
        <v>160</v>
      </c>
      <c r="C341">
        <v>0</v>
      </c>
    </row>
    <row r="342" spans="1:3" x14ac:dyDescent="0.3">
      <c r="A342" t="s">
        <v>10</v>
      </c>
      <c r="B342" t="s">
        <v>130</v>
      </c>
      <c r="C342">
        <v>0</v>
      </c>
    </row>
    <row r="343" spans="1:3" x14ac:dyDescent="0.3">
      <c r="A343" t="s">
        <v>10</v>
      </c>
      <c r="B343" t="s">
        <v>235</v>
      </c>
      <c r="C343">
        <v>0</v>
      </c>
    </row>
    <row r="344" spans="1:3" x14ac:dyDescent="0.3">
      <c r="A344" t="s">
        <v>10</v>
      </c>
      <c r="B344" t="s">
        <v>25</v>
      </c>
      <c r="C344">
        <v>0</v>
      </c>
    </row>
    <row r="345" spans="1:3" x14ac:dyDescent="0.3">
      <c r="A345" t="s">
        <v>10</v>
      </c>
      <c r="B345" t="s">
        <v>112</v>
      </c>
      <c r="C345">
        <v>0</v>
      </c>
    </row>
    <row r="346" spans="1:3" x14ac:dyDescent="0.3">
      <c r="A346" t="s">
        <v>10</v>
      </c>
      <c r="B346" t="s">
        <v>144</v>
      </c>
      <c r="C346">
        <v>0</v>
      </c>
    </row>
    <row r="347" spans="1:3" x14ac:dyDescent="0.3">
      <c r="A347" t="s">
        <v>10</v>
      </c>
      <c r="B347" t="s">
        <v>168</v>
      </c>
      <c r="C347">
        <v>0</v>
      </c>
    </row>
    <row r="348" spans="1:3" x14ac:dyDescent="0.3">
      <c r="A348" t="s">
        <v>10</v>
      </c>
      <c r="B348" t="s">
        <v>152</v>
      </c>
      <c r="C348">
        <v>0</v>
      </c>
    </row>
    <row r="349" spans="1:3" x14ac:dyDescent="0.3">
      <c r="A349" t="s">
        <v>10</v>
      </c>
      <c r="B349" t="s">
        <v>284</v>
      </c>
      <c r="C349">
        <v>0</v>
      </c>
    </row>
    <row r="350" spans="1:3" x14ac:dyDescent="0.3">
      <c r="A350" t="s">
        <v>10</v>
      </c>
      <c r="B350" t="s">
        <v>74</v>
      </c>
      <c r="C350">
        <v>0</v>
      </c>
    </row>
    <row r="351" spans="1:3" x14ac:dyDescent="0.3">
      <c r="A351" t="s">
        <v>10</v>
      </c>
      <c r="B351" t="s">
        <v>61</v>
      </c>
      <c r="C351">
        <v>0</v>
      </c>
    </row>
    <row r="352" spans="1:3" x14ac:dyDescent="0.3">
      <c r="A352" t="s">
        <v>10</v>
      </c>
      <c r="B352" t="s">
        <v>178</v>
      </c>
      <c r="C352">
        <v>0</v>
      </c>
    </row>
    <row r="353" spans="1:3" x14ac:dyDescent="0.3">
      <c r="A353" t="s">
        <v>10</v>
      </c>
      <c r="B353" t="s">
        <v>185</v>
      </c>
      <c r="C353">
        <v>0</v>
      </c>
    </row>
    <row r="354" spans="1:3" x14ac:dyDescent="0.3">
      <c r="A354" t="s">
        <v>10</v>
      </c>
      <c r="B354" t="s">
        <v>67</v>
      </c>
      <c r="C354">
        <v>0</v>
      </c>
    </row>
    <row r="355" spans="1:3" x14ac:dyDescent="0.3">
      <c r="A355" t="s">
        <v>10</v>
      </c>
      <c r="B355" t="s">
        <v>276</v>
      </c>
      <c r="C355">
        <v>0</v>
      </c>
    </row>
    <row r="356" spans="1:3" x14ac:dyDescent="0.3">
      <c r="A356" t="s">
        <v>10</v>
      </c>
      <c r="B356" t="s">
        <v>22</v>
      </c>
      <c r="C356">
        <v>0</v>
      </c>
    </row>
    <row r="357" spans="1:3" x14ac:dyDescent="0.3">
      <c r="A357" t="s">
        <v>10</v>
      </c>
      <c r="B357" t="s">
        <v>17</v>
      </c>
      <c r="C357">
        <v>0</v>
      </c>
    </row>
    <row r="358" spans="1:3" x14ac:dyDescent="0.3">
      <c r="A358" t="s">
        <v>10</v>
      </c>
      <c r="B358" t="s">
        <v>302</v>
      </c>
      <c r="C358">
        <v>0</v>
      </c>
    </row>
    <row r="359" spans="1:3" x14ac:dyDescent="0.3">
      <c r="A359" t="s">
        <v>10</v>
      </c>
      <c r="B359" t="s">
        <v>85</v>
      </c>
      <c r="C359">
        <v>0</v>
      </c>
    </row>
    <row r="360" spans="1:3" x14ac:dyDescent="0.3">
      <c r="A360" t="s">
        <v>10</v>
      </c>
      <c r="B360" t="s">
        <v>156</v>
      </c>
      <c r="C360">
        <v>0</v>
      </c>
    </row>
    <row r="361" spans="1:3" x14ac:dyDescent="0.3">
      <c r="A361" t="s">
        <v>10</v>
      </c>
      <c r="B361" t="s">
        <v>387</v>
      </c>
      <c r="C361">
        <v>0</v>
      </c>
    </row>
    <row r="362" spans="1:3" x14ac:dyDescent="0.3">
      <c r="A362" t="s">
        <v>10</v>
      </c>
      <c r="B362" t="s">
        <v>312</v>
      </c>
      <c r="C362">
        <v>0</v>
      </c>
    </row>
    <row r="363" spans="1:3" x14ac:dyDescent="0.3">
      <c r="A363" t="s">
        <v>10</v>
      </c>
      <c r="B363" t="s">
        <v>52</v>
      </c>
      <c r="C363">
        <v>0</v>
      </c>
    </row>
    <row r="364" spans="1:3" x14ac:dyDescent="0.3">
      <c r="A364" t="s">
        <v>10</v>
      </c>
      <c r="B364" t="s">
        <v>46</v>
      </c>
      <c r="C364">
        <v>0</v>
      </c>
    </row>
    <row r="365" spans="1:3" x14ac:dyDescent="0.3">
      <c r="A365" t="s">
        <v>10</v>
      </c>
      <c r="B365" t="s">
        <v>174</v>
      </c>
      <c r="C365">
        <v>0</v>
      </c>
    </row>
    <row r="366" spans="1:3" x14ac:dyDescent="0.3">
      <c r="A366" t="s">
        <v>10</v>
      </c>
      <c r="B366" t="s">
        <v>62</v>
      </c>
      <c r="C366">
        <v>0</v>
      </c>
    </row>
    <row r="367" spans="1:3" x14ac:dyDescent="0.3">
      <c r="A367" t="s">
        <v>10</v>
      </c>
      <c r="B367" t="s">
        <v>115</v>
      </c>
      <c r="C367">
        <v>0</v>
      </c>
    </row>
    <row r="368" spans="1:3" x14ac:dyDescent="0.3">
      <c r="A368" t="s">
        <v>10</v>
      </c>
      <c r="B368" t="s">
        <v>193</v>
      </c>
      <c r="C368">
        <v>0</v>
      </c>
    </row>
    <row r="369" spans="1:3" x14ac:dyDescent="0.3">
      <c r="A369" t="s">
        <v>10</v>
      </c>
      <c r="B369" t="s">
        <v>315</v>
      </c>
      <c r="C369">
        <v>0</v>
      </c>
    </row>
    <row r="370" spans="1:3" x14ac:dyDescent="0.3">
      <c r="A370" t="s">
        <v>10</v>
      </c>
      <c r="B370" t="s">
        <v>205</v>
      </c>
      <c r="C370">
        <v>0</v>
      </c>
    </row>
    <row r="371" spans="1:3" x14ac:dyDescent="0.3">
      <c r="A371" t="s">
        <v>10</v>
      </c>
      <c r="B371" t="s">
        <v>97</v>
      </c>
      <c r="C371">
        <v>0</v>
      </c>
    </row>
    <row r="372" spans="1:3" x14ac:dyDescent="0.3">
      <c r="A372" t="s">
        <v>10</v>
      </c>
      <c r="B372" t="s">
        <v>11</v>
      </c>
      <c r="C372">
        <v>0</v>
      </c>
    </row>
    <row r="373" spans="1:3" x14ac:dyDescent="0.3">
      <c r="A373" t="s">
        <v>10</v>
      </c>
      <c r="B373" t="s">
        <v>42</v>
      </c>
      <c r="C373">
        <v>0</v>
      </c>
    </row>
    <row r="374" spans="1:3" x14ac:dyDescent="0.3">
      <c r="A374" t="s">
        <v>10</v>
      </c>
      <c r="B374" t="s">
        <v>247</v>
      </c>
      <c r="C374">
        <v>0</v>
      </c>
    </row>
    <row r="375" spans="1:3" x14ac:dyDescent="0.3">
      <c r="A375" t="s">
        <v>10</v>
      </c>
      <c r="B375" t="s">
        <v>116</v>
      </c>
      <c r="C375">
        <v>0</v>
      </c>
    </row>
    <row r="376" spans="1:3" x14ac:dyDescent="0.3">
      <c r="A376" t="s">
        <v>10</v>
      </c>
      <c r="B376" t="s">
        <v>60</v>
      </c>
      <c r="C376">
        <v>0</v>
      </c>
    </row>
    <row r="377" spans="1:3" x14ac:dyDescent="0.3">
      <c r="A377" t="s">
        <v>10</v>
      </c>
      <c r="B377" t="s">
        <v>138</v>
      </c>
      <c r="C377">
        <v>0</v>
      </c>
    </row>
    <row r="378" spans="1:3" x14ac:dyDescent="0.3">
      <c r="A378" t="s">
        <v>10</v>
      </c>
      <c r="B378" t="s">
        <v>154</v>
      </c>
      <c r="C378">
        <v>0</v>
      </c>
    </row>
    <row r="379" spans="1:3" x14ac:dyDescent="0.3">
      <c r="A379" t="s">
        <v>10</v>
      </c>
      <c r="B379" t="s">
        <v>394</v>
      </c>
      <c r="C379">
        <v>0</v>
      </c>
    </row>
    <row r="380" spans="1:3" x14ac:dyDescent="0.3">
      <c r="A380" t="s">
        <v>10</v>
      </c>
      <c r="B380" t="s">
        <v>208</v>
      </c>
      <c r="C380">
        <v>0</v>
      </c>
    </row>
    <row r="381" spans="1:3" x14ac:dyDescent="0.3">
      <c r="A381" t="s">
        <v>10</v>
      </c>
      <c r="B381" t="s">
        <v>190</v>
      </c>
      <c r="C381">
        <v>0</v>
      </c>
    </row>
    <row r="382" spans="1:3" x14ac:dyDescent="0.3">
      <c r="A382" t="s">
        <v>10</v>
      </c>
      <c r="B382" t="s">
        <v>39</v>
      </c>
      <c r="C382">
        <v>0</v>
      </c>
    </row>
    <row r="383" spans="1:3" x14ac:dyDescent="0.3">
      <c r="A383" t="s">
        <v>10</v>
      </c>
      <c r="B383" t="s">
        <v>32</v>
      </c>
      <c r="C383">
        <v>0</v>
      </c>
    </row>
    <row r="384" spans="1:3" x14ac:dyDescent="0.3">
      <c r="A384" t="s">
        <v>10</v>
      </c>
      <c r="B384" t="s">
        <v>109</v>
      </c>
      <c r="C384">
        <v>0</v>
      </c>
    </row>
    <row r="385" spans="1:3" x14ac:dyDescent="0.3">
      <c r="A385" t="s">
        <v>10</v>
      </c>
      <c r="B385" t="s">
        <v>210</v>
      </c>
      <c r="C385">
        <v>0</v>
      </c>
    </row>
    <row r="386" spans="1:3" x14ac:dyDescent="0.3">
      <c r="A386" t="s">
        <v>10</v>
      </c>
      <c r="B386" t="s">
        <v>58</v>
      </c>
      <c r="C386">
        <v>0</v>
      </c>
    </row>
    <row r="387" spans="1:3" x14ac:dyDescent="0.3">
      <c r="A387" t="s">
        <v>10</v>
      </c>
      <c r="B387" t="s">
        <v>77</v>
      </c>
      <c r="C387">
        <v>0</v>
      </c>
    </row>
    <row r="388" spans="1:3" x14ac:dyDescent="0.3">
      <c r="A388" t="s">
        <v>10</v>
      </c>
      <c r="B388" t="s">
        <v>166</v>
      </c>
      <c r="C388">
        <v>0</v>
      </c>
    </row>
    <row r="389" spans="1:3" x14ac:dyDescent="0.3">
      <c r="A389" t="s">
        <v>10</v>
      </c>
      <c r="B389" t="s">
        <v>180</v>
      </c>
      <c r="C389">
        <v>0</v>
      </c>
    </row>
    <row r="390" spans="1:3" x14ac:dyDescent="0.3">
      <c r="A390" t="s">
        <v>10</v>
      </c>
      <c r="B390" t="s">
        <v>207</v>
      </c>
      <c r="C390">
        <v>0</v>
      </c>
    </row>
    <row r="391" spans="1:3" x14ac:dyDescent="0.3">
      <c r="A391" t="s">
        <v>10</v>
      </c>
      <c r="B391" t="s">
        <v>100</v>
      </c>
      <c r="C391">
        <v>0</v>
      </c>
    </row>
    <row r="392" spans="1:3" x14ac:dyDescent="0.3">
      <c r="A392" t="s">
        <v>10</v>
      </c>
      <c r="B392" t="s">
        <v>34</v>
      </c>
      <c r="C392">
        <v>0</v>
      </c>
    </row>
    <row r="393" spans="1:3" x14ac:dyDescent="0.3">
      <c r="A393" t="s">
        <v>10</v>
      </c>
      <c r="B393" t="s">
        <v>151</v>
      </c>
      <c r="C393">
        <v>0</v>
      </c>
    </row>
    <row r="394" spans="1:3" x14ac:dyDescent="0.3">
      <c r="A394" t="s">
        <v>10</v>
      </c>
      <c r="B394" t="s">
        <v>41</v>
      </c>
      <c r="C394">
        <v>0</v>
      </c>
    </row>
    <row r="395" spans="1:3" x14ac:dyDescent="0.3">
      <c r="A395" t="s">
        <v>10</v>
      </c>
      <c r="B395" t="s">
        <v>87</v>
      </c>
      <c r="C395">
        <v>0</v>
      </c>
    </row>
    <row r="396" spans="1:3" x14ac:dyDescent="0.3">
      <c r="A396" t="s">
        <v>47</v>
      </c>
      <c r="B396" t="s">
        <v>250</v>
      </c>
      <c r="C396">
        <v>0</v>
      </c>
    </row>
    <row r="397" spans="1:3" x14ac:dyDescent="0.3">
      <c r="A397" t="s">
        <v>47</v>
      </c>
      <c r="B397" t="s">
        <v>221</v>
      </c>
      <c r="C397">
        <v>0</v>
      </c>
    </row>
    <row r="398" spans="1:3" x14ac:dyDescent="0.3">
      <c r="A398" t="s">
        <v>47</v>
      </c>
      <c r="B398" t="s">
        <v>24</v>
      </c>
      <c r="C398">
        <v>0</v>
      </c>
    </row>
    <row r="399" spans="1:3" x14ac:dyDescent="0.3">
      <c r="A399" t="s">
        <v>47</v>
      </c>
      <c r="B399" t="s">
        <v>200</v>
      </c>
      <c r="C399">
        <v>0</v>
      </c>
    </row>
    <row r="400" spans="1:3" x14ac:dyDescent="0.3">
      <c r="A400" t="s">
        <v>47</v>
      </c>
      <c r="B400" t="s">
        <v>140</v>
      </c>
      <c r="C400">
        <v>0</v>
      </c>
    </row>
    <row r="401" spans="1:3" x14ac:dyDescent="0.3">
      <c r="A401" t="s">
        <v>47</v>
      </c>
      <c r="B401" t="s">
        <v>53</v>
      </c>
      <c r="C401">
        <v>0</v>
      </c>
    </row>
    <row r="402" spans="1:3" x14ac:dyDescent="0.3">
      <c r="A402" t="s">
        <v>47</v>
      </c>
      <c r="B402" t="s">
        <v>150</v>
      </c>
      <c r="C402">
        <v>0</v>
      </c>
    </row>
    <row r="403" spans="1:3" x14ac:dyDescent="0.3">
      <c r="A403" t="s">
        <v>47</v>
      </c>
      <c r="B403" t="s">
        <v>112</v>
      </c>
      <c r="C403">
        <v>0</v>
      </c>
    </row>
    <row r="404" spans="1:3" x14ac:dyDescent="0.3">
      <c r="A404" t="s">
        <v>47</v>
      </c>
      <c r="B404" t="s">
        <v>144</v>
      </c>
      <c r="C404">
        <v>0</v>
      </c>
    </row>
    <row r="405" spans="1:3" x14ac:dyDescent="0.3">
      <c r="A405" t="s">
        <v>47</v>
      </c>
      <c r="B405" t="s">
        <v>63</v>
      </c>
      <c r="C405">
        <v>0</v>
      </c>
    </row>
    <row r="406" spans="1:3" x14ac:dyDescent="0.3">
      <c r="A406" t="s">
        <v>47</v>
      </c>
      <c r="B406" t="s">
        <v>96</v>
      </c>
      <c r="C406">
        <v>0</v>
      </c>
    </row>
    <row r="407" spans="1:3" x14ac:dyDescent="0.3">
      <c r="A407" t="s">
        <v>47</v>
      </c>
      <c r="B407" t="s">
        <v>37</v>
      </c>
      <c r="C407">
        <v>0</v>
      </c>
    </row>
    <row r="408" spans="1:3" x14ac:dyDescent="0.3">
      <c r="A408" t="s">
        <v>47</v>
      </c>
      <c r="B408" t="s">
        <v>124</v>
      </c>
      <c r="C408">
        <v>0</v>
      </c>
    </row>
    <row r="409" spans="1:3" x14ac:dyDescent="0.3">
      <c r="A409" t="s">
        <v>47</v>
      </c>
      <c r="B409" t="s">
        <v>152</v>
      </c>
      <c r="C409">
        <v>0</v>
      </c>
    </row>
    <row r="410" spans="1:3" x14ac:dyDescent="0.3">
      <c r="A410" t="s">
        <v>47</v>
      </c>
      <c r="B410" t="s">
        <v>74</v>
      </c>
      <c r="C410">
        <v>0</v>
      </c>
    </row>
    <row r="411" spans="1:3" x14ac:dyDescent="0.3">
      <c r="A411" t="s">
        <v>47</v>
      </c>
      <c r="B411" t="s">
        <v>279</v>
      </c>
      <c r="C411">
        <v>0</v>
      </c>
    </row>
    <row r="412" spans="1:3" x14ac:dyDescent="0.3">
      <c r="A412" t="s">
        <v>47</v>
      </c>
      <c r="B412" t="s">
        <v>178</v>
      </c>
      <c r="C412">
        <v>0</v>
      </c>
    </row>
    <row r="413" spans="1:3" x14ac:dyDescent="0.3">
      <c r="A413" t="s">
        <v>47</v>
      </c>
      <c r="B413" t="s">
        <v>67</v>
      </c>
      <c r="C413">
        <v>0</v>
      </c>
    </row>
    <row r="414" spans="1:3" x14ac:dyDescent="0.3">
      <c r="A414" t="s">
        <v>47</v>
      </c>
      <c r="B414" t="s">
        <v>214</v>
      </c>
      <c r="C414">
        <v>0</v>
      </c>
    </row>
    <row r="415" spans="1:3" x14ac:dyDescent="0.3">
      <c r="A415" t="s">
        <v>47</v>
      </c>
      <c r="B415" t="s">
        <v>22</v>
      </c>
      <c r="C415">
        <v>0</v>
      </c>
    </row>
    <row r="416" spans="1:3" x14ac:dyDescent="0.3">
      <c r="A416" t="s">
        <v>47</v>
      </c>
      <c r="B416" t="s">
        <v>49</v>
      </c>
      <c r="C416">
        <v>0</v>
      </c>
    </row>
    <row r="417" spans="1:3" x14ac:dyDescent="0.3">
      <c r="A417" t="s">
        <v>47</v>
      </c>
      <c r="B417" t="s">
        <v>55</v>
      </c>
      <c r="C417">
        <v>0</v>
      </c>
    </row>
    <row r="418" spans="1:3" x14ac:dyDescent="0.3">
      <c r="A418" t="s">
        <v>47</v>
      </c>
      <c r="B418" t="s">
        <v>85</v>
      </c>
      <c r="C418">
        <v>0</v>
      </c>
    </row>
    <row r="419" spans="1:3" x14ac:dyDescent="0.3">
      <c r="A419" t="s">
        <v>47</v>
      </c>
      <c r="B419" t="s">
        <v>51</v>
      </c>
      <c r="C419">
        <v>0</v>
      </c>
    </row>
    <row r="420" spans="1:3" x14ac:dyDescent="0.3">
      <c r="A420" t="s">
        <v>47</v>
      </c>
      <c r="B420" t="s">
        <v>48</v>
      </c>
      <c r="C420">
        <v>0</v>
      </c>
    </row>
    <row r="421" spans="1:3" x14ac:dyDescent="0.3">
      <c r="A421" t="s">
        <v>47</v>
      </c>
      <c r="B421" t="s">
        <v>6</v>
      </c>
      <c r="C421">
        <v>0</v>
      </c>
    </row>
    <row r="422" spans="1:3" x14ac:dyDescent="0.3">
      <c r="A422" t="s">
        <v>47</v>
      </c>
      <c r="B422" t="s">
        <v>19</v>
      </c>
      <c r="C422">
        <v>0</v>
      </c>
    </row>
    <row r="423" spans="1:3" x14ac:dyDescent="0.3">
      <c r="A423" t="s">
        <v>47</v>
      </c>
      <c r="B423" t="s">
        <v>52</v>
      </c>
      <c r="C423">
        <v>0</v>
      </c>
    </row>
    <row r="424" spans="1:3" x14ac:dyDescent="0.3">
      <c r="A424" t="s">
        <v>47</v>
      </c>
      <c r="B424" t="s">
        <v>146</v>
      </c>
      <c r="C424">
        <v>0</v>
      </c>
    </row>
    <row r="425" spans="1:3" x14ac:dyDescent="0.3">
      <c r="A425" t="s">
        <v>47</v>
      </c>
      <c r="B425" t="s">
        <v>315</v>
      </c>
      <c r="C425">
        <v>0</v>
      </c>
    </row>
    <row r="426" spans="1:3" x14ac:dyDescent="0.3">
      <c r="A426" t="s">
        <v>47</v>
      </c>
      <c r="B426" t="s">
        <v>126</v>
      </c>
      <c r="C426">
        <v>0</v>
      </c>
    </row>
    <row r="427" spans="1:3" x14ac:dyDescent="0.3">
      <c r="A427" t="s">
        <v>47</v>
      </c>
      <c r="B427" t="s">
        <v>402</v>
      </c>
      <c r="C427">
        <v>0</v>
      </c>
    </row>
    <row r="428" spans="1:3" x14ac:dyDescent="0.3">
      <c r="A428" t="s">
        <v>47</v>
      </c>
      <c r="B428" t="s">
        <v>181</v>
      </c>
      <c r="C428">
        <v>0</v>
      </c>
    </row>
    <row r="429" spans="1:3" x14ac:dyDescent="0.3">
      <c r="A429" t="s">
        <v>47</v>
      </c>
      <c r="B429" t="s">
        <v>69</v>
      </c>
      <c r="C429">
        <v>0</v>
      </c>
    </row>
    <row r="430" spans="1:3" x14ac:dyDescent="0.3">
      <c r="A430" t="s">
        <v>47</v>
      </c>
      <c r="B430" t="s">
        <v>116</v>
      </c>
      <c r="C430">
        <v>0</v>
      </c>
    </row>
    <row r="431" spans="1:3" x14ac:dyDescent="0.3">
      <c r="A431" t="s">
        <v>47</v>
      </c>
      <c r="B431" t="s">
        <v>258</v>
      </c>
      <c r="C431">
        <v>0</v>
      </c>
    </row>
    <row r="432" spans="1:3" x14ac:dyDescent="0.3">
      <c r="A432" t="s">
        <v>47</v>
      </c>
      <c r="B432" t="s">
        <v>29</v>
      </c>
      <c r="C432">
        <v>0</v>
      </c>
    </row>
    <row r="433" spans="1:3" x14ac:dyDescent="0.3">
      <c r="A433" t="s">
        <v>47</v>
      </c>
      <c r="B433" t="s">
        <v>273</v>
      </c>
      <c r="C433">
        <v>0</v>
      </c>
    </row>
    <row r="434" spans="1:3" x14ac:dyDescent="0.3">
      <c r="A434" t="s">
        <v>47</v>
      </c>
      <c r="B434" t="s">
        <v>72</v>
      </c>
      <c r="C434">
        <v>0</v>
      </c>
    </row>
    <row r="435" spans="1:3" x14ac:dyDescent="0.3">
      <c r="A435" t="s">
        <v>47</v>
      </c>
      <c r="B435" t="s">
        <v>39</v>
      </c>
      <c r="C435">
        <v>0</v>
      </c>
    </row>
    <row r="436" spans="1:3" x14ac:dyDescent="0.3">
      <c r="A436" t="s">
        <v>47</v>
      </c>
      <c r="B436" t="s">
        <v>149</v>
      </c>
      <c r="C436">
        <v>0</v>
      </c>
    </row>
    <row r="437" spans="1:3" x14ac:dyDescent="0.3">
      <c r="A437" t="s">
        <v>47</v>
      </c>
      <c r="B437" t="s">
        <v>15</v>
      </c>
      <c r="C437">
        <v>0</v>
      </c>
    </row>
    <row r="438" spans="1:3" x14ac:dyDescent="0.3">
      <c r="A438" t="s">
        <v>47</v>
      </c>
      <c r="B438" t="s">
        <v>78</v>
      </c>
      <c r="C438">
        <v>0</v>
      </c>
    </row>
    <row r="439" spans="1:3" x14ac:dyDescent="0.3">
      <c r="A439" t="s">
        <v>47</v>
      </c>
      <c r="B439" t="s">
        <v>32</v>
      </c>
      <c r="C439">
        <v>0</v>
      </c>
    </row>
    <row r="440" spans="1:3" x14ac:dyDescent="0.3">
      <c r="A440" t="s">
        <v>47</v>
      </c>
      <c r="B440" t="s">
        <v>92</v>
      </c>
      <c r="C440">
        <v>0</v>
      </c>
    </row>
    <row r="441" spans="1:3" x14ac:dyDescent="0.3">
      <c r="A441" t="s">
        <v>47</v>
      </c>
      <c r="B441" t="s">
        <v>167</v>
      </c>
      <c r="C441">
        <v>0</v>
      </c>
    </row>
    <row r="442" spans="1:3" x14ac:dyDescent="0.3">
      <c r="A442" t="s">
        <v>47</v>
      </c>
      <c r="B442" t="s">
        <v>232</v>
      </c>
      <c r="C442">
        <v>0</v>
      </c>
    </row>
    <row r="443" spans="1:3" x14ac:dyDescent="0.3">
      <c r="A443" t="s">
        <v>47</v>
      </c>
      <c r="B443" t="s">
        <v>245</v>
      </c>
      <c r="C443">
        <v>0</v>
      </c>
    </row>
    <row r="444" spans="1:3" x14ac:dyDescent="0.3">
      <c r="A444" t="s">
        <v>47</v>
      </c>
      <c r="B444" t="s">
        <v>111</v>
      </c>
      <c r="C444">
        <v>0</v>
      </c>
    </row>
    <row r="445" spans="1:3" x14ac:dyDescent="0.3">
      <c r="A445" t="s">
        <v>47</v>
      </c>
      <c r="B445" t="s">
        <v>119</v>
      </c>
      <c r="C445">
        <v>0</v>
      </c>
    </row>
    <row r="446" spans="1:3" x14ac:dyDescent="0.3">
      <c r="A446" t="s">
        <v>47</v>
      </c>
      <c r="B446" t="s">
        <v>77</v>
      </c>
      <c r="C446">
        <v>0</v>
      </c>
    </row>
    <row r="447" spans="1:3" x14ac:dyDescent="0.3">
      <c r="A447" t="s">
        <v>47</v>
      </c>
      <c r="B447" t="s">
        <v>166</v>
      </c>
      <c r="C447">
        <v>0</v>
      </c>
    </row>
    <row r="448" spans="1:3" x14ac:dyDescent="0.3">
      <c r="A448" t="s">
        <v>47</v>
      </c>
      <c r="B448" t="s">
        <v>318</v>
      </c>
      <c r="C448">
        <v>0</v>
      </c>
    </row>
    <row r="449" spans="1:3" x14ac:dyDescent="0.3">
      <c r="A449" t="s">
        <v>47</v>
      </c>
      <c r="B449" t="s">
        <v>165</v>
      </c>
      <c r="C449">
        <v>0</v>
      </c>
    </row>
    <row r="450" spans="1:3" x14ac:dyDescent="0.3">
      <c r="A450" t="s">
        <v>47</v>
      </c>
      <c r="B450" t="s">
        <v>231</v>
      </c>
      <c r="C450">
        <v>0</v>
      </c>
    </row>
    <row r="451" spans="1:3" x14ac:dyDescent="0.3">
      <c r="A451" t="s">
        <v>47</v>
      </c>
      <c r="B451" t="s">
        <v>56</v>
      </c>
      <c r="C451">
        <v>0</v>
      </c>
    </row>
    <row r="452" spans="1:3" x14ac:dyDescent="0.3">
      <c r="A452" t="s">
        <v>47</v>
      </c>
      <c r="B452" t="s">
        <v>122</v>
      </c>
      <c r="C452">
        <v>0</v>
      </c>
    </row>
    <row r="453" spans="1:3" x14ac:dyDescent="0.3">
      <c r="A453" t="s">
        <v>47</v>
      </c>
      <c r="B453" t="s">
        <v>291</v>
      </c>
      <c r="C453">
        <v>0</v>
      </c>
    </row>
    <row r="454" spans="1:3" x14ac:dyDescent="0.3">
      <c r="A454" t="s">
        <v>47</v>
      </c>
      <c r="B454" t="s">
        <v>35</v>
      </c>
      <c r="C454">
        <v>0</v>
      </c>
    </row>
    <row r="455" spans="1:3" x14ac:dyDescent="0.3">
      <c r="A455" t="s">
        <v>47</v>
      </c>
      <c r="B455" t="s">
        <v>88</v>
      </c>
      <c r="C455">
        <v>0</v>
      </c>
    </row>
    <row r="456" spans="1:3" x14ac:dyDescent="0.3">
      <c r="A456" t="s">
        <v>47</v>
      </c>
      <c r="B456" t="s">
        <v>34</v>
      </c>
      <c r="C456">
        <v>0</v>
      </c>
    </row>
    <row r="457" spans="1:3" x14ac:dyDescent="0.3">
      <c r="A457" t="s">
        <v>47</v>
      </c>
      <c r="B457" t="s">
        <v>151</v>
      </c>
      <c r="C457">
        <v>0</v>
      </c>
    </row>
    <row r="458" spans="1:3" x14ac:dyDescent="0.3">
      <c r="A458" t="s">
        <v>47</v>
      </c>
      <c r="B458" t="s">
        <v>41</v>
      </c>
      <c r="C458">
        <v>0</v>
      </c>
    </row>
    <row r="459" spans="1:3" x14ac:dyDescent="0.3">
      <c r="A459" t="s">
        <v>45</v>
      </c>
      <c r="B459" t="s">
        <v>305</v>
      </c>
      <c r="C459">
        <v>0</v>
      </c>
    </row>
    <row r="460" spans="1:3" x14ac:dyDescent="0.3">
      <c r="A460" t="s">
        <v>45</v>
      </c>
      <c r="B460" t="s">
        <v>297</v>
      </c>
      <c r="C460">
        <v>0</v>
      </c>
    </row>
    <row r="461" spans="1:3" x14ac:dyDescent="0.3">
      <c r="A461" t="s">
        <v>45</v>
      </c>
      <c r="B461" t="s">
        <v>95</v>
      </c>
      <c r="C461">
        <v>0</v>
      </c>
    </row>
    <row r="462" spans="1:3" x14ac:dyDescent="0.3">
      <c r="A462" t="s">
        <v>45</v>
      </c>
      <c r="B462" t="s">
        <v>24</v>
      </c>
      <c r="C462">
        <v>0</v>
      </c>
    </row>
    <row r="463" spans="1:3" x14ac:dyDescent="0.3">
      <c r="A463" t="s">
        <v>45</v>
      </c>
      <c r="B463" t="s">
        <v>89</v>
      </c>
      <c r="C463">
        <v>0</v>
      </c>
    </row>
    <row r="464" spans="1:3" x14ac:dyDescent="0.3">
      <c r="A464" t="s">
        <v>45</v>
      </c>
      <c r="B464" t="s">
        <v>300</v>
      </c>
      <c r="C464">
        <v>0</v>
      </c>
    </row>
    <row r="465" spans="1:3" x14ac:dyDescent="0.3">
      <c r="A465" t="s">
        <v>45</v>
      </c>
      <c r="B465" t="s">
        <v>25</v>
      </c>
      <c r="C465">
        <v>0</v>
      </c>
    </row>
    <row r="466" spans="1:3" x14ac:dyDescent="0.3">
      <c r="A466" t="s">
        <v>45</v>
      </c>
      <c r="B466" t="s">
        <v>150</v>
      </c>
      <c r="C466">
        <v>0</v>
      </c>
    </row>
    <row r="467" spans="1:3" x14ac:dyDescent="0.3">
      <c r="A467" t="s">
        <v>45</v>
      </c>
      <c r="B467" t="s">
        <v>144</v>
      </c>
      <c r="C467">
        <v>0</v>
      </c>
    </row>
    <row r="468" spans="1:3" x14ac:dyDescent="0.3">
      <c r="A468" t="s">
        <v>45</v>
      </c>
      <c r="B468" t="s">
        <v>37</v>
      </c>
      <c r="C468">
        <v>0</v>
      </c>
    </row>
    <row r="469" spans="1:3" x14ac:dyDescent="0.3">
      <c r="A469" t="s">
        <v>45</v>
      </c>
      <c r="B469" t="s">
        <v>124</v>
      </c>
      <c r="C469">
        <v>0</v>
      </c>
    </row>
    <row r="470" spans="1:3" x14ac:dyDescent="0.3">
      <c r="A470" t="s">
        <v>45</v>
      </c>
      <c r="B470" t="s">
        <v>222</v>
      </c>
      <c r="C470">
        <v>0</v>
      </c>
    </row>
    <row r="471" spans="1:3" x14ac:dyDescent="0.3">
      <c r="A471" t="s">
        <v>45</v>
      </c>
      <c r="B471" t="s">
        <v>214</v>
      </c>
      <c r="C471">
        <v>0</v>
      </c>
    </row>
    <row r="472" spans="1:3" x14ac:dyDescent="0.3">
      <c r="A472" t="s">
        <v>45</v>
      </c>
      <c r="B472" t="s">
        <v>59</v>
      </c>
      <c r="C472">
        <v>0</v>
      </c>
    </row>
    <row r="473" spans="1:3" x14ac:dyDescent="0.3">
      <c r="A473" t="s">
        <v>45</v>
      </c>
      <c r="B473" t="s">
        <v>156</v>
      </c>
      <c r="C473">
        <v>0</v>
      </c>
    </row>
    <row r="474" spans="1:3" x14ac:dyDescent="0.3">
      <c r="A474" t="s">
        <v>45</v>
      </c>
      <c r="B474" t="s">
        <v>19</v>
      </c>
      <c r="C474">
        <v>0</v>
      </c>
    </row>
    <row r="475" spans="1:3" x14ac:dyDescent="0.3">
      <c r="A475" t="s">
        <v>45</v>
      </c>
      <c r="B475" t="s">
        <v>52</v>
      </c>
      <c r="C475">
        <v>0</v>
      </c>
    </row>
    <row r="476" spans="1:3" x14ac:dyDescent="0.3">
      <c r="A476" t="s">
        <v>45</v>
      </c>
      <c r="B476" t="s">
        <v>174</v>
      </c>
      <c r="C476">
        <v>0</v>
      </c>
    </row>
    <row r="477" spans="1:3" x14ac:dyDescent="0.3">
      <c r="A477" t="s">
        <v>45</v>
      </c>
      <c r="B477" t="s">
        <v>107</v>
      </c>
      <c r="C477">
        <v>0</v>
      </c>
    </row>
    <row r="478" spans="1:3" x14ac:dyDescent="0.3">
      <c r="A478" t="s">
        <v>45</v>
      </c>
      <c r="B478" t="s">
        <v>227</v>
      </c>
      <c r="C478">
        <v>0</v>
      </c>
    </row>
    <row r="479" spans="1:3" x14ac:dyDescent="0.3">
      <c r="A479" t="s">
        <v>45</v>
      </c>
      <c r="B479" t="s">
        <v>205</v>
      </c>
      <c r="C479">
        <v>0</v>
      </c>
    </row>
    <row r="480" spans="1:3" x14ac:dyDescent="0.3">
      <c r="A480" t="s">
        <v>45</v>
      </c>
      <c r="B480" t="s">
        <v>97</v>
      </c>
      <c r="C480">
        <v>0</v>
      </c>
    </row>
    <row r="481" spans="1:3" x14ac:dyDescent="0.3">
      <c r="A481" t="s">
        <v>45</v>
      </c>
      <c r="B481" t="s">
        <v>11</v>
      </c>
      <c r="C481">
        <v>0</v>
      </c>
    </row>
    <row r="482" spans="1:3" x14ac:dyDescent="0.3">
      <c r="A482" t="s">
        <v>45</v>
      </c>
      <c r="B482" t="s">
        <v>181</v>
      </c>
      <c r="C482">
        <v>0</v>
      </c>
    </row>
    <row r="483" spans="1:3" x14ac:dyDescent="0.3">
      <c r="A483" t="s">
        <v>45</v>
      </c>
      <c r="B483" t="s">
        <v>247</v>
      </c>
      <c r="C483">
        <v>0</v>
      </c>
    </row>
    <row r="484" spans="1:3" x14ac:dyDescent="0.3">
      <c r="A484" t="s">
        <v>45</v>
      </c>
      <c r="B484" t="s">
        <v>69</v>
      </c>
      <c r="C484">
        <v>0</v>
      </c>
    </row>
    <row r="485" spans="1:3" x14ac:dyDescent="0.3">
      <c r="A485" t="s">
        <v>45</v>
      </c>
      <c r="B485" t="s">
        <v>60</v>
      </c>
      <c r="C485">
        <v>0</v>
      </c>
    </row>
    <row r="486" spans="1:3" x14ac:dyDescent="0.3">
      <c r="A486" t="s">
        <v>45</v>
      </c>
      <c r="B486" t="s">
        <v>258</v>
      </c>
      <c r="C486">
        <v>0</v>
      </c>
    </row>
    <row r="487" spans="1:3" x14ac:dyDescent="0.3">
      <c r="A487" t="s">
        <v>45</v>
      </c>
      <c r="B487" t="s">
        <v>101</v>
      </c>
      <c r="C487">
        <v>0</v>
      </c>
    </row>
    <row r="488" spans="1:3" x14ac:dyDescent="0.3">
      <c r="A488" t="s">
        <v>45</v>
      </c>
      <c r="B488" t="s">
        <v>171</v>
      </c>
      <c r="C488">
        <v>0</v>
      </c>
    </row>
    <row r="489" spans="1:3" x14ac:dyDescent="0.3">
      <c r="A489" t="s">
        <v>45</v>
      </c>
      <c r="B489" t="s">
        <v>324</v>
      </c>
      <c r="C489">
        <v>0</v>
      </c>
    </row>
    <row r="490" spans="1:3" x14ac:dyDescent="0.3">
      <c r="A490" t="s">
        <v>45</v>
      </c>
      <c r="B490" t="s">
        <v>154</v>
      </c>
      <c r="C490">
        <v>0</v>
      </c>
    </row>
    <row r="491" spans="1:3" x14ac:dyDescent="0.3">
      <c r="A491" t="s">
        <v>45</v>
      </c>
      <c r="B491" t="s">
        <v>380</v>
      </c>
      <c r="C491">
        <v>0</v>
      </c>
    </row>
    <row r="492" spans="1:3" x14ac:dyDescent="0.3">
      <c r="A492" t="s">
        <v>45</v>
      </c>
      <c r="B492" t="s">
        <v>169</v>
      </c>
      <c r="C492">
        <v>0</v>
      </c>
    </row>
    <row r="493" spans="1:3" x14ac:dyDescent="0.3">
      <c r="A493" t="s">
        <v>45</v>
      </c>
      <c r="B493" t="s">
        <v>141</v>
      </c>
      <c r="C493">
        <v>0</v>
      </c>
    </row>
    <row r="494" spans="1:3" x14ac:dyDescent="0.3">
      <c r="A494" t="s">
        <v>45</v>
      </c>
      <c r="B494" t="s">
        <v>149</v>
      </c>
      <c r="C494">
        <v>0</v>
      </c>
    </row>
    <row r="495" spans="1:3" x14ac:dyDescent="0.3">
      <c r="A495" t="s">
        <v>45</v>
      </c>
      <c r="B495" t="s">
        <v>70</v>
      </c>
      <c r="C495">
        <v>0</v>
      </c>
    </row>
    <row r="496" spans="1:3" x14ac:dyDescent="0.3">
      <c r="A496" t="s">
        <v>45</v>
      </c>
      <c r="B496" t="s">
        <v>15</v>
      </c>
      <c r="C496">
        <v>0</v>
      </c>
    </row>
    <row r="497" spans="1:3" x14ac:dyDescent="0.3">
      <c r="A497" t="s">
        <v>45</v>
      </c>
      <c r="B497" t="s">
        <v>92</v>
      </c>
      <c r="C497">
        <v>0</v>
      </c>
    </row>
    <row r="498" spans="1:3" x14ac:dyDescent="0.3">
      <c r="A498" t="s">
        <v>45</v>
      </c>
      <c r="B498" t="s">
        <v>109</v>
      </c>
      <c r="C498">
        <v>0</v>
      </c>
    </row>
    <row r="499" spans="1:3" x14ac:dyDescent="0.3">
      <c r="A499" t="s">
        <v>45</v>
      </c>
      <c r="B499" t="s">
        <v>194</v>
      </c>
      <c r="C499">
        <v>0</v>
      </c>
    </row>
    <row r="500" spans="1:3" x14ac:dyDescent="0.3">
      <c r="A500" t="s">
        <v>45</v>
      </c>
      <c r="B500" t="s">
        <v>77</v>
      </c>
      <c r="C500">
        <v>0</v>
      </c>
    </row>
    <row r="501" spans="1:3" x14ac:dyDescent="0.3">
      <c r="A501" t="s">
        <v>45</v>
      </c>
      <c r="B501" t="s">
        <v>135</v>
      </c>
      <c r="C501">
        <v>0</v>
      </c>
    </row>
    <row r="502" spans="1:3" x14ac:dyDescent="0.3">
      <c r="A502" t="s">
        <v>45</v>
      </c>
      <c r="B502" t="s">
        <v>180</v>
      </c>
      <c r="C502">
        <v>0</v>
      </c>
    </row>
    <row r="503" spans="1:3" x14ac:dyDescent="0.3">
      <c r="A503" t="s">
        <v>45</v>
      </c>
      <c r="B503" t="s">
        <v>99</v>
      </c>
      <c r="C503">
        <v>0</v>
      </c>
    </row>
    <row r="504" spans="1:3" x14ac:dyDescent="0.3">
      <c r="A504" t="s">
        <v>45</v>
      </c>
      <c r="B504" t="s">
        <v>332</v>
      </c>
      <c r="C504">
        <v>0</v>
      </c>
    </row>
    <row r="505" spans="1:3" x14ac:dyDescent="0.3">
      <c r="A505" t="s">
        <v>45</v>
      </c>
      <c r="B505" t="s">
        <v>117</v>
      </c>
      <c r="C505">
        <v>0</v>
      </c>
    </row>
    <row r="506" spans="1:3" x14ac:dyDescent="0.3">
      <c r="A506" t="s">
        <v>45</v>
      </c>
      <c r="B506" t="s">
        <v>122</v>
      </c>
      <c r="C506">
        <v>0</v>
      </c>
    </row>
    <row r="507" spans="1:3" x14ac:dyDescent="0.3">
      <c r="A507" t="s">
        <v>45</v>
      </c>
      <c r="B507" t="s">
        <v>311</v>
      </c>
      <c r="C507">
        <v>0</v>
      </c>
    </row>
    <row r="508" spans="1:3" x14ac:dyDescent="0.3">
      <c r="A508" t="s">
        <v>45</v>
      </c>
      <c r="B508" t="s">
        <v>35</v>
      </c>
      <c r="C508">
        <v>0</v>
      </c>
    </row>
    <row r="509" spans="1:3" x14ac:dyDescent="0.3">
      <c r="A509" t="s">
        <v>45</v>
      </c>
      <c r="B509" t="s">
        <v>217</v>
      </c>
      <c r="C509">
        <v>0</v>
      </c>
    </row>
    <row r="510" spans="1:3" x14ac:dyDescent="0.3">
      <c r="A510" t="s">
        <v>45</v>
      </c>
      <c r="B510" t="s">
        <v>100</v>
      </c>
      <c r="C510">
        <v>0</v>
      </c>
    </row>
    <row r="511" spans="1:3" x14ac:dyDescent="0.3">
      <c r="A511" t="s">
        <v>45</v>
      </c>
      <c r="B511" t="s">
        <v>192</v>
      </c>
      <c r="C511">
        <v>0</v>
      </c>
    </row>
    <row r="512" spans="1:3" x14ac:dyDescent="0.3">
      <c r="A512" t="s">
        <v>45</v>
      </c>
      <c r="B512" t="s">
        <v>87</v>
      </c>
      <c r="C512">
        <v>0</v>
      </c>
    </row>
    <row r="513" spans="1:3" x14ac:dyDescent="0.3">
      <c r="A513" t="s">
        <v>50</v>
      </c>
      <c r="B513" t="s">
        <v>305</v>
      </c>
      <c r="C513">
        <v>0</v>
      </c>
    </row>
    <row r="514" spans="1:3" x14ac:dyDescent="0.3">
      <c r="A514" t="s">
        <v>50</v>
      </c>
      <c r="B514" t="s">
        <v>71</v>
      </c>
      <c r="C514">
        <v>0</v>
      </c>
    </row>
    <row r="515" spans="1:3" x14ac:dyDescent="0.3">
      <c r="A515" t="s">
        <v>50</v>
      </c>
      <c r="B515" t="s">
        <v>89</v>
      </c>
      <c r="C515">
        <v>0</v>
      </c>
    </row>
    <row r="516" spans="1:3" x14ac:dyDescent="0.3">
      <c r="A516" t="s">
        <v>50</v>
      </c>
      <c r="B516" t="s">
        <v>412</v>
      </c>
      <c r="C516">
        <v>0</v>
      </c>
    </row>
    <row r="517" spans="1:3" x14ac:dyDescent="0.3">
      <c r="A517" t="s">
        <v>50</v>
      </c>
      <c r="B517" t="s">
        <v>103</v>
      </c>
      <c r="C517">
        <v>0</v>
      </c>
    </row>
    <row r="518" spans="1:3" x14ac:dyDescent="0.3">
      <c r="A518" t="s">
        <v>50</v>
      </c>
      <c r="B518" t="s">
        <v>300</v>
      </c>
      <c r="C518">
        <v>0</v>
      </c>
    </row>
    <row r="519" spans="1:3" x14ac:dyDescent="0.3">
      <c r="A519" t="s">
        <v>50</v>
      </c>
      <c r="B519" t="s">
        <v>238</v>
      </c>
      <c r="C519">
        <v>0</v>
      </c>
    </row>
    <row r="520" spans="1:3" x14ac:dyDescent="0.3">
      <c r="A520" t="s">
        <v>50</v>
      </c>
      <c r="B520" t="s">
        <v>63</v>
      </c>
      <c r="C520">
        <v>0</v>
      </c>
    </row>
    <row r="521" spans="1:3" x14ac:dyDescent="0.3">
      <c r="A521" t="s">
        <v>50</v>
      </c>
      <c r="B521" t="s">
        <v>251</v>
      </c>
      <c r="C521">
        <v>0</v>
      </c>
    </row>
    <row r="522" spans="1:3" x14ac:dyDescent="0.3">
      <c r="A522" t="s">
        <v>50</v>
      </c>
      <c r="B522" t="s">
        <v>37</v>
      </c>
      <c r="C522">
        <v>0</v>
      </c>
    </row>
    <row r="523" spans="1:3" x14ac:dyDescent="0.3">
      <c r="A523" t="s">
        <v>50</v>
      </c>
      <c r="B523" t="s">
        <v>83</v>
      </c>
      <c r="C523">
        <v>0</v>
      </c>
    </row>
    <row r="524" spans="1:3" x14ac:dyDescent="0.3">
      <c r="A524" t="s">
        <v>50</v>
      </c>
      <c r="B524" t="s">
        <v>284</v>
      </c>
      <c r="C524">
        <v>0</v>
      </c>
    </row>
    <row r="525" spans="1:3" x14ac:dyDescent="0.3">
      <c r="A525" t="s">
        <v>50</v>
      </c>
      <c r="B525" t="s">
        <v>74</v>
      </c>
      <c r="C525">
        <v>0</v>
      </c>
    </row>
    <row r="526" spans="1:3" x14ac:dyDescent="0.3">
      <c r="A526" t="s">
        <v>50</v>
      </c>
      <c r="B526" t="s">
        <v>279</v>
      </c>
      <c r="C526">
        <v>0</v>
      </c>
    </row>
    <row r="527" spans="1:3" x14ac:dyDescent="0.3">
      <c r="A527" t="s">
        <v>50</v>
      </c>
      <c r="B527" t="s">
        <v>209</v>
      </c>
      <c r="C527">
        <v>0</v>
      </c>
    </row>
    <row r="528" spans="1:3" x14ac:dyDescent="0.3">
      <c r="A528" t="s">
        <v>50</v>
      </c>
      <c r="B528" t="s">
        <v>54</v>
      </c>
      <c r="C528">
        <v>0</v>
      </c>
    </row>
    <row r="529" spans="1:3" x14ac:dyDescent="0.3">
      <c r="A529" t="s">
        <v>50</v>
      </c>
      <c r="B529" t="s">
        <v>244</v>
      </c>
      <c r="C529">
        <v>0</v>
      </c>
    </row>
    <row r="530" spans="1:3" x14ac:dyDescent="0.3">
      <c r="A530" t="s">
        <v>50</v>
      </c>
      <c r="B530" t="s">
        <v>252</v>
      </c>
      <c r="C530">
        <v>0</v>
      </c>
    </row>
    <row r="531" spans="1:3" x14ac:dyDescent="0.3">
      <c r="A531" t="s">
        <v>50</v>
      </c>
      <c r="B531" t="s">
        <v>185</v>
      </c>
      <c r="C531">
        <v>0</v>
      </c>
    </row>
    <row r="532" spans="1:3" x14ac:dyDescent="0.3">
      <c r="A532" t="s">
        <v>50</v>
      </c>
      <c r="B532" t="s">
        <v>225</v>
      </c>
      <c r="C532">
        <v>0</v>
      </c>
    </row>
    <row r="533" spans="1:3" x14ac:dyDescent="0.3">
      <c r="A533" t="s">
        <v>50</v>
      </c>
      <c r="B533" t="s">
        <v>43</v>
      </c>
      <c r="C533">
        <v>0</v>
      </c>
    </row>
    <row r="534" spans="1:3" x14ac:dyDescent="0.3">
      <c r="A534" t="s">
        <v>50</v>
      </c>
      <c r="B534" t="s">
        <v>276</v>
      </c>
      <c r="C534">
        <v>0</v>
      </c>
    </row>
    <row r="535" spans="1:3" x14ac:dyDescent="0.3">
      <c r="A535" t="s">
        <v>50</v>
      </c>
      <c r="B535" t="s">
        <v>302</v>
      </c>
      <c r="C535">
        <v>0</v>
      </c>
    </row>
    <row r="536" spans="1:3" x14ac:dyDescent="0.3">
      <c r="A536" t="s">
        <v>50</v>
      </c>
      <c r="B536" t="s">
        <v>49</v>
      </c>
      <c r="C536">
        <v>0</v>
      </c>
    </row>
    <row r="537" spans="1:3" x14ac:dyDescent="0.3">
      <c r="A537" t="s">
        <v>50</v>
      </c>
      <c r="B537" t="s">
        <v>156</v>
      </c>
      <c r="C537">
        <v>0</v>
      </c>
    </row>
    <row r="538" spans="1:3" x14ac:dyDescent="0.3">
      <c r="A538" t="s">
        <v>50</v>
      </c>
      <c r="B538" t="s">
        <v>131</v>
      </c>
      <c r="C538">
        <v>0</v>
      </c>
    </row>
    <row r="539" spans="1:3" x14ac:dyDescent="0.3">
      <c r="A539" t="s">
        <v>50</v>
      </c>
      <c r="B539" t="s">
        <v>19</v>
      </c>
      <c r="C539">
        <v>0</v>
      </c>
    </row>
    <row r="540" spans="1:3" x14ac:dyDescent="0.3">
      <c r="A540" t="s">
        <v>50</v>
      </c>
      <c r="B540" t="s">
        <v>146</v>
      </c>
      <c r="C540">
        <v>0</v>
      </c>
    </row>
    <row r="541" spans="1:3" x14ac:dyDescent="0.3">
      <c r="A541" t="s">
        <v>50</v>
      </c>
      <c r="B541" t="s">
        <v>174</v>
      </c>
      <c r="C541">
        <v>0</v>
      </c>
    </row>
    <row r="542" spans="1:3" x14ac:dyDescent="0.3">
      <c r="A542" t="s">
        <v>50</v>
      </c>
      <c r="B542" t="s">
        <v>84</v>
      </c>
      <c r="C542">
        <v>0</v>
      </c>
    </row>
    <row r="543" spans="1:3" x14ac:dyDescent="0.3">
      <c r="A543" t="s">
        <v>50</v>
      </c>
      <c r="B543" t="s">
        <v>270</v>
      </c>
      <c r="C543">
        <v>0</v>
      </c>
    </row>
    <row r="544" spans="1:3" x14ac:dyDescent="0.3">
      <c r="A544" t="s">
        <v>50</v>
      </c>
      <c r="B544" t="s">
        <v>205</v>
      </c>
      <c r="C544">
        <v>0</v>
      </c>
    </row>
    <row r="545" spans="1:3" x14ac:dyDescent="0.3">
      <c r="A545" t="s">
        <v>50</v>
      </c>
      <c r="B545" t="s">
        <v>181</v>
      </c>
      <c r="C545">
        <v>0</v>
      </c>
    </row>
    <row r="546" spans="1:3" x14ac:dyDescent="0.3">
      <c r="A546" t="s">
        <v>50</v>
      </c>
      <c r="B546" t="s">
        <v>105</v>
      </c>
      <c r="C546">
        <v>0</v>
      </c>
    </row>
    <row r="547" spans="1:3" x14ac:dyDescent="0.3">
      <c r="A547" t="s">
        <v>50</v>
      </c>
      <c r="B547" t="s">
        <v>69</v>
      </c>
      <c r="C547">
        <v>0</v>
      </c>
    </row>
    <row r="548" spans="1:3" x14ac:dyDescent="0.3">
      <c r="A548" t="s">
        <v>50</v>
      </c>
      <c r="B548" t="s">
        <v>290</v>
      </c>
      <c r="C548">
        <v>0</v>
      </c>
    </row>
    <row r="549" spans="1:3" x14ac:dyDescent="0.3">
      <c r="A549" t="s">
        <v>50</v>
      </c>
      <c r="B549" t="s">
        <v>27</v>
      </c>
      <c r="C549">
        <v>0</v>
      </c>
    </row>
    <row r="550" spans="1:3" x14ac:dyDescent="0.3">
      <c r="A550" t="s">
        <v>50</v>
      </c>
      <c r="B550" t="s">
        <v>154</v>
      </c>
      <c r="C550">
        <v>0</v>
      </c>
    </row>
    <row r="551" spans="1:3" x14ac:dyDescent="0.3">
      <c r="A551" t="s">
        <v>50</v>
      </c>
      <c r="B551" t="s">
        <v>169</v>
      </c>
      <c r="C551">
        <v>0</v>
      </c>
    </row>
    <row r="552" spans="1:3" x14ac:dyDescent="0.3">
      <c r="A552" t="s">
        <v>50</v>
      </c>
      <c r="B552" t="s">
        <v>149</v>
      </c>
      <c r="C552">
        <v>0</v>
      </c>
    </row>
    <row r="553" spans="1:3" x14ac:dyDescent="0.3">
      <c r="A553" t="s">
        <v>50</v>
      </c>
      <c r="B553" t="s">
        <v>78</v>
      </c>
      <c r="C553">
        <v>0</v>
      </c>
    </row>
    <row r="554" spans="1:3" x14ac:dyDescent="0.3">
      <c r="A554" t="s">
        <v>50</v>
      </c>
      <c r="B554" t="s">
        <v>92</v>
      </c>
      <c r="C554">
        <v>0</v>
      </c>
    </row>
    <row r="555" spans="1:3" x14ac:dyDescent="0.3">
      <c r="A555" t="s">
        <v>50</v>
      </c>
      <c r="B555" t="s">
        <v>234</v>
      </c>
      <c r="C555">
        <v>0</v>
      </c>
    </row>
    <row r="556" spans="1:3" x14ac:dyDescent="0.3">
      <c r="A556" t="s">
        <v>50</v>
      </c>
      <c r="B556" t="s">
        <v>167</v>
      </c>
      <c r="C556">
        <v>0</v>
      </c>
    </row>
    <row r="557" spans="1:3" x14ac:dyDescent="0.3">
      <c r="A557" t="s">
        <v>50</v>
      </c>
      <c r="B557" t="s">
        <v>268</v>
      </c>
      <c r="C557">
        <v>0</v>
      </c>
    </row>
    <row r="558" spans="1:3" x14ac:dyDescent="0.3">
      <c r="A558" t="s">
        <v>50</v>
      </c>
      <c r="B558" t="s">
        <v>245</v>
      </c>
      <c r="C558">
        <v>0</v>
      </c>
    </row>
    <row r="559" spans="1:3" x14ac:dyDescent="0.3">
      <c r="A559" t="s">
        <v>50</v>
      </c>
      <c r="B559" t="s">
        <v>9</v>
      </c>
      <c r="C559">
        <v>0</v>
      </c>
    </row>
    <row r="560" spans="1:3" x14ac:dyDescent="0.3">
      <c r="A560" t="s">
        <v>50</v>
      </c>
      <c r="B560" t="s">
        <v>77</v>
      </c>
      <c r="C560">
        <v>0</v>
      </c>
    </row>
    <row r="561" spans="1:3" x14ac:dyDescent="0.3">
      <c r="A561" t="s">
        <v>50</v>
      </c>
      <c r="B561" t="s">
        <v>110</v>
      </c>
      <c r="C561">
        <v>0</v>
      </c>
    </row>
    <row r="562" spans="1:3" x14ac:dyDescent="0.3">
      <c r="A562" t="s">
        <v>50</v>
      </c>
      <c r="B562" t="s">
        <v>318</v>
      </c>
      <c r="C562">
        <v>0</v>
      </c>
    </row>
    <row r="563" spans="1:3" x14ac:dyDescent="0.3">
      <c r="A563" t="s">
        <v>50</v>
      </c>
      <c r="B563" t="s">
        <v>127</v>
      </c>
      <c r="C563">
        <v>0</v>
      </c>
    </row>
    <row r="564" spans="1:3" x14ac:dyDescent="0.3">
      <c r="A564" t="s">
        <v>50</v>
      </c>
      <c r="B564" t="s">
        <v>165</v>
      </c>
      <c r="C564">
        <v>0</v>
      </c>
    </row>
    <row r="565" spans="1:3" x14ac:dyDescent="0.3">
      <c r="A565" t="s">
        <v>50</v>
      </c>
      <c r="B565" t="s">
        <v>207</v>
      </c>
      <c r="C565">
        <v>0</v>
      </c>
    </row>
    <row r="566" spans="1:3" x14ac:dyDescent="0.3">
      <c r="A566" t="s">
        <v>50</v>
      </c>
      <c r="B566" t="s">
        <v>182</v>
      </c>
      <c r="C566">
        <v>0</v>
      </c>
    </row>
    <row r="567" spans="1:3" x14ac:dyDescent="0.3">
      <c r="A567" t="s">
        <v>50</v>
      </c>
      <c r="B567" t="s">
        <v>338</v>
      </c>
      <c r="C567">
        <v>0</v>
      </c>
    </row>
    <row r="568" spans="1:3" x14ac:dyDescent="0.3">
      <c r="A568" t="s">
        <v>50</v>
      </c>
      <c r="B568" t="s">
        <v>217</v>
      </c>
      <c r="C568">
        <v>0</v>
      </c>
    </row>
    <row r="569" spans="1:3" x14ac:dyDescent="0.3">
      <c r="A569" t="s">
        <v>50</v>
      </c>
      <c r="B569" t="s">
        <v>88</v>
      </c>
      <c r="C569">
        <v>0</v>
      </c>
    </row>
    <row r="570" spans="1:3" x14ac:dyDescent="0.3">
      <c r="A570" t="s">
        <v>50</v>
      </c>
      <c r="B570" t="s">
        <v>100</v>
      </c>
      <c r="C570">
        <v>0</v>
      </c>
    </row>
    <row r="571" spans="1:3" x14ac:dyDescent="0.3">
      <c r="A571" t="s">
        <v>50</v>
      </c>
      <c r="B571" t="s">
        <v>34</v>
      </c>
      <c r="C571">
        <v>0</v>
      </c>
    </row>
    <row r="572" spans="1:3" x14ac:dyDescent="0.3">
      <c r="A572" t="s">
        <v>50</v>
      </c>
      <c r="B572" t="s">
        <v>41</v>
      </c>
      <c r="C572">
        <v>0</v>
      </c>
    </row>
    <row r="573" spans="1:3" x14ac:dyDescent="0.3">
      <c r="A573" t="s">
        <v>50</v>
      </c>
      <c r="B573" t="s">
        <v>199</v>
      </c>
      <c r="C573">
        <v>0</v>
      </c>
    </row>
    <row r="574" spans="1:3" x14ac:dyDescent="0.3">
      <c r="A574" t="s">
        <v>50</v>
      </c>
      <c r="B574" t="s">
        <v>87</v>
      </c>
      <c r="C574">
        <v>0</v>
      </c>
    </row>
    <row r="575" spans="1:3" x14ac:dyDescent="0.3">
      <c r="A575" t="s">
        <v>12</v>
      </c>
      <c r="B575" t="s">
        <v>263</v>
      </c>
      <c r="C575">
        <v>0</v>
      </c>
    </row>
    <row r="576" spans="1:3" x14ac:dyDescent="0.3">
      <c r="A576" t="s">
        <v>12</v>
      </c>
      <c r="B576" t="s">
        <v>221</v>
      </c>
      <c r="C576">
        <v>0</v>
      </c>
    </row>
    <row r="577" spans="1:3" x14ac:dyDescent="0.3">
      <c r="A577" t="s">
        <v>12</v>
      </c>
      <c r="B577" t="s">
        <v>173</v>
      </c>
      <c r="C577">
        <v>0</v>
      </c>
    </row>
    <row r="578" spans="1:3" x14ac:dyDescent="0.3">
      <c r="A578" t="s">
        <v>12</v>
      </c>
      <c r="B578" t="s">
        <v>136</v>
      </c>
      <c r="C578">
        <v>0</v>
      </c>
    </row>
    <row r="579" spans="1:3" x14ac:dyDescent="0.3">
      <c r="A579" t="s">
        <v>12</v>
      </c>
      <c r="B579" t="s">
        <v>13</v>
      </c>
      <c r="C579">
        <v>0</v>
      </c>
    </row>
    <row r="580" spans="1:3" x14ac:dyDescent="0.3">
      <c r="A580" t="s">
        <v>12</v>
      </c>
      <c r="B580" t="s">
        <v>244</v>
      </c>
      <c r="C580">
        <v>0</v>
      </c>
    </row>
    <row r="581" spans="1:3" x14ac:dyDescent="0.3">
      <c r="A581" t="s">
        <v>12</v>
      </c>
      <c r="B581" t="s">
        <v>178</v>
      </c>
      <c r="C581">
        <v>0</v>
      </c>
    </row>
    <row r="582" spans="1:3" x14ac:dyDescent="0.3">
      <c r="A582" t="s">
        <v>12</v>
      </c>
      <c r="B582" t="s">
        <v>185</v>
      </c>
      <c r="C582">
        <v>0</v>
      </c>
    </row>
    <row r="583" spans="1:3" x14ac:dyDescent="0.3">
      <c r="A583" t="s">
        <v>12</v>
      </c>
      <c r="B583" t="s">
        <v>49</v>
      </c>
      <c r="C583">
        <v>0</v>
      </c>
    </row>
    <row r="584" spans="1:3" x14ac:dyDescent="0.3">
      <c r="A584" t="s">
        <v>12</v>
      </c>
      <c r="B584" t="s">
        <v>183</v>
      </c>
      <c r="C584">
        <v>0</v>
      </c>
    </row>
    <row r="585" spans="1:3" x14ac:dyDescent="0.3">
      <c r="A585" t="s">
        <v>12</v>
      </c>
      <c r="B585" t="s">
        <v>156</v>
      </c>
      <c r="C585">
        <v>0</v>
      </c>
    </row>
    <row r="586" spans="1:3" x14ac:dyDescent="0.3">
      <c r="A586" t="s">
        <v>12</v>
      </c>
      <c r="B586" t="s">
        <v>75</v>
      </c>
      <c r="C586">
        <v>0</v>
      </c>
    </row>
    <row r="587" spans="1:3" x14ac:dyDescent="0.3">
      <c r="A587" t="s">
        <v>12</v>
      </c>
      <c r="B587" t="s">
        <v>19</v>
      </c>
      <c r="C587">
        <v>0</v>
      </c>
    </row>
    <row r="588" spans="1:3" x14ac:dyDescent="0.3">
      <c r="A588" t="s">
        <v>12</v>
      </c>
      <c r="B588" t="s">
        <v>52</v>
      </c>
      <c r="C588">
        <v>0</v>
      </c>
    </row>
    <row r="589" spans="1:3" x14ac:dyDescent="0.3">
      <c r="A589" t="s">
        <v>12</v>
      </c>
      <c r="B589" t="s">
        <v>146</v>
      </c>
      <c r="C589">
        <v>0</v>
      </c>
    </row>
    <row r="590" spans="1:3" x14ac:dyDescent="0.3">
      <c r="A590" t="s">
        <v>12</v>
      </c>
      <c r="B590" t="s">
        <v>115</v>
      </c>
      <c r="C590">
        <v>0</v>
      </c>
    </row>
    <row r="591" spans="1:3" x14ac:dyDescent="0.3">
      <c r="A591" t="s">
        <v>12</v>
      </c>
      <c r="B591" t="s">
        <v>126</v>
      </c>
      <c r="C591">
        <v>0</v>
      </c>
    </row>
    <row r="592" spans="1:3" x14ac:dyDescent="0.3">
      <c r="A592" t="s">
        <v>12</v>
      </c>
      <c r="B592" t="s">
        <v>97</v>
      </c>
      <c r="C592">
        <v>0</v>
      </c>
    </row>
    <row r="593" spans="1:3" x14ac:dyDescent="0.3">
      <c r="A593" t="s">
        <v>12</v>
      </c>
      <c r="B593" t="s">
        <v>105</v>
      </c>
      <c r="C593">
        <v>0</v>
      </c>
    </row>
    <row r="594" spans="1:3" x14ac:dyDescent="0.3">
      <c r="A594" t="s">
        <v>12</v>
      </c>
      <c r="B594" t="s">
        <v>195</v>
      </c>
      <c r="C594">
        <v>0</v>
      </c>
    </row>
    <row r="595" spans="1:3" x14ac:dyDescent="0.3">
      <c r="A595" t="s">
        <v>12</v>
      </c>
      <c r="B595" t="s">
        <v>30</v>
      </c>
      <c r="C595">
        <v>0</v>
      </c>
    </row>
    <row r="596" spans="1:3" x14ac:dyDescent="0.3">
      <c r="A596" t="s">
        <v>12</v>
      </c>
      <c r="B596" t="s">
        <v>116</v>
      </c>
      <c r="C596">
        <v>0</v>
      </c>
    </row>
    <row r="597" spans="1:3" x14ac:dyDescent="0.3">
      <c r="A597" t="s">
        <v>12</v>
      </c>
      <c r="B597" t="s">
        <v>27</v>
      </c>
      <c r="C597">
        <v>0</v>
      </c>
    </row>
    <row r="598" spans="1:3" x14ac:dyDescent="0.3">
      <c r="A598" t="s">
        <v>12</v>
      </c>
      <c r="B598" t="s">
        <v>141</v>
      </c>
      <c r="C598">
        <v>0</v>
      </c>
    </row>
    <row r="599" spans="1:3" x14ac:dyDescent="0.3">
      <c r="A599" t="s">
        <v>12</v>
      </c>
      <c r="B599" t="s">
        <v>190</v>
      </c>
      <c r="C599">
        <v>0</v>
      </c>
    </row>
    <row r="600" spans="1:3" x14ac:dyDescent="0.3">
      <c r="A600" t="s">
        <v>12</v>
      </c>
      <c r="B600" t="s">
        <v>66</v>
      </c>
      <c r="C600">
        <v>0</v>
      </c>
    </row>
    <row r="601" spans="1:3" x14ac:dyDescent="0.3">
      <c r="A601" t="s">
        <v>12</v>
      </c>
      <c r="B601" t="s">
        <v>70</v>
      </c>
      <c r="C601">
        <v>0</v>
      </c>
    </row>
    <row r="602" spans="1:3" x14ac:dyDescent="0.3">
      <c r="A602" t="s">
        <v>12</v>
      </c>
      <c r="B602" t="s">
        <v>32</v>
      </c>
      <c r="C602">
        <v>0</v>
      </c>
    </row>
    <row r="603" spans="1:3" x14ac:dyDescent="0.3">
      <c r="A603" t="s">
        <v>12</v>
      </c>
      <c r="B603" t="s">
        <v>23</v>
      </c>
      <c r="C603">
        <v>0</v>
      </c>
    </row>
    <row r="604" spans="1:3" x14ac:dyDescent="0.3">
      <c r="A604" t="s">
        <v>12</v>
      </c>
      <c r="B604" t="s">
        <v>92</v>
      </c>
      <c r="C604">
        <v>0</v>
      </c>
    </row>
    <row r="605" spans="1:3" x14ac:dyDescent="0.3">
      <c r="A605" t="s">
        <v>12</v>
      </c>
      <c r="B605" t="s">
        <v>234</v>
      </c>
      <c r="C605">
        <v>0</v>
      </c>
    </row>
    <row r="606" spans="1:3" x14ac:dyDescent="0.3">
      <c r="A606" t="s">
        <v>12</v>
      </c>
      <c r="B606" t="s">
        <v>106</v>
      </c>
      <c r="C606">
        <v>0</v>
      </c>
    </row>
    <row r="607" spans="1:3" x14ac:dyDescent="0.3">
      <c r="A607" t="s">
        <v>12</v>
      </c>
      <c r="B607" t="s">
        <v>65</v>
      </c>
      <c r="C607">
        <v>0</v>
      </c>
    </row>
    <row r="608" spans="1:3" x14ac:dyDescent="0.3">
      <c r="A608" t="s">
        <v>12</v>
      </c>
      <c r="B608" t="s">
        <v>127</v>
      </c>
      <c r="C608">
        <v>0</v>
      </c>
    </row>
    <row r="609" spans="1:3" x14ac:dyDescent="0.3">
      <c r="A609" t="s">
        <v>12</v>
      </c>
      <c r="B609" t="s">
        <v>162</v>
      </c>
      <c r="C609">
        <v>0</v>
      </c>
    </row>
    <row r="610" spans="1:3" x14ac:dyDescent="0.3">
      <c r="A610" t="s">
        <v>12</v>
      </c>
      <c r="B610" t="s">
        <v>231</v>
      </c>
      <c r="C610">
        <v>0</v>
      </c>
    </row>
    <row r="611" spans="1:3" x14ac:dyDescent="0.3">
      <c r="A611" t="s">
        <v>12</v>
      </c>
      <c r="B611" t="s">
        <v>153</v>
      </c>
      <c r="C611">
        <v>0</v>
      </c>
    </row>
    <row r="612" spans="1:3" x14ac:dyDescent="0.3">
      <c r="A612" t="s">
        <v>12</v>
      </c>
      <c r="B612" t="s">
        <v>35</v>
      </c>
      <c r="C612">
        <v>0</v>
      </c>
    </row>
    <row r="613" spans="1:3" x14ac:dyDescent="0.3">
      <c r="A613" t="s">
        <v>12</v>
      </c>
      <c r="B613" t="s">
        <v>192</v>
      </c>
      <c r="C613">
        <v>0</v>
      </c>
    </row>
    <row r="614" spans="1:3" x14ac:dyDescent="0.3">
      <c r="A614" t="s">
        <v>18</v>
      </c>
      <c r="B614" t="s">
        <v>176</v>
      </c>
      <c r="C614">
        <v>0</v>
      </c>
    </row>
    <row r="615" spans="1:3" x14ac:dyDescent="0.3">
      <c r="A615" t="s">
        <v>18</v>
      </c>
      <c r="B615" t="s">
        <v>71</v>
      </c>
      <c r="C615">
        <v>0</v>
      </c>
    </row>
    <row r="616" spans="1:3" x14ac:dyDescent="0.3">
      <c r="A616" t="s">
        <v>18</v>
      </c>
      <c r="B616" t="s">
        <v>263</v>
      </c>
      <c r="C616">
        <v>0</v>
      </c>
    </row>
    <row r="617" spans="1:3" x14ac:dyDescent="0.3">
      <c r="A617" t="s">
        <v>18</v>
      </c>
      <c r="B617" t="s">
        <v>24</v>
      </c>
      <c r="C617">
        <v>0</v>
      </c>
    </row>
    <row r="618" spans="1:3" x14ac:dyDescent="0.3">
      <c r="A618" t="s">
        <v>18</v>
      </c>
      <c r="B618" t="s">
        <v>25</v>
      </c>
      <c r="C618">
        <v>0</v>
      </c>
    </row>
    <row r="619" spans="1:3" x14ac:dyDescent="0.3">
      <c r="A619" t="s">
        <v>18</v>
      </c>
      <c r="B619" t="s">
        <v>37</v>
      </c>
      <c r="C619">
        <v>0</v>
      </c>
    </row>
    <row r="620" spans="1:3" x14ac:dyDescent="0.3">
      <c r="A620" t="s">
        <v>18</v>
      </c>
      <c r="B620" t="s">
        <v>74</v>
      </c>
      <c r="C620">
        <v>0</v>
      </c>
    </row>
    <row r="621" spans="1:3" x14ac:dyDescent="0.3">
      <c r="A621" t="s">
        <v>18</v>
      </c>
      <c r="B621" t="s">
        <v>54</v>
      </c>
      <c r="C621">
        <v>0</v>
      </c>
    </row>
    <row r="622" spans="1:3" x14ac:dyDescent="0.3">
      <c r="A622" t="s">
        <v>18</v>
      </c>
      <c r="B622" t="s">
        <v>185</v>
      </c>
      <c r="C622">
        <v>0</v>
      </c>
    </row>
    <row r="623" spans="1:3" x14ac:dyDescent="0.3">
      <c r="A623" t="s">
        <v>18</v>
      </c>
      <c r="B623" t="s">
        <v>43</v>
      </c>
      <c r="C623">
        <v>0</v>
      </c>
    </row>
    <row r="624" spans="1:3" x14ac:dyDescent="0.3">
      <c r="A624" t="s">
        <v>18</v>
      </c>
      <c r="B624" t="s">
        <v>22</v>
      </c>
      <c r="C624">
        <v>0</v>
      </c>
    </row>
    <row r="625" spans="1:3" x14ac:dyDescent="0.3">
      <c r="A625" t="s">
        <v>18</v>
      </c>
      <c r="B625" t="s">
        <v>55</v>
      </c>
      <c r="C625">
        <v>0</v>
      </c>
    </row>
    <row r="626" spans="1:3" x14ac:dyDescent="0.3">
      <c r="A626" t="s">
        <v>18</v>
      </c>
      <c r="B626" t="s">
        <v>19</v>
      </c>
      <c r="C626">
        <v>0</v>
      </c>
    </row>
    <row r="627" spans="1:3" x14ac:dyDescent="0.3">
      <c r="A627" t="s">
        <v>18</v>
      </c>
      <c r="B627" t="s">
        <v>84</v>
      </c>
      <c r="C627">
        <v>0</v>
      </c>
    </row>
    <row r="628" spans="1:3" x14ac:dyDescent="0.3">
      <c r="A628" t="s">
        <v>18</v>
      </c>
      <c r="B628" t="s">
        <v>107</v>
      </c>
      <c r="C628">
        <v>0</v>
      </c>
    </row>
    <row r="629" spans="1:3" x14ac:dyDescent="0.3">
      <c r="A629" t="s">
        <v>18</v>
      </c>
      <c r="B629" t="s">
        <v>126</v>
      </c>
      <c r="C629">
        <v>0</v>
      </c>
    </row>
    <row r="630" spans="1:3" x14ac:dyDescent="0.3">
      <c r="A630" t="s">
        <v>18</v>
      </c>
      <c r="B630" t="s">
        <v>270</v>
      </c>
      <c r="C630">
        <v>0</v>
      </c>
    </row>
    <row r="631" spans="1:3" x14ac:dyDescent="0.3">
      <c r="A631" t="s">
        <v>18</v>
      </c>
      <c r="B631" t="s">
        <v>36</v>
      </c>
      <c r="C631">
        <v>0</v>
      </c>
    </row>
    <row r="632" spans="1:3" x14ac:dyDescent="0.3">
      <c r="A632" t="s">
        <v>18</v>
      </c>
      <c r="B632" t="s">
        <v>11</v>
      </c>
      <c r="C632">
        <v>0</v>
      </c>
    </row>
    <row r="633" spans="1:3" x14ac:dyDescent="0.3">
      <c r="A633" t="s">
        <v>18</v>
      </c>
      <c r="B633" t="s">
        <v>195</v>
      </c>
      <c r="C633">
        <v>0</v>
      </c>
    </row>
    <row r="634" spans="1:3" x14ac:dyDescent="0.3">
      <c r="A634" t="s">
        <v>18</v>
      </c>
      <c r="B634" t="s">
        <v>247</v>
      </c>
      <c r="C634">
        <v>0</v>
      </c>
    </row>
    <row r="635" spans="1:3" x14ac:dyDescent="0.3">
      <c r="A635" t="s">
        <v>18</v>
      </c>
      <c r="B635" t="s">
        <v>242</v>
      </c>
      <c r="C635">
        <v>0</v>
      </c>
    </row>
    <row r="636" spans="1:3" x14ac:dyDescent="0.3">
      <c r="A636" t="s">
        <v>18</v>
      </c>
      <c r="B636" t="s">
        <v>116</v>
      </c>
      <c r="C636">
        <v>0</v>
      </c>
    </row>
    <row r="637" spans="1:3" x14ac:dyDescent="0.3">
      <c r="A637" t="s">
        <v>18</v>
      </c>
      <c r="B637" t="s">
        <v>258</v>
      </c>
      <c r="C637">
        <v>0</v>
      </c>
    </row>
    <row r="638" spans="1:3" x14ac:dyDescent="0.3">
      <c r="A638" t="s">
        <v>18</v>
      </c>
      <c r="B638" t="s">
        <v>29</v>
      </c>
      <c r="C638">
        <v>0</v>
      </c>
    </row>
    <row r="639" spans="1:3" x14ac:dyDescent="0.3">
      <c r="A639" t="s">
        <v>18</v>
      </c>
      <c r="B639" t="s">
        <v>101</v>
      </c>
      <c r="C639">
        <v>0</v>
      </c>
    </row>
    <row r="640" spans="1:3" x14ac:dyDescent="0.3">
      <c r="A640" t="s">
        <v>18</v>
      </c>
      <c r="B640" t="s">
        <v>380</v>
      </c>
      <c r="C640">
        <v>0</v>
      </c>
    </row>
    <row r="641" spans="1:3" x14ac:dyDescent="0.3">
      <c r="A641" t="s">
        <v>18</v>
      </c>
      <c r="B641" t="s">
        <v>70</v>
      </c>
      <c r="C641">
        <v>0</v>
      </c>
    </row>
    <row r="642" spans="1:3" x14ac:dyDescent="0.3">
      <c r="A642" t="s">
        <v>18</v>
      </c>
      <c r="B642" t="s">
        <v>92</v>
      </c>
      <c r="C642">
        <v>0</v>
      </c>
    </row>
    <row r="643" spans="1:3" x14ac:dyDescent="0.3">
      <c r="A643" t="s">
        <v>18</v>
      </c>
      <c r="B643" t="s">
        <v>58</v>
      </c>
      <c r="C643">
        <v>0</v>
      </c>
    </row>
    <row r="644" spans="1:3" x14ac:dyDescent="0.3">
      <c r="A644" t="s">
        <v>18</v>
      </c>
      <c r="B644" t="s">
        <v>166</v>
      </c>
      <c r="C644">
        <v>0</v>
      </c>
    </row>
    <row r="645" spans="1:3" x14ac:dyDescent="0.3">
      <c r="A645" t="s">
        <v>18</v>
      </c>
      <c r="B645" t="s">
        <v>110</v>
      </c>
      <c r="C645">
        <v>0</v>
      </c>
    </row>
    <row r="646" spans="1:3" x14ac:dyDescent="0.3">
      <c r="A646" t="s">
        <v>18</v>
      </c>
      <c r="B646" t="s">
        <v>127</v>
      </c>
      <c r="C646">
        <v>0</v>
      </c>
    </row>
    <row r="647" spans="1:3" x14ac:dyDescent="0.3">
      <c r="A647" t="s">
        <v>18</v>
      </c>
      <c r="B647" t="s">
        <v>231</v>
      </c>
      <c r="C647">
        <v>0</v>
      </c>
    </row>
    <row r="648" spans="1:3" x14ac:dyDescent="0.3">
      <c r="A648" t="s">
        <v>18</v>
      </c>
      <c r="B648" t="s">
        <v>117</v>
      </c>
      <c r="C648">
        <v>0</v>
      </c>
    </row>
    <row r="649" spans="1:3" x14ac:dyDescent="0.3">
      <c r="A649" t="s">
        <v>18</v>
      </c>
      <c r="B649" t="s">
        <v>122</v>
      </c>
      <c r="C649">
        <v>0</v>
      </c>
    </row>
    <row r="650" spans="1:3" x14ac:dyDescent="0.3">
      <c r="A650" t="s">
        <v>18</v>
      </c>
      <c r="B650" t="s">
        <v>291</v>
      </c>
      <c r="C650">
        <v>0</v>
      </c>
    </row>
    <row r="651" spans="1:3" x14ac:dyDescent="0.3">
      <c r="A651" t="s">
        <v>18</v>
      </c>
      <c r="B651" t="s">
        <v>192</v>
      </c>
      <c r="C651">
        <v>0</v>
      </c>
    </row>
    <row r="652" spans="1:3" x14ac:dyDescent="0.3">
      <c r="A652" t="s">
        <v>5</v>
      </c>
      <c r="B652" t="s">
        <v>176</v>
      </c>
      <c r="C652">
        <v>0</v>
      </c>
    </row>
    <row r="653" spans="1:3" x14ac:dyDescent="0.3">
      <c r="A653" t="s">
        <v>5</v>
      </c>
      <c r="B653" t="s">
        <v>412</v>
      </c>
      <c r="C653">
        <v>0</v>
      </c>
    </row>
    <row r="654" spans="1:3" x14ac:dyDescent="0.3">
      <c r="A654" t="s">
        <v>5</v>
      </c>
      <c r="B654" t="s">
        <v>25</v>
      </c>
      <c r="C654">
        <v>0</v>
      </c>
    </row>
    <row r="655" spans="1:3" x14ac:dyDescent="0.3">
      <c r="A655" t="s">
        <v>5</v>
      </c>
      <c r="B655" t="s">
        <v>251</v>
      </c>
      <c r="C655">
        <v>0</v>
      </c>
    </row>
    <row r="656" spans="1:3" x14ac:dyDescent="0.3">
      <c r="A656" t="s">
        <v>5</v>
      </c>
      <c r="B656" t="s">
        <v>124</v>
      </c>
      <c r="C656">
        <v>0</v>
      </c>
    </row>
    <row r="657" spans="1:3" x14ac:dyDescent="0.3">
      <c r="A657" t="s">
        <v>5</v>
      </c>
      <c r="B657" t="s">
        <v>152</v>
      </c>
      <c r="C657">
        <v>0</v>
      </c>
    </row>
    <row r="658" spans="1:3" x14ac:dyDescent="0.3">
      <c r="A658" t="s">
        <v>5</v>
      </c>
      <c r="B658" t="s">
        <v>222</v>
      </c>
      <c r="C658">
        <v>0</v>
      </c>
    </row>
    <row r="659" spans="1:3" x14ac:dyDescent="0.3">
      <c r="A659" t="s">
        <v>5</v>
      </c>
      <c r="B659" t="s">
        <v>54</v>
      </c>
      <c r="C659">
        <v>0</v>
      </c>
    </row>
    <row r="660" spans="1:3" x14ac:dyDescent="0.3">
      <c r="A660" t="s">
        <v>5</v>
      </c>
      <c r="B660" t="s">
        <v>61</v>
      </c>
      <c r="C660">
        <v>0</v>
      </c>
    </row>
    <row r="661" spans="1:3" x14ac:dyDescent="0.3">
      <c r="A661" t="s">
        <v>5</v>
      </c>
      <c r="B661" t="s">
        <v>252</v>
      </c>
      <c r="C661">
        <v>0</v>
      </c>
    </row>
    <row r="662" spans="1:3" x14ac:dyDescent="0.3">
      <c r="A662" t="s">
        <v>5</v>
      </c>
      <c r="B662" t="s">
        <v>185</v>
      </c>
      <c r="C662">
        <v>0</v>
      </c>
    </row>
    <row r="663" spans="1:3" x14ac:dyDescent="0.3">
      <c r="A663" t="s">
        <v>5</v>
      </c>
      <c r="B663" t="s">
        <v>20</v>
      </c>
      <c r="C663">
        <v>0</v>
      </c>
    </row>
    <row r="664" spans="1:3" x14ac:dyDescent="0.3">
      <c r="A664" t="s">
        <v>5</v>
      </c>
      <c r="B664" t="s">
        <v>43</v>
      </c>
      <c r="C664">
        <v>0</v>
      </c>
    </row>
    <row r="665" spans="1:3" x14ac:dyDescent="0.3">
      <c r="A665" t="s">
        <v>5</v>
      </c>
      <c r="B665" t="s">
        <v>85</v>
      </c>
      <c r="C665">
        <v>0</v>
      </c>
    </row>
    <row r="666" spans="1:3" x14ac:dyDescent="0.3">
      <c r="A666" t="s">
        <v>5</v>
      </c>
      <c r="B666" t="s">
        <v>48</v>
      </c>
      <c r="C666">
        <v>0</v>
      </c>
    </row>
    <row r="667" spans="1:3" x14ac:dyDescent="0.3">
      <c r="A667" t="s">
        <v>5</v>
      </c>
      <c r="B667" t="s">
        <v>6</v>
      </c>
      <c r="C667">
        <v>0</v>
      </c>
    </row>
    <row r="668" spans="1:3" x14ac:dyDescent="0.3">
      <c r="A668" t="s">
        <v>5</v>
      </c>
      <c r="B668" t="s">
        <v>388</v>
      </c>
      <c r="C668">
        <v>0</v>
      </c>
    </row>
    <row r="669" spans="1:3" x14ac:dyDescent="0.3">
      <c r="A669" t="s">
        <v>5</v>
      </c>
      <c r="B669" t="s">
        <v>19</v>
      </c>
      <c r="C669">
        <v>0</v>
      </c>
    </row>
    <row r="670" spans="1:3" x14ac:dyDescent="0.3">
      <c r="A670" t="s">
        <v>5</v>
      </c>
      <c r="B670" t="s">
        <v>387</v>
      </c>
      <c r="C670">
        <v>0</v>
      </c>
    </row>
    <row r="671" spans="1:3" x14ac:dyDescent="0.3">
      <c r="A671" t="s">
        <v>5</v>
      </c>
      <c r="B671" t="s">
        <v>147</v>
      </c>
      <c r="C671">
        <v>0</v>
      </c>
    </row>
    <row r="672" spans="1:3" x14ac:dyDescent="0.3">
      <c r="A672" t="s">
        <v>5</v>
      </c>
      <c r="B672" t="s">
        <v>289</v>
      </c>
      <c r="C672">
        <v>0</v>
      </c>
    </row>
    <row r="673" spans="1:3" x14ac:dyDescent="0.3">
      <c r="A673" t="s">
        <v>5</v>
      </c>
      <c r="B673" t="s">
        <v>52</v>
      </c>
      <c r="C673">
        <v>0</v>
      </c>
    </row>
    <row r="674" spans="1:3" x14ac:dyDescent="0.3">
      <c r="A674" t="s">
        <v>5</v>
      </c>
      <c r="B674" t="s">
        <v>280</v>
      </c>
      <c r="C674">
        <v>0</v>
      </c>
    </row>
    <row r="675" spans="1:3" x14ac:dyDescent="0.3">
      <c r="A675" t="s">
        <v>5</v>
      </c>
      <c r="B675" t="s">
        <v>115</v>
      </c>
      <c r="C675">
        <v>0</v>
      </c>
    </row>
    <row r="676" spans="1:3" x14ac:dyDescent="0.3">
      <c r="A676" t="s">
        <v>5</v>
      </c>
      <c r="B676" t="s">
        <v>80</v>
      </c>
      <c r="C676">
        <v>0</v>
      </c>
    </row>
    <row r="677" spans="1:3" x14ac:dyDescent="0.3">
      <c r="A677" t="s">
        <v>5</v>
      </c>
      <c r="B677" t="s">
        <v>277</v>
      </c>
      <c r="C677">
        <v>0</v>
      </c>
    </row>
    <row r="678" spans="1:3" x14ac:dyDescent="0.3">
      <c r="A678" t="s">
        <v>5</v>
      </c>
      <c r="B678" t="s">
        <v>126</v>
      </c>
      <c r="C678">
        <v>0</v>
      </c>
    </row>
    <row r="679" spans="1:3" x14ac:dyDescent="0.3">
      <c r="A679" t="s">
        <v>5</v>
      </c>
      <c r="B679" t="s">
        <v>36</v>
      </c>
      <c r="C679">
        <v>0</v>
      </c>
    </row>
    <row r="680" spans="1:3" x14ac:dyDescent="0.3">
      <c r="A680" t="s">
        <v>5</v>
      </c>
      <c r="B680" t="s">
        <v>195</v>
      </c>
      <c r="C680">
        <v>0</v>
      </c>
    </row>
    <row r="681" spans="1:3" x14ac:dyDescent="0.3">
      <c r="A681" t="s">
        <v>5</v>
      </c>
      <c r="B681" t="s">
        <v>42</v>
      </c>
      <c r="C681">
        <v>0</v>
      </c>
    </row>
    <row r="682" spans="1:3" x14ac:dyDescent="0.3">
      <c r="A682" t="s">
        <v>5</v>
      </c>
      <c r="B682" t="s">
        <v>69</v>
      </c>
      <c r="C682">
        <v>0</v>
      </c>
    </row>
    <row r="683" spans="1:3" x14ac:dyDescent="0.3">
      <c r="A683" t="s">
        <v>5</v>
      </c>
      <c r="B683" t="s">
        <v>242</v>
      </c>
      <c r="C683">
        <v>0</v>
      </c>
    </row>
    <row r="684" spans="1:3" x14ac:dyDescent="0.3">
      <c r="A684" t="s">
        <v>5</v>
      </c>
      <c r="B684" t="s">
        <v>273</v>
      </c>
      <c r="C684">
        <v>0</v>
      </c>
    </row>
    <row r="685" spans="1:3" x14ac:dyDescent="0.3">
      <c r="A685" t="s">
        <v>5</v>
      </c>
      <c r="B685" t="s">
        <v>94</v>
      </c>
      <c r="C685">
        <v>0</v>
      </c>
    </row>
    <row r="686" spans="1:3" x14ac:dyDescent="0.3">
      <c r="A686" t="s">
        <v>5</v>
      </c>
      <c r="B686" t="s">
        <v>208</v>
      </c>
      <c r="C686">
        <v>0</v>
      </c>
    </row>
    <row r="687" spans="1:3" x14ac:dyDescent="0.3">
      <c r="A687" t="s">
        <v>5</v>
      </c>
      <c r="B687" t="s">
        <v>190</v>
      </c>
      <c r="C687">
        <v>0</v>
      </c>
    </row>
    <row r="688" spans="1:3" x14ac:dyDescent="0.3">
      <c r="A688" t="s">
        <v>5</v>
      </c>
      <c r="B688" t="s">
        <v>149</v>
      </c>
      <c r="C688">
        <v>0</v>
      </c>
    </row>
    <row r="689" spans="1:3" x14ac:dyDescent="0.3">
      <c r="A689" t="s">
        <v>5</v>
      </c>
      <c r="B689" t="s">
        <v>167</v>
      </c>
      <c r="C689">
        <v>0</v>
      </c>
    </row>
    <row r="690" spans="1:3" x14ac:dyDescent="0.3">
      <c r="A690" t="s">
        <v>5</v>
      </c>
      <c r="B690" t="s">
        <v>232</v>
      </c>
      <c r="C690">
        <v>0</v>
      </c>
    </row>
    <row r="691" spans="1:3" x14ac:dyDescent="0.3">
      <c r="A691" t="s">
        <v>5</v>
      </c>
      <c r="B691" t="s">
        <v>111</v>
      </c>
      <c r="C691">
        <v>0</v>
      </c>
    </row>
    <row r="692" spans="1:3" x14ac:dyDescent="0.3">
      <c r="A692" t="s">
        <v>5</v>
      </c>
      <c r="B692" t="s">
        <v>58</v>
      </c>
      <c r="C692">
        <v>0</v>
      </c>
    </row>
    <row r="693" spans="1:3" x14ac:dyDescent="0.3">
      <c r="A693" t="s">
        <v>5</v>
      </c>
      <c r="B693" t="s">
        <v>135</v>
      </c>
      <c r="C693">
        <v>0</v>
      </c>
    </row>
    <row r="694" spans="1:3" x14ac:dyDescent="0.3">
      <c r="A694" t="s">
        <v>5</v>
      </c>
      <c r="B694" t="s">
        <v>65</v>
      </c>
      <c r="C694">
        <v>0</v>
      </c>
    </row>
    <row r="695" spans="1:3" x14ac:dyDescent="0.3">
      <c r="A695" t="s">
        <v>5</v>
      </c>
      <c r="B695" t="s">
        <v>318</v>
      </c>
      <c r="C695">
        <v>0</v>
      </c>
    </row>
    <row r="696" spans="1:3" x14ac:dyDescent="0.3">
      <c r="A696" t="s">
        <v>5</v>
      </c>
      <c r="B696" t="s">
        <v>56</v>
      </c>
      <c r="C696">
        <v>0</v>
      </c>
    </row>
    <row r="697" spans="1:3" x14ac:dyDescent="0.3">
      <c r="A697" t="s">
        <v>5</v>
      </c>
      <c r="B697" t="s">
        <v>117</v>
      </c>
      <c r="C697">
        <v>0</v>
      </c>
    </row>
    <row r="698" spans="1:3" x14ac:dyDescent="0.3">
      <c r="A698" t="s">
        <v>5</v>
      </c>
      <c r="B698" t="s">
        <v>203</v>
      </c>
      <c r="C698">
        <v>0</v>
      </c>
    </row>
    <row r="699" spans="1:3" x14ac:dyDescent="0.3">
      <c r="A699" t="s">
        <v>5</v>
      </c>
      <c r="B699" t="s">
        <v>35</v>
      </c>
      <c r="C699">
        <v>0</v>
      </c>
    </row>
    <row r="700" spans="1:3" x14ac:dyDescent="0.3">
      <c r="A700" t="s">
        <v>5</v>
      </c>
      <c r="B700" t="s">
        <v>88</v>
      </c>
      <c r="C700">
        <v>0</v>
      </c>
    </row>
    <row r="701" spans="1:3" x14ac:dyDescent="0.3">
      <c r="A701" t="s">
        <v>5</v>
      </c>
      <c r="B701" t="s">
        <v>34</v>
      </c>
      <c r="C701">
        <v>0</v>
      </c>
    </row>
    <row r="702" spans="1:3" x14ac:dyDescent="0.3">
      <c r="A702" t="s">
        <v>5</v>
      </c>
      <c r="B702" t="s">
        <v>76</v>
      </c>
      <c r="C702">
        <v>0</v>
      </c>
    </row>
    <row r="703" spans="1:3" x14ac:dyDescent="0.3">
      <c r="A703" t="s">
        <v>5</v>
      </c>
      <c r="B703" t="s">
        <v>87</v>
      </c>
      <c r="C703">
        <v>0</v>
      </c>
    </row>
    <row r="704" spans="1:3" x14ac:dyDescent="0.3">
      <c r="A704" t="s">
        <v>40</v>
      </c>
      <c r="B704" t="s">
        <v>71</v>
      </c>
      <c r="C704">
        <v>0</v>
      </c>
    </row>
    <row r="705" spans="1:3" x14ac:dyDescent="0.3">
      <c r="A705" t="s">
        <v>40</v>
      </c>
      <c r="B705" t="s">
        <v>221</v>
      </c>
      <c r="C705">
        <v>0</v>
      </c>
    </row>
    <row r="706" spans="1:3" x14ac:dyDescent="0.3">
      <c r="A706" t="s">
        <v>40</v>
      </c>
      <c r="B706" t="s">
        <v>160</v>
      </c>
      <c r="C706">
        <v>0</v>
      </c>
    </row>
    <row r="707" spans="1:3" x14ac:dyDescent="0.3">
      <c r="A707" t="s">
        <v>40</v>
      </c>
      <c r="B707" t="s">
        <v>200</v>
      </c>
      <c r="C707">
        <v>0</v>
      </c>
    </row>
    <row r="708" spans="1:3" x14ac:dyDescent="0.3">
      <c r="A708" t="s">
        <v>40</v>
      </c>
      <c r="B708" t="s">
        <v>89</v>
      </c>
      <c r="C708">
        <v>0</v>
      </c>
    </row>
    <row r="709" spans="1:3" x14ac:dyDescent="0.3">
      <c r="A709" t="s">
        <v>40</v>
      </c>
      <c r="B709" t="s">
        <v>173</v>
      </c>
      <c r="C709">
        <v>0</v>
      </c>
    </row>
    <row r="710" spans="1:3" x14ac:dyDescent="0.3">
      <c r="A710" t="s">
        <v>40</v>
      </c>
      <c r="B710" t="s">
        <v>140</v>
      </c>
      <c r="C710">
        <v>0</v>
      </c>
    </row>
    <row r="711" spans="1:3" x14ac:dyDescent="0.3">
      <c r="A711" t="s">
        <v>40</v>
      </c>
      <c r="B711" t="s">
        <v>112</v>
      </c>
      <c r="C711">
        <v>0</v>
      </c>
    </row>
    <row r="712" spans="1:3" x14ac:dyDescent="0.3">
      <c r="A712" t="s">
        <v>40</v>
      </c>
      <c r="B712" t="s">
        <v>63</v>
      </c>
      <c r="C712">
        <v>0</v>
      </c>
    </row>
    <row r="713" spans="1:3" x14ac:dyDescent="0.3">
      <c r="A713" t="s">
        <v>40</v>
      </c>
      <c r="B713" t="s">
        <v>251</v>
      </c>
      <c r="C713">
        <v>0</v>
      </c>
    </row>
    <row r="714" spans="1:3" x14ac:dyDescent="0.3">
      <c r="A714" t="s">
        <v>40</v>
      </c>
      <c r="B714" t="s">
        <v>37</v>
      </c>
      <c r="C714">
        <v>0</v>
      </c>
    </row>
    <row r="715" spans="1:3" x14ac:dyDescent="0.3">
      <c r="A715" t="s">
        <v>40</v>
      </c>
      <c r="B715" t="s">
        <v>152</v>
      </c>
      <c r="C715">
        <v>0</v>
      </c>
    </row>
    <row r="716" spans="1:3" x14ac:dyDescent="0.3">
      <c r="A716" t="s">
        <v>40</v>
      </c>
      <c r="B716" t="s">
        <v>61</v>
      </c>
      <c r="C716">
        <v>0</v>
      </c>
    </row>
    <row r="717" spans="1:3" x14ac:dyDescent="0.3">
      <c r="A717" t="s">
        <v>40</v>
      </c>
      <c r="B717" t="s">
        <v>178</v>
      </c>
      <c r="C717">
        <v>0</v>
      </c>
    </row>
    <row r="718" spans="1:3" x14ac:dyDescent="0.3">
      <c r="A718" t="s">
        <v>40</v>
      </c>
      <c r="B718" t="s">
        <v>43</v>
      </c>
      <c r="C718">
        <v>0</v>
      </c>
    </row>
    <row r="719" spans="1:3" x14ac:dyDescent="0.3">
      <c r="A719" t="s">
        <v>40</v>
      </c>
      <c r="B719" t="s">
        <v>49</v>
      </c>
      <c r="C719">
        <v>0</v>
      </c>
    </row>
    <row r="720" spans="1:3" x14ac:dyDescent="0.3">
      <c r="A720" t="s">
        <v>40</v>
      </c>
      <c r="B720" t="s">
        <v>262</v>
      </c>
      <c r="C720">
        <v>0</v>
      </c>
    </row>
    <row r="721" spans="1:3" x14ac:dyDescent="0.3">
      <c r="A721" t="s">
        <v>40</v>
      </c>
      <c r="B721" t="s">
        <v>51</v>
      </c>
      <c r="C721">
        <v>0</v>
      </c>
    </row>
    <row r="722" spans="1:3" x14ac:dyDescent="0.3">
      <c r="A722" t="s">
        <v>40</v>
      </c>
      <c r="B722" t="s">
        <v>323</v>
      </c>
      <c r="C722">
        <v>0</v>
      </c>
    </row>
    <row r="723" spans="1:3" x14ac:dyDescent="0.3">
      <c r="A723" t="s">
        <v>40</v>
      </c>
      <c r="B723" t="s">
        <v>123</v>
      </c>
      <c r="C723">
        <v>0</v>
      </c>
    </row>
    <row r="724" spans="1:3" x14ac:dyDescent="0.3">
      <c r="A724" t="s">
        <v>40</v>
      </c>
      <c r="B724" t="s">
        <v>75</v>
      </c>
      <c r="C724">
        <v>0</v>
      </c>
    </row>
    <row r="725" spans="1:3" x14ac:dyDescent="0.3">
      <c r="A725" t="s">
        <v>40</v>
      </c>
      <c r="B725" t="s">
        <v>312</v>
      </c>
      <c r="C725">
        <v>0</v>
      </c>
    </row>
    <row r="726" spans="1:3" x14ac:dyDescent="0.3">
      <c r="A726" t="s">
        <v>40</v>
      </c>
      <c r="B726" t="s">
        <v>147</v>
      </c>
      <c r="C726">
        <v>0</v>
      </c>
    </row>
    <row r="727" spans="1:3" x14ac:dyDescent="0.3">
      <c r="A727" t="s">
        <v>40</v>
      </c>
      <c r="B727" t="s">
        <v>52</v>
      </c>
      <c r="C727">
        <v>0</v>
      </c>
    </row>
    <row r="728" spans="1:3" x14ac:dyDescent="0.3">
      <c r="A728" t="s">
        <v>40</v>
      </c>
      <c r="B728" t="s">
        <v>62</v>
      </c>
      <c r="C728">
        <v>0</v>
      </c>
    </row>
    <row r="729" spans="1:3" x14ac:dyDescent="0.3">
      <c r="A729" t="s">
        <v>40</v>
      </c>
      <c r="B729" t="s">
        <v>115</v>
      </c>
      <c r="C729">
        <v>0</v>
      </c>
    </row>
    <row r="730" spans="1:3" x14ac:dyDescent="0.3">
      <c r="A730" t="s">
        <v>40</v>
      </c>
      <c r="B730" t="s">
        <v>193</v>
      </c>
      <c r="C730">
        <v>0</v>
      </c>
    </row>
    <row r="731" spans="1:3" x14ac:dyDescent="0.3">
      <c r="A731" t="s">
        <v>40</v>
      </c>
      <c r="B731" t="s">
        <v>315</v>
      </c>
      <c r="C731">
        <v>0</v>
      </c>
    </row>
    <row r="732" spans="1:3" x14ac:dyDescent="0.3">
      <c r="A732" t="s">
        <v>40</v>
      </c>
      <c r="B732" t="s">
        <v>36</v>
      </c>
      <c r="C732">
        <v>0</v>
      </c>
    </row>
    <row r="733" spans="1:3" x14ac:dyDescent="0.3">
      <c r="A733" t="s">
        <v>40</v>
      </c>
      <c r="B733" t="s">
        <v>402</v>
      </c>
      <c r="C733">
        <v>0</v>
      </c>
    </row>
    <row r="734" spans="1:3" x14ac:dyDescent="0.3">
      <c r="A734" t="s">
        <v>40</v>
      </c>
      <c r="B734" t="s">
        <v>247</v>
      </c>
      <c r="C734">
        <v>0</v>
      </c>
    </row>
    <row r="735" spans="1:3" x14ac:dyDescent="0.3">
      <c r="A735" t="s">
        <v>40</v>
      </c>
      <c r="B735" t="s">
        <v>69</v>
      </c>
      <c r="C735">
        <v>0</v>
      </c>
    </row>
    <row r="736" spans="1:3" x14ac:dyDescent="0.3">
      <c r="A736" t="s">
        <v>40</v>
      </c>
      <c r="B736" t="s">
        <v>30</v>
      </c>
      <c r="C736">
        <v>0</v>
      </c>
    </row>
    <row r="737" spans="1:3" x14ac:dyDescent="0.3">
      <c r="A737" t="s">
        <v>40</v>
      </c>
      <c r="B737" t="s">
        <v>364</v>
      </c>
      <c r="C737">
        <v>0</v>
      </c>
    </row>
    <row r="738" spans="1:3" x14ac:dyDescent="0.3">
      <c r="A738" t="s">
        <v>40</v>
      </c>
      <c r="B738" t="s">
        <v>258</v>
      </c>
      <c r="C738">
        <v>0</v>
      </c>
    </row>
    <row r="739" spans="1:3" x14ac:dyDescent="0.3">
      <c r="A739" t="s">
        <v>40</v>
      </c>
      <c r="B739" t="s">
        <v>171</v>
      </c>
      <c r="C739">
        <v>0</v>
      </c>
    </row>
    <row r="740" spans="1:3" x14ac:dyDescent="0.3">
      <c r="A740" t="s">
        <v>40</v>
      </c>
      <c r="B740" t="s">
        <v>191</v>
      </c>
      <c r="C740">
        <v>0</v>
      </c>
    </row>
    <row r="741" spans="1:3" x14ac:dyDescent="0.3">
      <c r="A741" t="s">
        <v>40</v>
      </c>
      <c r="B741" t="s">
        <v>72</v>
      </c>
      <c r="C741">
        <v>0</v>
      </c>
    </row>
    <row r="742" spans="1:3" x14ac:dyDescent="0.3">
      <c r="A742" t="s">
        <v>40</v>
      </c>
      <c r="B742" t="s">
        <v>94</v>
      </c>
      <c r="C742">
        <v>0</v>
      </c>
    </row>
    <row r="743" spans="1:3" x14ac:dyDescent="0.3">
      <c r="A743" t="s">
        <v>40</v>
      </c>
      <c r="B743" t="s">
        <v>154</v>
      </c>
      <c r="C743">
        <v>0</v>
      </c>
    </row>
    <row r="744" spans="1:3" x14ac:dyDescent="0.3">
      <c r="A744" t="s">
        <v>40</v>
      </c>
      <c r="B744" t="s">
        <v>190</v>
      </c>
      <c r="C744">
        <v>0</v>
      </c>
    </row>
    <row r="745" spans="1:3" x14ac:dyDescent="0.3">
      <c r="A745" t="s">
        <v>40</v>
      </c>
      <c r="B745" t="s">
        <v>70</v>
      </c>
      <c r="C745">
        <v>0</v>
      </c>
    </row>
    <row r="746" spans="1:3" x14ac:dyDescent="0.3">
      <c r="A746" t="s">
        <v>40</v>
      </c>
      <c r="B746" t="s">
        <v>78</v>
      </c>
      <c r="C746">
        <v>0</v>
      </c>
    </row>
    <row r="747" spans="1:3" x14ac:dyDescent="0.3">
      <c r="A747" t="s">
        <v>40</v>
      </c>
      <c r="B747" t="s">
        <v>32</v>
      </c>
      <c r="C747">
        <v>0</v>
      </c>
    </row>
    <row r="748" spans="1:3" x14ac:dyDescent="0.3">
      <c r="A748" t="s">
        <v>40</v>
      </c>
      <c r="B748" t="s">
        <v>194</v>
      </c>
      <c r="C748">
        <v>0</v>
      </c>
    </row>
    <row r="749" spans="1:3" x14ac:dyDescent="0.3">
      <c r="A749" t="s">
        <v>40</v>
      </c>
      <c r="B749" t="s">
        <v>77</v>
      </c>
      <c r="C749">
        <v>0</v>
      </c>
    </row>
    <row r="750" spans="1:3" x14ac:dyDescent="0.3">
      <c r="A750" t="s">
        <v>40</v>
      </c>
      <c r="B750" t="s">
        <v>166</v>
      </c>
      <c r="C750">
        <v>0</v>
      </c>
    </row>
    <row r="751" spans="1:3" x14ac:dyDescent="0.3">
      <c r="A751" t="s">
        <v>40</v>
      </c>
      <c r="B751" t="s">
        <v>137</v>
      </c>
      <c r="C751">
        <v>0</v>
      </c>
    </row>
    <row r="752" spans="1:3" x14ac:dyDescent="0.3">
      <c r="A752" t="s">
        <v>40</v>
      </c>
      <c r="B752" t="s">
        <v>180</v>
      </c>
      <c r="C752">
        <v>0</v>
      </c>
    </row>
    <row r="753" spans="1:3" x14ac:dyDescent="0.3">
      <c r="A753" t="s">
        <v>40</v>
      </c>
      <c r="B753" t="s">
        <v>163</v>
      </c>
      <c r="C753">
        <v>0</v>
      </c>
    </row>
    <row r="754" spans="1:3" x14ac:dyDescent="0.3">
      <c r="A754" t="s">
        <v>40</v>
      </c>
      <c r="B754" t="s">
        <v>311</v>
      </c>
      <c r="C754">
        <v>0</v>
      </c>
    </row>
    <row r="755" spans="1:3" x14ac:dyDescent="0.3">
      <c r="A755" t="s">
        <v>40</v>
      </c>
      <c r="B755" t="s">
        <v>151</v>
      </c>
      <c r="C755">
        <v>0</v>
      </c>
    </row>
    <row r="756" spans="1:3" x14ac:dyDescent="0.3">
      <c r="A756" t="s">
        <v>40</v>
      </c>
      <c r="B756" t="s">
        <v>76</v>
      </c>
      <c r="C756">
        <v>0</v>
      </c>
    </row>
    <row r="757" spans="1:3" x14ac:dyDescent="0.3">
      <c r="A757" t="s">
        <v>40</v>
      </c>
      <c r="B757" t="s">
        <v>41</v>
      </c>
      <c r="C757">
        <v>0</v>
      </c>
    </row>
    <row r="758" spans="1:3" x14ac:dyDescent="0.3">
      <c r="A758" t="s">
        <v>40</v>
      </c>
      <c r="B758" t="s">
        <v>197</v>
      </c>
      <c r="C758">
        <v>0</v>
      </c>
    </row>
    <row r="759" spans="1:3" x14ac:dyDescent="0.3">
      <c r="A759" t="s">
        <v>40</v>
      </c>
      <c r="B759" t="s">
        <v>87</v>
      </c>
      <c r="C759">
        <v>0</v>
      </c>
    </row>
    <row r="760" spans="1:3" x14ac:dyDescent="0.3">
      <c r="A760" t="s">
        <v>8</v>
      </c>
      <c r="B760" t="s">
        <v>71</v>
      </c>
      <c r="C760">
        <v>0</v>
      </c>
    </row>
    <row r="761" spans="1:3" x14ac:dyDescent="0.3">
      <c r="A761" t="s">
        <v>8</v>
      </c>
      <c r="B761" t="s">
        <v>95</v>
      </c>
      <c r="C761">
        <v>0</v>
      </c>
    </row>
    <row r="762" spans="1:3" x14ac:dyDescent="0.3">
      <c r="A762" t="s">
        <v>8</v>
      </c>
      <c r="B762" t="s">
        <v>24</v>
      </c>
      <c r="C762">
        <v>0</v>
      </c>
    </row>
    <row r="763" spans="1:3" x14ac:dyDescent="0.3">
      <c r="A763" t="s">
        <v>8</v>
      </c>
      <c r="B763" t="s">
        <v>130</v>
      </c>
      <c r="C763">
        <v>0</v>
      </c>
    </row>
    <row r="764" spans="1:3" x14ac:dyDescent="0.3">
      <c r="A764" t="s">
        <v>8</v>
      </c>
      <c r="B764" t="s">
        <v>235</v>
      </c>
      <c r="C764">
        <v>0</v>
      </c>
    </row>
    <row r="765" spans="1:3" x14ac:dyDescent="0.3">
      <c r="A765" t="s">
        <v>8</v>
      </c>
      <c r="B765" t="s">
        <v>25</v>
      </c>
      <c r="C765">
        <v>0</v>
      </c>
    </row>
    <row r="766" spans="1:3" x14ac:dyDescent="0.3">
      <c r="A766" t="s">
        <v>8</v>
      </c>
      <c r="B766" t="s">
        <v>150</v>
      </c>
      <c r="C766">
        <v>0</v>
      </c>
    </row>
    <row r="767" spans="1:3" x14ac:dyDescent="0.3">
      <c r="A767" t="s">
        <v>8</v>
      </c>
      <c r="B767" t="s">
        <v>238</v>
      </c>
      <c r="C767">
        <v>0</v>
      </c>
    </row>
    <row r="768" spans="1:3" x14ac:dyDescent="0.3">
      <c r="A768" t="s">
        <v>8</v>
      </c>
      <c r="B768" t="s">
        <v>114</v>
      </c>
      <c r="C768">
        <v>0</v>
      </c>
    </row>
    <row r="769" spans="1:3" x14ac:dyDescent="0.3">
      <c r="A769" t="s">
        <v>8</v>
      </c>
      <c r="B769" t="s">
        <v>112</v>
      </c>
      <c r="C769">
        <v>0</v>
      </c>
    </row>
    <row r="770" spans="1:3" x14ac:dyDescent="0.3">
      <c r="A770" t="s">
        <v>8</v>
      </c>
      <c r="B770" t="s">
        <v>63</v>
      </c>
      <c r="C770">
        <v>0</v>
      </c>
    </row>
    <row r="771" spans="1:3" x14ac:dyDescent="0.3">
      <c r="A771" t="s">
        <v>8</v>
      </c>
      <c r="B771" t="s">
        <v>168</v>
      </c>
      <c r="C771">
        <v>0</v>
      </c>
    </row>
    <row r="772" spans="1:3" x14ac:dyDescent="0.3">
      <c r="A772" t="s">
        <v>8</v>
      </c>
      <c r="B772" t="s">
        <v>124</v>
      </c>
      <c r="C772">
        <v>0</v>
      </c>
    </row>
    <row r="773" spans="1:3" x14ac:dyDescent="0.3">
      <c r="A773" t="s">
        <v>8</v>
      </c>
      <c r="B773" t="s">
        <v>222</v>
      </c>
      <c r="C773">
        <v>0</v>
      </c>
    </row>
    <row r="774" spans="1:3" x14ac:dyDescent="0.3">
      <c r="A774" t="s">
        <v>8</v>
      </c>
      <c r="B774" t="s">
        <v>54</v>
      </c>
      <c r="C774">
        <v>0</v>
      </c>
    </row>
    <row r="775" spans="1:3" x14ac:dyDescent="0.3">
      <c r="A775" t="s">
        <v>8</v>
      </c>
      <c r="B775" t="s">
        <v>186</v>
      </c>
      <c r="C775">
        <v>0</v>
      </c>
    </row>
    <row r="776" spans="1:3" x14ac:dyDescent="0.3">
      <c r="A776" t="s">
        <v>8</v>
      </c>
      <c r="B776" t="s">
        <v>67</v>
      </c>
      <c r="C776">
        <v>0</v>
      </c>
    </row>
    <row r="777" spans="1:3" x14ac:dyDescent="0.3">
      <c r="A777" t="s">
        <v>8</v>
      </c>
      <c r="B777" t="s">
        <v>225</v>
      </c>
      <c r="C777">
        <v>0</v>
      </c>
    </row>
    <row r="778" spans="1:3" x14ac:dyDescent="0.3">
      <c r="A778" t="s">
        <v>8</v>
      </c>
      <c r="B778" t="s">
        <v>59</v>
      </c>
      <c r="C778">
        <v>0</v>
      </c>
    </row>
    <row r="779" spans="1:3" x14ac:dyDescent="0.3">
      <c r="A779" t="s">
        <v>8</v>
      </c>
      <c r="B779" t="s">
        <v>55</v>
      </c>
      <c r="C779">
        <v>0</v>
      </c>
    </row>
    <row r="780" spans="1:3" x14ac:dyDescent="0.3">
      <c r="A780" t="s">
        <v>8</v>
      </c>
      <c r="B780" t="s">
        <v>183</v>
      </c>
      <c r="C780">
        <v>0</v>
      </c>
    </row>
    <row r="781" spans="1:3" x14ac:dyDescent="0.3">
      <c r="A781" t="s">
        <v>8</v>
      </c>
      <c r="B781" t="s">
        <v>6</v>
      </c>
      <c r="C781">
        <v>0</v>
      </c>
    </row>
    <row r="782" spans="1:3" x14ac:dyDescent="0.3">
      <c r="A782" t="s">
        <v>8</v>
      </c>
      <c r="B782" t="s">
        <v>75</v>
      </c>
      <c r="C782">
        <v>0</v>
      </c>
    </row>
    <row r="783" spans="1:3" x14ac:dyDescent="0.3">
      <c r="A783" t="s">
        <v>8</v>
      </c>
      <c r="B783" t="s">
        <v>147</v>
      </c>
      <c r="C783">
        <v>0</v>
      </c>
    </row>
    <row r="784" spans="1:3" x14ac:dyDescent="0.3">
      <c r="A784" t="s">
        <v>8</v>
      </c>
      <c r="B784" t="s">
        <v>289</v>
      </c>
      <c r="C784">
        <v>0</v>
      </c>
    </row>
    <row r="785" spans="1:3" x14ac:dyDescent="0.3">
      <c r="A785" t="s">
        <v>8</v>
      </c>
      <c r="B785" t="s">
        <v>46</v>
      </c>
      <c r="C785">
        <v>0</v>
      </c>
    </row>
    <row r="786" spans="1:3" x14ac:dyDescent="0.3">
      <c r="A786" t="s">
        <v>8</v>
      </c>
      <c r="B786" t="s">
        <v>227</v>
      </c>
      <c r="C786">
        <v>0</v>
      </c>
    </row>
    <row r="787" spans="1:3" x14ac:dyDescent="0.3">
      <c r="A787" t="s">
        <v>8</v>
      </c>
      <c r="B787" t="s">
        <v>126</v>
      </c>
      <c r="C787">
        <v>0</v>
      </c>
    </row>
    <row r="788" spans="1:3" x14ac:dyDescent="0.3">
      <c r="A788" t="s">
        <v>8</v>
      </c>
      <c r="B788" t="s">
        <v>36</v>
      </c>
      <c r="C788">
        <v>0</v>
      </c>
    </row>
    <row r="789" spans="1:3" x14ac:dyDescent="0.3">
      <c r="A789" t="s">
        <v>8</v>
      </c>
      <c r="B789" t="s">
        <v>105</v>
      </c>
      <c r="C789">
        <v>0</v>
      </c>
    </row>
    <row r="790" spans="1:3" x14ac:dyDescent="0.3">
      <c r="A790" t="s">
        <v>8</v>
      </c>
      <c r="B790" t="s">
        <v>195</v>
      </c>
      <c r="C790">
        <v>0</v>
      </c>
    </row>
    <row r="791" spans="1:3" x14ac:dyDescent="0.3">
      <c r="A791" t="s">
        <v>8</v>
      </c>
      <c r="B791" t="s">
        <v>247</v>
      </c>
      <c r="C791">
        <v>0</v>
      </c>
    </row>
    <row r="792" spans="1:3" x14ac:dyDescent="0.3">
      <c r="A792" t="s">
        <v>8</v>
      </c>
      <c r="B792" t="s">
        <v>116</v>
      </c>
      <c r="C792">
        <v>0</v>
      </c>
    </row>
    <row r="793" spans="1:3" x14ac:dyDescent="0.3">
      <c r="A793" t="s">
        <v>8</v>
      </c>
      <c r="B793" t="s">
        <v>60</v>
      </c>
      <c r="C793">
        <v>0</v>
      </c>
    </row>
    <row r="794" spans="1:3" x14ac:dyDescent="0.3">
      <c r="A794" t="s">
        <v>8</v>
      </c>
      <c r="B794" t="s">
        <v>258</v>
      </c>
      <c r="C794">
        <v>0</v>
      </c>
    </row>
    <row r="795" spans="1:3" x14ac:dyDescent="0.3">
      <c r="A795" t="s">
        <v>8</v>
      </c>
      <c r="B795" t="s">
        <v>191</v>
      </c>
      <c r="C795">
        <v>0</v>
      </c>
    </row>
    <row r="796" spans="1:3" x14ac:dyDescent="0.3">
      <c r="A796" t="s">
        <v>8</v>
      </c>
      <c r="B796" t="s">
        <v>273</v>
      </c>
      <c r="C796">
        <v>0</v>
      </c>
    </row>
    <row r="797" spans="1:3" x14ac:dyDescent="0.3">
      <c r="A797" t="s">
        <v>8</v>
      </c>
      <c r="B797" t="s">
        <v>394</v>
      </c>
      <c r="C797">
        <v>0</v>
      </c>
    </row>
    <row r="798" spans="1:3" x14ac:dyDescent="0.3">
      <c r="A798" t="s">
        <v>8</v>
      </c>
      <c r="B798" t="s">
        <v>66</v>
      </c>
      <c r="C798">
        <v>0</v>
      </c>
    </row>
    <row r="799" spans="1:3" x14ac:dyDescent="0.3">
      <c r="A799" t="s">
        <v>8</v>
      </c>
      <c r="B799" t="s">
        <v>70</v>
      </c>
      <c r="C799">
        <v>0</v>
      </c>
    </row>
    <row r="800" spans="1:3" x14ac:dyDescent="0.3">
      <c r="A800" t="s">
        <v>8</v>
      </c>
      <c r="B800" t="s">
        <v>92</v>
      </c>
      <c r="C800">
        <v>0</v>
      </c>
    </row>
    <row r="801" spans="1:3" x14ac:dyDescent="0.3">
      <c r="A801" t="s">
        <v>8</v>
      </c>
      <c r="B801" t="s">
        <v>256</v>
      </c>
      <c r="C801">
        <v>0</v>
      </c>
    </row>
    <row r="802" spans="1:3" x14ac:dyDescent="0.3">
      <c r="A802" t="s">
        <v>8</v>
      </c>
      <c r="B802" t="s">
        <v>232</v>
      </c>
      <c r="C802">
        <v>0</v>
      </c>
    </row>
    <row r="803" spans="1:3" x14ac:dyDescent="0.3">
      <c r="A803" t="s">
        <v>8</v>
      </c>
      <c r="B803" t="s">
        <v>111</v>
      </c>
      <c r="C803">
        <v>0</v>
      </c>
    </row>
    <row r="804" spans="1:3" x14ac:dyDescent="0.3">
      <c r="A804" t="s">
        <v>8</v>
      </c>
      <c r="B804" t="s">
        <v>58</v>
      </c>
      <c r="C804">
        <v>0</v>
      </c>
    </row>
    <row r="805" spans="1:3" x14ac:dyDescent="0.3">
      <c r="A805" t="s">
        <v>8</v>
      </c>
      <c r="B805" t="s">
        <v>119</v>
      </c>
      <c r="C805">
        <v>0</v>
      </c>
    </row>
    <row r="806" spans="1:3" x14ac:dyDescent="0.3">
      <c r="A806" t="s">
        <v>8</v>
      </c>
      <c r="B806" t="s">
        <v>135</v>
      </c>
      <c r="C806">
        <v>0</v>
      </c>
    </row>
    <row r="807" spans="1:3" x14ac:dyDescent="0.3">
      <c r="A807" t="s">
        <v>8</v>
      </c>
      <c r="B807" t="s">
        <v>158</v>
      </c>
      <c r="C807">
        <v>0</v>
      </c>
    </row>
    <row r="808" spans="1:3" x14ac:dyDescent="0.3">
      <c r="A808" t="s">
        <v>8</v>
      </c>
      <c r="B808" t="s">
        <v>318</v>
      </c>
      <c r="C808">
        <v>0</v>
      </c>
    </row>
    <row r="809" spans="1:3" x14ac:dyDescent="0.3">
      <c r="A809" t="s">
        <v>8</v>
      </c>
      <c r="B809" t="s">
        <v>56</v>
      </c>
      <c r="C809">
        <v>0</v>
      </c>
    </row>
    <row r="810" spans="1:3" x14ac:dyDescent="0.3">
      <c r="A810" t="s">
        <v>8</v>
      </c>
      <c r="B810" t="s">
        <v>117</v>
      </c>
      <c r="C810">
        <v>0</v>
      </c>
    </row>
    <row r="811" spans="1:3" x14ac:dyDescent="0.3">
      <c r="A811" t="s">
        <v>8</v>
      </c>
      <c r="B811" t="s">
        <v>182</v>
      </c>
      <c r="C811">
        <v>0</v>
      </c>
    </row>
    <row r="812" spans="1:3" x14ac:dyDescent="0.3">
      <c r="A812" t="s">
        <v>8</v>
      </c>
      <c r="B812" t="s">
        <v>122</v>
      </c>
      <c r="C812">
        <v>0</v>
      </c>
    </row>
    <row r="813" spans="1:3" x14ac:dyDescent="0.3">
      <c r="A813" t="s">
        <v>8</v>
      </c>
      <c r="B813" t="s">
        <v>338</v>
      </c>
      <c r="C813">
        <v>0</v>
      </c>
    </row>
    <row r="814" spans="1:3" x14ac:dyDescent="0.3">
      <c r="A814" t="s">
        <v>8</v>
      </c>
      <c r="B814" t="s">
        <v>217</v>
      </c>
      <c r="C814">
        <v>0</v>
      </c>
    </row>
    <row r="815" spans="1:3" x14ac:dyDescent="0.3">
      <c r="A815" t="s">
        <v>8</v>
      </c>
      <c r="B815" t="s">
        <v>100</v>
      </c>
      <c r="C815">
        <v>0</v>
      </c>
    </row>
  </sheetData>
  <sortState xmlns:xlrd2="http://schemas.microsoft.com/office/spreadsheetml/2017/richdata2" ref="A2:C1005">
    <sortCondition descending="1" ref="C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AF2D-AFDC-4EFB-B513-5E6013717ADD}">
  <sheetPr filterMode="1"/>
  <dimension ref="A1:G1003"/>
  <sheetViews>
    <sheetView workbookViewId="0">
      <selection activeCell="G1016" sqref="G1016"/>
    </sheetView>
  </sheetViews>
  <sheetFormatPr defaultRowHeight="14.4" x14ac:dyDescent="0.3"/>
  <cols>
    <col min="1" max="1" width="33" customWidth="1"/>
    <col min="7" max="7" width="12.5546875" customWidth="1"/>
  </cols>
  <sheetData>
    <row r="1" spans="1:7" x14ac:dyDescent="0.3">
      <c r="A1" s="1" t="s">
        <v>1</v>
      </c>
      <c r="B1" t="s">
        <v>481</v>
      </c>
      <c r="C1" t="s">
        <v>464</v>
      </c>
      <c r="G1" t="s">
        <v>512</v>
      </c>
    </row>
    <row r="2" spans="1:7" hidden="1" x14ac:dyDescent="0.3">
      <c r="A2" t="s">
        <v>305</v>
      </c>
      <c r="B2">
        <v>2</v>
      </c>
      <c r="C2">
        <v>100664</v>
      </c>
      <c r="G2">
        <f>COUNTIF('Задача 1'!C:C,'Задача 2'!A2)</f>
        <v>3</v>
      </c>
    </row>
    <row r="3" spans="1:7" hidden="1" x14ac:dyDescent="0.3">
      <c r="A3" t="s">
        <v>176</v>
      </c>
      <c r="B3">
        <v>3</v>
      </c>
      <c r="C3">
        <v>530673</v>
      </c>
      <c r="G3">
        <f>COUNTIF('Задача 1'!C:C,'Задача 2'!A3)</f>
        <v>5</v>
      </c>
    </row>
    <row r="4" spans="1:7" x14ac:dyDescent="0.3">
      <c r="A4" t="s">
        <v>250</v>
      </c>
      <c r="B4">
        <v>3</v>
      </c>
      <c r="C4">
        <v>446016</v>
      </c>
      <c r="G4">
        <f>COUNTIF('Задача 1'!C:C,'Задача 2'!A4)</f>
        <v>1</v>
      </c>
    </row>
    <row r="5" spans="1:7" hidden="1" x14ac:dyDescent="0.3">
      <c r="A5" t="s">
        <v>71</v>
      </c>
      <c r="B5">
        <v>6</v>
      </c>
      <c r="C5">
        <v>451314</v>
      </c>
      <c r="G5">
        <f>COUNTIF('Задача 1'!C:C,'Задача 2'!A5)</f>
        <v>8</v>
      </c>
    </row>
    <row r="6" spans="1:7" hidden="1" x14ac:dyDescent="0.3">
      <c r="A6" t="s">
        <v>297</v>
      </c>
      <c r="B6">
        <v>2</v>
      </c>
      <c r="C6">
        <v>87378</v>
      </c>
      <c r="G6">
        <f>COUNTIF('Задача 1'!C:C,'Задача 2'!A6)</f>
        <v>2</v>
      </c>
    </row>
    <row r="7" spans="1:7" hidden="1" x14ac:dyDescent="0.3">
      <c r="A7" t="s">
        <v>263</v>
      </c>
      <c r="B7">
        <v>3</v>
      </c>
      <c r="C7">
        <v>226507</v>
      </c>
      <c r="G7">
        <f>COUNTIF('Задача 1'!C:C,'Задача 2'!A7)</f>
        <v>2</v>
      </c>
    </row>
    <row r="8" spans="1:7" hidden="1" x14ac:dyDescent="0.3">
      <c r="A8" t="s">
        <v>221</v>
      </c>
      <c r="B8">
        <v>5</v>
      </c>
      <c r="C8">
        <v>168973</v>
      </c>
      <c r="G8">
        <f>COUNTIF('Задача 1'!C:C,'Задача 2'!A8)</f>
        <v>7</v>
      </c>
    </row>
    <row r="9" spans="1:7" hidden="1" x14ac:dyDescent="0.3">
      <c r="A9" t="s">
        <v>95</v>
      </c>
      <c r="B9">
        <v>5</v>
      </c>
      <c r="C9">
        <v>209335</v>
      </c>
      <c r="G9">
        <f>COUNTIF('Задача 1'!C:C,'Задача 2'!A9)</f>
        <v>5</v>
      </c>
    </row>
    <row r="10" spans="1:7" hidden="1" x14ac:dyDescent="0.3">
      <c r="A10" t="s">
        <v>160</v>
      </c>
      <c r="B10">
        <v>6</v>
      </c>
      <c r="C10">
        <v>157987</v>
      </c>
      <c r="G10">
        <f>COUNTIF('Задача 1'!C:C,'Задача 2'!A10)</f>
        <v>5</v>
      </c>
    </row>
    <row r="11" spans="1:7" hidden="1" x14ac:dyDescent="0.3">
      <c r="A11" t="s">
        <v>24</v>
      </c>
      <c r="B11">
        <v>4</v>
      </c>
      <c r="C11">
        <v>439379</v>
      </c>
      <c r="G11">
        <f>COUNTIF('Задача 1'!C:C,'Задача 2'!A11)</f>
        <v>5</v>
      </c>
    </row>
    <row r="12" spans="1:7" hidden="1" x14ac:dyDescent="0.3">
      <c r="A12" t="s">
        <v>200</v>
      </c>
      <c r="B12">
        <v>7</v>
      </c>
      <c r="C12">
        <v>210364</v>
      </c>
      <c r="G12">
        <f>COUNTIF('Задача 1'!C:C,'Задача 2'!A12)</f>
        <v>4</v>
      </c>
    </row>
    <row r="13" spans="1:7" hidden="1" x14ac:dyDescent="0.3">
      <c r="A13" t="s">
        <v>89</v>
      </c>
      <c r="B13">
        <v>7</v>
      </c>
      <c r="C13">
        <v>202292</v>
      </c>
      <c r="G13">
        <f>COUNTIF('Задача 1'!C:C,'Задача 2'!A13)</f>
        <v>5</v>
      </c>
    </row>
    <row r="14" spans="1:7" hidden="1" x14ac:dyDescent="0.3">
      <c r="A14" t="s">
        <v>173</v>
      </c>
      <c r="B14">
        <v>10</v>
      </c>
      <c r="C14">
        <v>430863</v>
      </c>
      <c r="G14">
        <f>COUNTIF('Задача 1'!C:C,'Задача 2'!A14)</f>
        <v>3</v>
      </c>
    </row>
    <row r="15" spans="1:7" hidden="1" x14ac:dyDescent="0.3">
      <c r="A15" t="s">
        <v>412</v>
      </c>
      <c r="B15">
        <v>5</v>
      </c>
      <c r="C15">
        <v>34427</v>
      </c>
      <c r="G15">
        <f>COUNTIF('Задача 1'!C:C,'Задача 2'!A15)</f>
        <v>2</v>
      </c>
    </row>
    <row r="16" spans="1:7" hidden="1" x14ac:dyDescent="0.3">
      <c r="A16" t="s">
        <v>130</v>
      </c>
      <c r="B16">
        <v>6</v>
      </c>
      <c r="C16">
        <v>65073</v>
      </c>
      <c r="G16">
        <f>COUNTIF('Задача 1'!C:C,'Задача 2'!A16)</f>
        <v>3</v>
      </c>
    </row>
    <row r="17" spans="1:7" hidden="1" x14ac:dyDescent="0.3">
      <c r="A17" t="s">
        <v>140</v>
      </c>
      <c r="B17">
        <v>5</v>
      </c>
      <c r="C17">
        <v>331298</v>
      </c>
      <c r="G17">
        <f>COUNTIF('Задача 1'!C:C,'Задача 2'!A17)</f>
        <v>4</v>
      </c>
    </row>
    <row r="18" spans="1:7" hidden="1" x14ac:dyDescent="0.3">
      <c r="A18" t="s">
        <v>235</v>
      </c>
      <c r="B18">
        <v>3</v>
      </c>
      <c r="C18">
        <v>125550</v>
      </c>
      <c r="G18">
        <f>COUNTIF('Задача 1'!C:C,'Задача 2'!A18)</f>
        <v>3</v>
      </c>
    </row>
    <row r="19" spans="1:7" hidden="1" x14ac:dyDescent="0.3">
      <c r="A19" t="s">
        <v>103</v>
      </c>
      <c r="B19">
        <v>9</v>
      </c>
      <c r="C19">
        <v>490430</v>
      </c>
      <c r="G19">
        <f>COUNTIF('Задача 1'!C:C,'Задача 2'!A19)</f>
        <v>5</v>
      </c>
    </row>
    <row r="20" spans="1:7" hidden="1" x14ac:dyDescent="0.3">
      <c r="A20" t="s">
        <v>300</v>
      </c>
      <c r="B20">
        <v>2</v>
      </c>
      <c r="C20">
        <v>174836</v>
      </c>
      <c r="G20">
        <f>COUNTIF('Задача 1'!C:C,'Задача 2'!A20)</f>
        <v>2</v>
      </c>
    </row>
    <row r="21" spans="1:7" hidden="1" x14ac:dyDescent="0.3">
      <c r="A21" t="s">
        <v>53</v>
      </c>
      <c r="B21">
        <v>10</v>
      </c>
      <c r="C21">
        <v>428566</v>
      </c>
      <c r="G21">
        <f>COUNTIF('Задача 1'!C:C,'Задача 2'!A21)</f>
        <v>4</v>
      </c>
    </row>
    <row r="22" spans="1:7" hidden="1" x14ac:dyDescent="0.3">
      <c r="A22" t="s">
        <v>25</v>
      </c>
      <c r="B22">
        <v>7</v>
      </c>
      <c r="C22">
        <v>234645</v>
      </c>
      <c r="G22">
        <f>COUNTIF('Задача 1'!C:C,'Задача 2'!A22)</f>
        <v>8</v>
      </c>
    </row>
    <row r="23" spans="1:7" hidden="1" x14ac:dyDescent="0.3">
      <c r="A23" t="s">
        <v>150</v>
      </c>
      <c r="B23">
        <v>2</v>
      </c>
      <c r="C23">
        <v>221946</v>
      </c>
      <c r="G23">
        <f>COUNTIF('Задача 1'!C:C,'Задача 2'!A23)</f>
        <v>5</v>
      </c>
    </row>
    <row r="24" spans="1:7" hidden="1" x14ac:dyDescent="0.3">
      <c r="A24" t="s">
        <v>238</v>
      </c>
      <c r="B24">
        <v>3</v>
      </c>
      <c r="C24">
        <v>158905</v>
      </c>
      <c r="G24">
        <f>COUNTIF('Задача 1'!C:C,'Задача 2'!A24)</f>
        <v>3</v>
      </c>
    </row>
    <row r="25" spans="1:7" hidden="1" x14ac:dyDescent="0.3">
      <c r="A25" t="s">
        <v>136</v>
      </c>
      <c r="B25">
        <v>2</v>
      </c>
      <c r="C25">
        <v>347395</v>
      </c>
      <c r="G25">
        <f>COUNTIF('Задача 1'!C:C,'Задача 2'!A25)</f>
        <v>2</v>
      </c>
    </row>
    <row r="26" spans="1:7" hidden="1" x14ac:dyDescent="0.3">
      <c r="A26" t="s">
        <v>114</v>
      </c>
      <c r="B26">
        <v>7</v>
      </c>
      <c r="C26">
        <v>305369</v>
      </c>
      <c r="G26">
        <f>COUNTIF('Задача 1'!C:C,'Задача 2'!A26)</f>
        <v>3</v>
      </c>
    </row>
    <row r="27" spans="1:7" hidden="1" x14ac:dyDescent="0.3">
      <c r="A27" t="s">
        <v>112</v>
      </c>
      <c r="B27">
        <v>3</v>
      </c>
      <c r="C27">
        <v>283159</v>
      </c>
      <c r="G27">
        <f>COUNTIF('Задача 1'!C:C,'Задача 2'!A27)</f>
        <v>7</v>
      </c>
    </row>
    <row r="28" spans="1:7" hidden="1" x14ac:dyDescent="0.3">
      <c r="A28" t="s">
        <v>144</v>
      </c>
      <c r="B28">
        <v>3</v>
      </c>
      <c r="C28">
        <v>583616</v>
      </c>
      <c r="G28">
        <f>COUNTIF('Задача 1'!C:C,'Задача 2'!A28)</f>
        <v>5</v>
      </c>
    </row>
    <row r="29" spans="1:7" hidden="1" x14ac:dyDescent="0.3">
      <c r="A29" t="s">
        <v>63</v>
      </c>
      <c r="B29">
        <v>5</v>
      </c>
      <c r="C29">
        <v>137508</v>
      </c>
      <c r="G29">
        <f>COUNTIF('Задача 1'!C:C,'Задача 2'!A29)</f>
        <v>6</v>
      </c>
    </row>
    <row r="30" spans="1:7" hidden="1" x14ac:dyDescent="0.3">
      <c r="A30" t="s">
        <v>96</v>
      </c>
      <c r="B30">
        <v>7</v>
      </c>
      <c r="C30">
        <v>124664</v>
      </c>
      <c r="G30">
        <f>COUNTIF('Задача 1'!C:C,'Задача 2'!A30)</f>
        <v>3</v>
      </c>
    </row>
    <row r="31" spans="1:7" hidden="1" x14ac:dyDescent="0.3">
      <c r="A31" t="s">
        <v>251</v>
      </c>
      <c r="B31">
        <v>1</v>
      </c>
      <c r="C31">
        <v>156574</v>
      </c>
      <c r="G31">
        <f>COUNTIF('Задача 1'!C:C,'Задача 2'!A31)</f>
        <v>6</v>
      </c>
    </row>
    <row r="32" spans="1:7" hidden="1" x14ac:dyDescent="0.3">
      <c r="A32" t="s">
        <v>168</v>
      </c>
      <c r="B32">
        <v>12</v>
      </c>
      <c r="C32">
        <v>336025</v>
      </c>
      <c r="G32">
        <f>COUNTIF('Задача 1'!C:C,'Задача 2'!A32)</f>
        <v>3</v>
      </c>
    </row>
    <row r="33" spans="1:7" hidden="1" x14ac:dyDescent="0.3">
      <c r="A33" t="s">
        <v>13</v>
      </c>
      <c r="B33">
        <v>7</v>
      </c>
      <c r="C33">
        <v>138771</v>
      </c>
      <c r="G33">
        <f>COUNTIF('Задача 1'!C:C,'Задача 2'!A33)</f>
        <v>2</v>
      </c>
    </row>
    <row r="34" spans="1:7" hidden="1" x14ac:dyDescent="0.3">
      <c r="A34" t="s">
        <v>37</v>
      </c>
      <c r="B34">
        <v>8</v>
      </c>
      <c r="C34">
        <v>168974</v>
      </c>
      <c r="G34">
        <f>COUNTIF('Задача 1'!C:C,'Задача 2'!A34)</f>
        <v>6</v>
      </c>
    </row>
    <row r="35" spans="1:7" hidden="1" x14ac:dyDescent="0.3">
      <c r="A35" t="s">
        <v>124</v>
      </c>
      <c r="B35">
        <v>7</v>
      </c>
      <c r="C35">
        <v>508751</v>
      </c>
      <c r="G35">
        <f>COUNTIF('Задача 1'!C:C,'Задача 2'!A35)</f>
        <v>8</v>
      </c>
    </row>
    <row r="36" spans="1:7" hidden="1" x14ac:dyDescent="0.3">
      <c r="A36" t="s">
        <v>83</v>
      </c>
      <c r="B36">
        <v>6</v>
      </c>
      <c r="C36">
        <v>349228</v>
      </c>
      <c r="G36">
        <f>COUNTIF('Задача 1'!C:C,'Задача 2'!A36)</f>
        <v>4</v>
      </c>
    </row>
    <row r="37" spans="1:7" hidden="1" x14ac:dyDescent="0.3">
      <c r="A37" t="s">
        <v>152</v>
      </c>
      <c r="B37">
        <v>7</v>
      </c>
      <c r="C37">
        <v>33409</v>
      </c>
      <c r="G37">
        <f>COUNTIF('Задача 1'!C:C,'Задача 2'!A37)</f>
        <v>5</v>
      </c>
    </row>
    <row r="38" spans="1:7" hidden="1" x14ac:dyDescent="0.3">
      <c r="A38" t="s">
        <v>284</v>
      </c>
      <c r="B38">
        <v>1</v>
      </c>
      <c r="C38">
        <v>270688</v>
      </c>
      <c r="G38">
        <f>COUNTIF('Задача 1'!C:C,'Задача 2'!A38)</f>
        <v>3</v>
      </c>
    </row>
    <row r="39" spans="1:7" hidden="1" x14ac:dyDescent="0.3">
      <c r="A39" t="s">
        <v>222</v>
      </c>
      <c r="B39">
        <v>4</v>
      </c>
      <c r="C39">
        <v>166311</v>
      </c>
      <c r="G39">
        <f>COUNTIF('Задача 1'!C:C,'Задача 2'!A39)</f>
        <v>4</v>
      </c>
    </row>
    <row r="40" spans="1:7" hidden="1" x14ac:dyDescent="0.3">
      <c r="A40" t="s">
        <v>74</v>
      </c>
      <c r="B40">
        <v>10</v>
      </c>
      <c r="C40">
        <v>165117</v>
      </c>
      <c r="G40">
        <f>COUNTIF('Задача 1'!C:C,'Задача 2'!A40)</f>
        <v>6</v>
      </c>
    </row>
    <row r="41" spans="1:7" hidden="1" x14ac:dyDescent="0.3">
      <c r="A41" t="s">
        <v>279</v>
      </c>
      <c r="B41">
        <v>2</v>
      </c>
      <c r="C41">
        <v>18996</v>
      </c>
      <c r="G41">
        <f>COUNTIF('Задача 1'!C:C,'Задача 2'!A41)</f>
        <v>3</v>
      </c>
    </row>
    <row r="42" spans="1:7" hidden="1" x14ac:dyDescent="0.3">
      <c r="A42" t="s">
        <v>209</v>
      </c>
      <c r="B42">
        <v>6</v>
      </c>
      <c r="C42">
        <v>117320</v>
      </c>
      <c r="G42">
        <f>COUNTIF('Задача 1'!C:C,'Задача 2'!A42)</f>
        <v>3</v>
      </c>
    </row>
    <row r="43" spans="1:7" x14ac:dyDescent="0.3">
      <c r="A43" t="s">
        <v>398</v>
      </c>
      <c r="B43">
        <v>5</v>
      </c>
      <c r="C43">
        <v>163989</v>
      </c>
      <c r="G43">
        <f>COUNTIF('Задача 1'!C:C,'Задача 2'!A43)</f>
        <v>1</v>
      </c>
    </row>
    <row r="44" spans="1:7" hidden="1" x14ac:dyDescent="0.3">
      <c r="A44" t="s">
        <v>54</v>
      </c>
      <c r="B44">
        <v>4</v>
      </c>
      <c r="C44">
        <v>183850</v>
      </c>
      <c r="G44">
        <f>COUNTIF('Задача 1'!C:C,'Задача 2'!A44)</f>
        <v>7</v>
      </c>
    </row>
    <row r="45" spans="1:7" hidden="1" x14ac:dyDescent="0.3">
      <c r="A45" t="s">
        <v>61</v>
      </c>
      <c r="B45">
        <v>3</v>
      </c>
      <c r="C45">
        <v>82249</v>
      </c>
      <c r="G45">
        <f>COUNTIF('Задача 1'!C:C,'Задача 2'!A45)</f>
        <v>4</v>
      </c>
    </row>
    <row r="46" spans="1:7" hidden="1" x14ac:dyDescent="0.3">
      <c r="A46" t="s">
        <v>244</v>
      </c>
      <c r="B46">
        <v>5</v>
      </c>
      <c r="C46">
        <v>277586</v>
      </c>
      <c r="G46">
        <f>COUNTIF('Задача 1'!C:C,'Задача 2'!A46)</f>
        <v>2</v>
      </c>
    </row>
    <row r="47" spans="1:7" hidden="1" x14ac:dyDescent="0.3">
      <c r="A47" t="s">
        <v>252</v>
      </c>
      <c r="B47">
        <v>4</v>
      </c>
      <c r="C47">
        <v>192609</v>
      </c>
      <c r="G47">
        <f>COUNTIF('Задача 1'!C:C,'Задача 2'!A47)</f>
        <v>3</v>
      </c>
    </row>
    <row r="48" spans="1:7" hidden="1" x14ac:dyDescent="0.3">
      <c r="A48" t="s">
        <v>186</v>
      </c>
      <c r="B48">
        <v>9</v>
      </c>
      <c r="C48">
        <v>532756</v>
      </c>
      <c r="G48">
        <f>COUNTIF('Задача 1'!C:C,'Задача 2'!A48)</f>
        <v>2</v>
      </c>
    </row>
    <row r="49" spans="1:7" hidden="1" x14ac:dyDescent="0.3">
      <c r="A49" t="s">
        <v>178</v>
      </c>
      <c r="B49">
        <v>3</v>
      </c>
      <c r="C49">
        <v>565367</v>
      </c>
      <c r="G49">
        <f>COUNTIF('Задача 1'!C:C,'Задача 2'!A49)</f>
        <v>7</v>
      </c>
    </row>
    <row r="50" spans="1:7" hidden="1" x14ac:dyDescent="0.3">
      <c r="A50" t="s">
        <v>185</v>
      </c>
      <c r="B50">
        <v>6</v>
      </c>
      <c r="C50">
        <v>123803</v>
      </c>
      <c r="G50">
        <f>COUNTIF('Задача 1'!C:C,'Задача 2'!A50)</f>
        <v>6</v>
      </c>
    </row>
    <row r="51" spans="1:7" hidden="1" x14ac:dyDescent="0.3">
      <c r="A51" t="s">
        <v>67</v>
      </c>
      <c r="B51">
        <v>2</v>
      </c>
      <c r="C51">
        <v>883676</v>
      </c>
      <c r="G51">
        <f>COUNTIF('Задача 1'!C:C,'Задача 2'!A51)</f>
        <v>5</v>
      </c>
    </row>
    <row r="52" spans="1:7" hidden="1" x14ac:dyDescent="0.3">
      <c r="A52" t="s">
        <v>20</v>
      </c>
      <c r="B52">
        <v>9</v>
      </c>
      <c r="C52">
        <v>314900</v>
      </c>
      <c r="G52">
        <f>COUNTIF('Задача 1'!C:C,'Задача 2'!A52)</f>
        <v>3</v>
      </c>
    </row>
    <row r="53" spans="1:7" hidden="1" x14ac:dyDescent="0.3">
      <c r="A53" t="s">
        <v>225</v>
      </c>
      <c r="B53">
        <v>4</v>
      </c>
      <c r="C53">
        <v>158934</v>
      </c>
      <c r="G53">
        <f>COUNTIF('Задача 1'!C:C,'Задача 2'!A53)</f>
        <v>4</v>
      </c>
    </row>
    <row r="54" spans="1:7" hidden="1" x14ac:dyDescent="0.3">
      <c r="A54" t="s">
        <v>43</v>
      </c>
      <c r="B54">
        <v>1</v>
      </c>
      <c r="C54">
        <v>259060</v>
      </c>
      <c r="G54">
        <f>COUNTIF('Задача 1'!C:C,'Задача 2'!A54)</f>
        <v>6</v>
      </c>
    </row>
    <row r="55" spans="1:7" hidden="1" x14ac:dyDescent="0.3">
      <c r="A55" t="s">
        <v>276</v>
      </c>
      <c r="B55">
        <v>2</v>
      </c>
      <c r="C55">
        <v>131409</v>
      </c>
      <c r="G55">
        <f>COUNTIF('Задача 1'!C:C,'Задача 2'!A55)</f>
        <v>3</v>
      </c>
    </row>
    <row r="56" spans="1:7" hidden="1" x14ac:dyDescent="0.3">
      <c r="A56" t="s">
        <v>214</v>
      </c>
      <c r="B56">
        <v>1</v>
      </c>
      <c r="C56">
        <v>418058</v>
      </c>
      <c r="G56">
        <f>COUNTIF('Задача 1'!C:C,'Задача 2'!A56)</f>
        <v>2</v>
      </c>
    </row>
    <row r="57" spans="1:7" hidden="1" x14ac:dyDescent="0.3">
      <c r="A57" t="s">
        <v>22</v>
      </c>
      <c r="B57">
        <v>9</v>
      </c>
      <c r="C57">
        <v>247343</v>
      </c>
      <c r="G57">
        <f>COUNTIF('Задача 1'!C:C,'Задача 2'!A57)</f>
        <v>6</v>
      </c>
    </row>
    <row r="58" spans="1:7" hidden="1" x14ac:dyDescent="0.3">
      <c r="A58" t="s">
        <v>17</v>
      </c>
      <c r="B58">
        <v>5</v>
      </c>
      <c r="C58">
        <v>515762</v>
      </c>
      <c r="G58">
        <f>COUNTIF('Задача 1'!C:C,'Задача 2'!A58)</f>
        <v>5</v>
      </c>
    </row>
    <row r="59" spans="1:7" hidden="1" x14ac:dyDescent="0.3">
      <c r="A59" t="s">
        <v>302</v>
      </c>
      <c r="B59">
        <v>2</v>
      </c>
      <c r="C59">
        <v>134310</v>
      </c>
      <c r="G59">
        <f>COUNTIF('Задача 1'!C:C,'Задача 2'!A59)</f>
        <v>3</v>
      </c>
    </row>
    <row r="60" spans="1:7" x14ac:dyDescent="0.3">
      <c r="A60" t="s">
        <v>440</v>
      </c>
      <c r="B60">
        <v>1</v>
      </c>
      <c r="C60">
        <v>0</v>
      </c>
      <c r="G60">
        <f>COUNTIF('Задача 1'!C:C,'Задача 2'!A60)</f>
        <v>1</v>
      </c>
    </row>
    <row r="61" spans="1:7" hidden="1" x14ac:dyDescent="0.3">
      <c r="A61" t="s">
        <v>49</v>
      </c>
      <c r="B61">
        <v>5</v>
      </c>
      <c r="C61">
        <v>269905</v>
      </c>
      <c r="G61">
        <f>COUNTIF('Задача 1'!C:C,'Задача 2'!A61)</f>
        <v>8</v>
      </c>
    </row>
    <row r="62" spans="1:7" hidden="1" x14ac:dyDescent="0.3">
      <c r="A62" t="s">
        <v>59</v>
      </c>
      <c r="B62">
        <v>8</v>
      </c>
      <c r="C62">
        <v>233759</v>
      </c>
      <c r="G62">
        <f>COUNTIF('Задача 1'!C:C,'Задача 2'!A62)</f>
        <v>3</v>
      </c>
    </row>
    <row r="63" spans="1:7" hidden="1" x14ac:dyDescent="0.3">
      <c r="A63" t="s">
        <v>55</v>
      </c>
      <c r="B63">
        <v>1</v>
      </c>
      <c r="C63">
        <v>367766</v>
      </c>
      <c r="G63">
        <f>COUNTIF('Задача 1'!C:C,'Задача 2'!A63)</f>
        <v>3</v>
      </c>
    </row>
    <row r="64" spans="1:7" hidden="1" x14ac:dyDescent="0.3">
      <c r="A64" t="s">
        <v>85</v>
      </c>
      <c r="B64">
        <v>2</v>
      </c>
      <c r="C64">
        <v>210411</v>
      </c>
      <c r="G64">
        <f>COUNTIF('Задача 1'!C:C,'Задача 2'!A64)</f>
        <v>6</v>
      </c>
    </row>
    <row r="65" spans="1:7" hidden="1" x14ac:dyDescent="0.3">
      <c r="A65" t="s">
        <v>262</v>
      </c>
      <c r="B65">
        <v>7</v>
      </c>
      <c r="C65">
        <v>151460</v>
      </c>
      <c r="G65">
        <f>COUNTIF('Задача 1'!C:C,'Задача 2'!A65)</f>
        <v>3</v>
      </c>
    </row>
    <row r="66" spans="1:7" hidden="1" x14ac:dyDescent="0.3">
      <c r="A66" t="s">
        <v>51</v>
      </c>
      <c r="B66">
        <v>6</v>
      </c>
      <c r="C66">
        <v>523774</v>
      </c>
      <c r="G66">
        <f>COUNTIF('Задача 1'!C:C,'Задача 2'!A66)</f>
        <v>4</v>
      </c>
    </row>
    <row r="67" spans="1:7" x14ac:dyDescent="0.3">
      <c r="A67" t="s">
        <v>323</v>
      </c>
      <c r="B67">
        <v>3</v>
      </c>
      <c r="C67">
        <v>326968</v>
      </c>
      <c r="G67">
        <f>COUNTIF('Задача 1'!C:C,'Задача 2'!A67)</f>
        <v>1</v>
      </c>
    </row>
    <row r="68" spans="1:7" hidden="1" x14ac:dyDescent="0.3">
      <c r="A68" t="s">
        <v>183</v>
      </c>
      <c r="B68">
        <v>5</v>
      </c>
      <c r="C68">
        <v>355074</v>
      </c>
      <c r="G68">
        <f>COUNTIF('Задача 1'!C:C,'Задача 2'!A68)</f>
        <v>4</v>
      </c>
    </row>
    <row r="69" spans="1:7" hidden="1" x14ac:dyDescent="0.3">
      <c r="A69" t="s">
        <v>123</v>
      </c>
      <c r="B69">
        <v>3</v>
      </c>
      <c r="C69">
        <v>559008</v>
      </c>
      <c r="G69">
        <f>COUNTIF('Задача 1'!C:C,'Задача 2'!A69)</f>
        <v>3</v>
      </c>
    </row>
    <row r="70" spans="1:7" hidden="1" x14ac:dyDescent="0.3">
      <c r="A70" t="s">
        <v>156</v>
      </c>
      <c r="B70">
        <v>7</v>
      </c>
      <c r="C70">
        <v>12877</v>
      </c>
      <c r="G70">
        <f>COUNTIF('Задача 1'!C:C,'Задача 2'!A70)</f>
        <v>5</v>
      </c>
    </row>
    <row r="71" spans="1:7" hidden="1" x14ac:dyDescent="0.3">
      <c r="A71" t="s">
        <v>48</v>
      </c>
      <c r="B71">
        <v>5</v>
      </c>
      <c r="C71">
        <v>746080</v>
      </c>
      <c r="G71">
        <f>COUNTIF('Задача 1'!C:C,'Задача 2'!A71)</f>
        <v>6</v>
      </c>
    </row>
    <row r="72" spans="1:7" hidden="1" x14ac:dyDescent="0.3">
      <c r="A72" t="s">
        <v>6</v>
      </c>
      <c r="B72">
        <v>5</v>
      </c>
      <c r="C72">
        <v>465637</v>
      </c>
      <c r="G72">
        <f>COUNTIF('Задача 1'!C:C,'Задача 2'!A72)</f>
        <v>4</v>
      </c>
    </row>
    <row r="73" spans="1:7" hidden="1" x14ac:dyDescent="0.3">
      <c r="A73" t="s">
        <v>131</v>
      </c>
      <c r="B73">
        <v>3</v>
      </c>
      <c r="C73">
        <v>252644</v>
      </c>
      <c r="G73">
        <f>COUNTIF('Задача 1'!C:C,'Задача 2'!A73)</f>
        <v>2</v>
      </c>
    </row>
    <row r="74" spans="1:7" hidden="1" x14ac:dyDescent="0.3">
      <c r="A74" t="s">
        <v>75</v>
      </c>
      <c r="B74">
        <v>5</v>
      </c>
      <c r="C74">
        <v>112801</v>
      </c>
      <c r="G74">
        <f>COUNTIF('Задача 1'!C:C,'Задача 2'!A74)</f>
        <v>3</v>
      </c>
    </row>
    <row r="75" spans="1:7" hidden="1" x14ac:dyDescent="0.3">
      <c r="A75" t="s">
        <v>388</v>
      </c>
      <c r="B75">
        <v>6</v>
      </c>
      <c r="C75">
        <v>244665</v>
      </c>
      <c r="G75">
        <f>COUNTIF('Задача 1'!C:C,'Задача 2'!A75)</f>
        <v>2</v>
      </c>
    </row>
    <row r="76" spans="1:7" hidden="1" x14ac:dyDescent="0.3">
      <c r="A76" t="s">
        <v>19</v>
      </c>
      <c r="B76">
        <v>6</v>
      </c>
      <c r="C76">
        <v>257922</v>
      </c>
      <c r="G76">
        <f>COUNTIF('Задача 1'!C:C,'Задача 2'!A76)</f>
        <v>7</v>
      </c>
    </row>
    <row r="77" spans="1:7" hidden="1" x14ac:dyDescent="0.3">
      <c r="A77" t="s">
        <v>387</v>
      </c>
      <c r="B77">
        <v>2</v>
      </c>
      <c r="C77">
        <v>164444</v>
      </c>
      <c r="G77">
        <f>COUNTIF('Задача 1'!C:C,'Задача 2'!A77)</f>
        <v>3</v>
      </c>
    </row>
    <row r="78" spans="1:7" hidden="1" x14ac:dyDescent="0.3">
      <c r="A78" t="s">
        <v>312</v>
      </c>
      <c r="B78">
        <v>5</v>
      </c>
      <c r="C78">
        <v>286719</v>
      </c>
      <c r="G78">
        <f>COUNTIF('Задача 1'!C:C,'Задача 2'!A78)</f>
        <v>5</v>
      </c>
    </row>
    <row r="79" spans="1:7" hidden="1" x14ac:dyDescent="0.3">
      <c r="A79" t="s">
        <v>147</v>
      </c>
      <c r="B79">
        <v>11</v>
      </c>
      <c r="C79">
        <v>437948</v>
      </c>
      <c r="G79">
        <f>COUNTIF('Задача 1'!C:C,'Задача 2'!A79)</f>
        <v>5</v>
      </c>
    </row>
    <row r="80" spans="1:7" hidden="1" x14ac:dyDescent="0.3">
      <c r="A80" t="s">
        <v>289</v>
      </c>
      <c r="B80">
        <v>2</v>
      </c>
      <c r="C80">
        <v>97372</v>
      </c>
      <c r="G80">
        <f>COUNTIF('Задача 1'!C:C,'Задача 2'!A80)</f>
        <v>4</v>
      </c>
    </row>
    <row r="81" spans="1:7" x14ac:dyDescent="0.3">
      <c r="A81" t="s">
        <v>360</v>
      </c>
      <c r="B81">
        <v>6</v>
      </c>
      <c r="C81">
        <v>97355</v>
      </c>
      <c r="G81">
        <f>COUNTIF('Задача 1'!C:C,'Задача 2'!A81)</f>
        <v>1</v>
      </c>
    </row>
    <row r="82" spans="1:7" hidden="1" x14ac:dyDescent="0.3">
      <c r="A82" t="s">
        <v>52</v>
      </c>
      <c r="B82">
        <v>5</v>
      </c>
      <c r="C82">
        <v>305592</v>
      </c>
      <c r="G82">
        <f>COUNTIF('Задача 1'!C:C,'Задача 2'!A82)</f>
        <v>7</v>
      </c>
    </row>
    <row r="83" spans="1:7" hidden="1" x14ac:dyDescent="0.3">
      <c r="A83" t="s">
        <v>282</v>
      </c>
      <c r="B83">
        <v>3</v>
      </c>
      <c r="C83">
        <v>122463</v>
      </c>
      <c r="G83">
        <f>COUNTIF('Задача 1'!C:C,'Задача 2'!A83)</f>
        <v>2</v>
      </c>
    </row>
    <row r="84" spans="1:7" hidden="1" x14ac:dyDescent="0.3">
      <c r="A84" t="s">
        <v>146</v>
      </c>
      <c r="B84">
        <v>4</v>
      </c>
      <c r="C84">
        <v>437976</v>
      </c>
      <c r="G84">
        <f>COUNTIF('Задача 1'!C:C,'Задача 2'!A84)</f>
        <v>7</v>
      </c>
    </row>
    <row r="85" spans="1:7" hidden="1" x14ac:dyDescent="0.3">
      <c r="A85" t="s">
        <v>46</v>
      </c>
      <c r="B85">
        <v>8</v>
      </c>
      <c r="C85">
        <v>511261</v>
      </c>
      <c r="G85">
        <f>COUNTIF('Задача 1'!C:C,'Задача 2'!A85)</f>
        <v>5</v>
      </c>
    </row>
    <row r="86" spans="1:7" hidden="1" x14ac:dyDescent="0.3">
      <c r="A86" t="s">
        <v>174</v>
      </c>
      <c r="B86">
        <v>4</v>
      </c>
      <c r="C86">
        <v>561096</v>
      </c>
      <c r="G86">
        <f>COUNTIF('Задача 1'!C:C,'Задача 2'!A86)</f>
        <v>7</v>
      </c>
    </row>
    <row r="87" spans="1:7" hidden="1" x14ac:dyDescent="0.3">
      <c r="A87" t="s">
        <v>84</v>
      </c>
      <c r="B87">
        <v>3</v>
      </c>
      <c r="C87">
        <v>636973</v>
      </c>
      <c r="G87">
        <f>COUNTIF('Задача 1'!C:C,'Задача 2'!A87)</f>
        <v>6</v>
      </c>
    </row>
    <row r="88" spans="1:7" x14ac:dyDescent="0.3">
      <c r="A88" t="s">
        <v>280</v>
      </c>
      <c r="B88">
        <v>5</v>
      </c>
      <c r="C88">
        <v>101763</v>
      </c>
      <c r="G88">
        <f>COUNTIF('Задача 1'!C:C,'Задача 2'!A88)</f>
        <v>1</v>
      </c>
    </row>
    <row r="89" spans="1:7" hidden="1" x14ac:dyDescent="0.3">
      <c r="A89" t="s">
        <v>62</v>
      </c>
      <c r="B89">
        <v>5</v>
      </c>
      <c r="C89">
        <v>417053</v>
      </c>
      <c r="G89">
        <f>COUNTIF('Задача 1'!C:C,'Задача 2'!A89)</f>
        <v>3</v>
      </c>
    </row>
    <row r="90" spans="1:7" hidden="1" x14ac:dyDescent="0.3">
      <c r="A90" t="s">
        <v>107</v>
      </c>
      <c r="B90">
        <v>1</v>
      </c>
      <c r="C90">
        <v>323812</v>
      </c>
      <c r="G90">
        <f>COUNTIF('Задача 1'!C:C,'Задача 2'!A90)</f>
        <v>5</v>
      </c>
    </row>
    <row r="91" spans="1:7" hidden="1" x14ac:dyDescent="0.3">
      <c r="A91" t="s">
        <v>115</v>
      </c>
      <c r="B91">
        <v>5</v>
      </c>
      <c r="C91">
        <v>596460</v>
      </c>
      <c r="G91">
        <f>COUNTIF('Задача 1'!C:C,'Задача 2'!A91)</f>
        <v>5</v>
      </c>
    </row>
    <row r="92" spans="1:7" hidden="1" x14ac:dyDescent="0.3">
      <c r="A92" t="s">
        <v>80</v>
      </c>
      <c r="B92">
        <v>1</v>
      </c>
      <c r="C92">
        <v>545918</v>
      </c>
      <c r="G92">
        <f>COUNTIF('Задача 1'!C:C,'Задача 2'!A92)</f>
        <v>5</v>
      </c>
    </row>
    <row r="93" spans="1:7" hidden="1" x14ac:dyDescent="0.3">
      <c r="A93" t="s">
        <v>277</v>
      </c>
      <c r="B93">
        <v>2</v>
      </c>
      <c r="C93">
        <v>190183</v>
      </c>
      <c r="G93">
        <f>COUNTIF('Задача 1'!C:C,'Задача 2'!A93)</f>
        <v>3</v>
      </c>
    </row>
    <row r="94" spans="1:7" hidden="1" x14ac:dyDescent="0.3">
      <c r="A94" t="s">
        <v>227</v>
      </c>
      <c r="B94">
        <v>3</v>
      </c>
      <c r="C94">
        <v>270078</v>
      </c>
      <c r="G94">
        <f>COUNTIF('Задача 1'!C:C,'Задача 2'!A94)</f>
        <v>3</v>
      </c>
    </row>
    <row r="95" spans="1:7" hidden="1" x14ac:dyDescent="0.3">
      <c r="A95" t="s">
        <v>202</v>
      </c>
      <c r="B95">
        <v>2</v>
      </c>
      <c r="C95">
        <v>85226</v>
      </c>
      <c r="G95">
        <f>COUNTIF('Задача 1'!C:C,'Задача 2'!A95)</f>
        <v>2</v>
      </c>
    </row>
    <row r="96" spans="1:7" hidden="1" x14ac:dyDescent="0.3">
      <c r="A96" t="s">
        <v>193</v>
      </c>
      <c r="B96">
        <v>3</v>
      </c>
      <c r="C96">
        <v>240269</v>
      </c>
      <c r="G96">
        <f>COUNTIF('Задача 1'!C:C,'Задача 2'!A96)</f>
        <v>5</v>
      </c>
    </row>
    <row r="97" spans="1:7" hidden="1" x14ac:dyDescent="0.3">
      <c r="A97" t="s">
        <v>315</v>
      </c>
      <c r="B97">
        <v>3</v>
      </c>
      <c r="C97">
        <v>368216</v>
      </c>
      <c r="G97">
        <f>COUNTIF('Задача 1'!C:C,'Задача 2'!A97)</f>
        <v>5</v>
      </c>
    </row>
    <row r="98" spans="1:7" hidden="1" x14ac:dyDescent="0.3">
      <c r="A98" t="s">
        <v>126</v>
      </c>
      <c r="B98">
        <v>4</v>
      </c>
      <c r="C98">
        <v>322752</v>
      </c>
      <c r="G98">
        <f>COUNTIF('Задача 1'!C:C,'Задача 2'!A98)</f>
        <v>7</v>
      </c>
    </row>
    <row r="99" spans="1:7" hidden="1" x14ac:dyDescent="0.3">
      <c r="A99" t="s">
        <v>270</v>
      </c>
      <c r="B99">
        <v>2</v>
      </c>
      <c r="C99">
        <v>128495</v>
      </c>
      <c r="G99">
        <f>COUNTIF('Задача 1'!C:C,'Задача 2'!A99)</f>
        <v>3</v>
      </c>
    </row>
    <row r="100" spans="1:7" hidden="1" x14ac:dyDescent="0.3">
      <c r="A100" t="s">
        <v>205</v>
      </c>
      <c r="B100">
        <v>10</v>
      </c>
      <c r="C100">
        <v>181518</v>
      </c>
      <c r="G100">
        <f>COUNTIF('Задача 1'!C:C,'Задача 2'!A100)</f>
        <v>4</v>
      </c>
    </row>
    <row r="101" spans="1:7" hidden="1" x14ac:dyDescent="0.3">
      <c r="A101" t="s">
        <v>81</v>
      </c>
      <c r="B101">
        <v>5</v>
      </c>
      <c r="C101">
        <v>396901</v>
      </c>
      <c r="G101">
        <f>COUNTIF('Задача 1'!C:C,'Задача 2'!A101)</f>
        <v>6</v>
      </c>
    </row>
    <row r="102" spans="1:7" hidden="1" x14ac:dyDescent="0.3">
      <c r="A102" t="s">
        <v>36</v>
      </c>
      <c r="B102">
        <v>3</v>
      </c>
      <c r="C102">
        <v>411541</v>
      </c>
      <c r="G102">
        <f>COUNTIF('Задача 1'!C:C,'Задача 2'!A102)</f>
        <v>7</v>
      </c>
    </row>
    <row r="103" spans="1:7" hidden="1" x14ac:dyDescent="0.3">
      <c r="A103" t="s">
        <v>97</v>
      </c>
      <c r="B103">
        <v>3</v>
      </c>
      <c r="C103">
        <v>247016</v>
      </c>
      <c r="G103">
        <f>COUNTIF('Задача 1'!C:C,'Задача 2'!A103)</f>
        <v>3</v>
      </c>
    </row>
    <row r="104" spans="1:7" hidden="1" x14ac:dyDescent="0.3">
      <c r="A104" t="s">
        <v>402</v>
      </c>
      <c r="B104">
        <v>3</v>
      </c>
      <c r="C104">
        <v>76944</v>
      </c>
      <c r="G104">
        <f>COUNTIF('Задача 1'!C:C,'Задача 2'!A104)</f>
        <v>2</v>
      </c>
    </row>
    <row r="105" spans="1:7" hidden="1" x14ac:dyDescent="0.3">
      <c r="A105" t="s">
        <v>11</v>
      </c>
      <c r="B105">
        <v>16</v>
      </c>
      <c r="C105">
        <v>161302</v>
      </c>
      <c r="G105">
        <f>COUNTIF('Задача 1'!C:C,'Задача 2'!A105)</f>
        <v>5</v>
      </c>
    </row>
    <row r="106" spans="1:7" hidden="1" x14ac:dyDescent="0.3">
      <c r="A106" t="s">
        <v>181</v>
      </c>
      <c r="B106">
        <v>6</v>
      </c>
      <c r="C106">
        <v>86442</v>
      </c>
      <c r="G106">
        <f>COUNTIF('Задача 1'!C:C,'Задача 2'!A106)</f>
        <v>5</v>
      </c>
    </row>
    <row r="107" spans="1:7" hidden="1" x14ac:dyDescent="0.3">
      <c r="A107" t="s">
        <v>105</v>
      </c>
      <c r="B107">
        <v>6</v>
      </c>
      <c r="C107">
        <v>76527</v>
      </c>
      <c r="G107">
        <f>COUNTIF('Задача 1'!C:C,'Задача 2'!A107)</f>
        <v>6</v>
      </c>
    </row>
    <row r="108" spans="1:7" hidden="1" x14ac:dyDescent="0.3">
      <c r="A108" t="s">
        <v>195</v>
      </c>
      <c r="B108">
        <v>5</v>
      </c>
      <c r="C108">
        <v>234058</v>
      </c>
      <c r="G108">
        <f>COUNTIF('Задача 1'!C:C,'Задача 2'!A108)</f>
        <v>4</v>
      </c>
    </row>
    <row r="109" spans="1:7" hidden="1" x14ac:dyDescent="0.3">
      <c r="A109" t="s">
        <v>42</v>
      </c>
      <c r="B109">
        <v>11</v>
      </c>
      <c r="C109">
        <v>392976</v>
      </c>
      <c r="G109">
        <f>COUNTIF('Задача 1'!C:C,'Задача 2'!A109)</f>
        <v>2</v>
      </c>
    </row>
    <row r="110" spans="1:7" hidden="1" x14ac:dyDescent="0.3">
      <c r="A110" t="s">
        <v>247</v>
      </c>
      <c r="B110">
        <v>4</v>
      </c>
      <c r="C110">
        <v>86257</v>
      </c>
      <c r="G110">
        <f>COUNTIF('Задача 1'!C:C,'Задача 2'!A110)</f>
        <v>5</v>
      </c>
    </row>
    <row r="111" spans="1:7" hidden="1" x14ac:dyDescent="0.3">
      <c r="A111" t="s">
        <v>69</v>
      </c>
      <c r="B111">
        <v>3</v>
      </c>
      <c r="C111">
        <v>680657</v>
      </c>
      <c r="G111">
        <f>COUNTIF('Задача 1'!C:C,'Задача 2'!A111)</f>
        <v>10</v>
      </c>
    </row>
    <row r="112" spans="1:7" hidden="1" x14ac:dyDescent="0.3">
      <c r="A112" t="s">
        <v>30</v>
      </c>
      <c r="B112">
        <v>3</v>
      </c>
      <c r="C112">
        <v>263909</v>
      </c>
      <c r="G112">
        <f>COUNTIF('Задача 1'!C:C,'Задача 2'!A112)</f>
        <v>4</v>
      </c>
    </row>
    <row r="113" spans="1:7" hidden="1" x14ac:dyDescent="0.3">
      <c r="A113" t="s">
        <v>242</v>
      </c>
      <c r="B113">
        <v>3</v>
      </c>
      <c r="C113">
        <v>123926</v>
      </c>
      <c r="G113">
        <f>COUNTIF('Задача 1'!C:C,'Задача 2'!A113)</f>
        <v>2</v>
      </c>
    </row>
    <row r="114" spans="1:7" hidden="1" x14ac:dyDescent="0.3">
      <c r="A114" t="s">
        <v>116</v>
      </c>
      <c r="B114">
        <v>8</v>
      </c>
      <c r="C114">
        <v>239129</v>
      </c>
      <c r="G114">
        <f>COUNTIF('Задача 1'!C:C,'Задача 2'!A114)</f>
        <v>9</v>
      </c>
    </row>
    <row r="115" spans="1:7" hidden="1" x14ac:dyDescent="0.3">
      <c r="A115" t="s">
        <v>60</v>
      </c>
      <c r="B115">
        <v>7</v>
      </c>
      <c r="C115">
        <v>363171</v>
      </c>
      <c r="G115">
        <f>COUNTIF('Задача 1'!C:C,'Задача 2'!A115)</f>
        <v>4</v>
      </c>
    </row>
    <row r="116" spans="1:7" hidden="1" x14ac:dyDescent="0.3">
      <c r="A116" t="s">
        <v>364</v>
      </c>
      <c r="B116">
        <v>5</v>
      </c>
      <c r="C116">
        <v>161305</v>
      </c>
      <c r="G116">
        <f>COUNTIF('Задача 1'!C:C,'Задача 2'!A116)</f>
        <v>2</v>
      </c>
    </row>
    <row r="117" spans="1:7" hidden="1" x14ac:dyDescent="0.3">
      <c r="A117" t="s">
        <v>258</v>
      </c>
      <c r="B117">
        <v>4</v>
      </c>
      <c r="C117">
        <v>126764</v>
      </c>
      <c r="G117">
        <f>COUNTIF('Задача 1'!C:C,'Задача 2'!A117)</f>
        <v>6</v>
      </c>
    </row>
    <row r="118" spans="1:7" hidden="1" x14ac:dyDescent="0.3">
      <c r="A118" t="s">
        <v>290</v>
      </c>
      <c r="B118">
        <v>3</v>
      </c>
      <c r="C118">
        <v>27551</v>
      </c>
      <c r="G118">
        <f>COUNTIF('Задача 1'!C:C,'Задача 2'!A118)</f>
        <v>2</v>
      </c>
    </row>
    <row r="119" spans="1:7" hidden="1" x14ac:dyDescent="0.3">
      <c r="A119" t="s">
        <v>29</v>
      </c>
      <c r="B119">
        <v>7</v>
      </c>
      <c r="C119">
        <v>283776</v>
      </c>
      <c r="G119">
        <f>COUNTIF('Задача 1'!C:C,'Задача 2'!A119)</f>
        <v>3</v>
      </c>
    </row>
    <row r="120" spans="1:7" hidden="1" x14ac:dyDescent="0.3">
      <c r="A120" t="s">
        <v>138</v>
      </c>
      <c r="B120">
        <v>1</v>
      </c>
      <c r="C120">
        <v>365108</v>
      </c>
      <c r="G120">
        <f>COUNTIF('Задача 1'!C:C,'Задача 2'!A120)</f>
        <v>2</v>
      </c>
    </row>
    <row r="121" spans="1:7" hidden="1" x14ac:dyDescent="0.3">
      <c r="A121" t="s">
        <v>101</v>
      </c>
      <c r="B121">
        <v>3</v>
      </c>
      <c r="C121">
        <v>437841</v>
      </c>
      <c r="G121">
        <f>COUNTIF('Задача 1'!C:C,'Задача 2'!A121)</f>
        <v>4</v>
      </c>
    </row>
    <row r="122" spans="1:7" hidden="1" x14ac:dyDescent="0.3">
      <c r="A122" t="s">
        <v>27</v>
      </c>
      <c r="B122">
        <v>12</v>
      </c>
      <c r="C122">
        <v>138427</v>
      </c>
      <c r="G122">
        <f>COUNTIF('Задача 1'!C:C,'Задача 2'!A122)</f>
        <v>4</v>
      </c>
    </row>
    <row r="123" spans="1:7" hidden="1" x14ac:dyDescent="0.3">
      <c r="A123" t="s">
        <v>171</v>
      </c>
      <c r="B123">
        <v>3</v>
      </c>
      <c r="C123">
        <v>135994</v>
      </c>
      <c r="G123">
        <f>COUNTIF('Задача 1'!C:C,'Задача 2'!A123)</f>
        <v>4</v>
      </c>
    </row>
    <row r="124" spans="1:7" hidden="1" x14ac:dyDescent="0.3">
      <c r="A124" t="s">
        <v>191</v>
      </c>
      <c r="B124">
        <v>5</v>
      </c>
      <c r="C124">
        <v>337825</v>
      </c>
      <c r="G124">
        <f>COUNTIF('Задача 1'!C:C,'Задача 2'!A124)</f>
        <v>7</v>
      </c>
    </row>
    <row r="125" spans="1:7" hidden="1" x14ac:dyDescent="0.3">
      <c r="A125" t="s">
        <v>273</v>
      </c>
      <c r="B125">
        <v>7</v>
      </c>
      <c r="C125">
        <v>235182</v>
      </c>
      <c r="G125">
        <f>COUNTIF('Задача 1'!C:C,'Задача 2'!A125)</f>
        <v>3</v>
      </c>
    </row>
    <row r="126" spans="1:7" hidden="1" x14ac:dyDescent="0.3">
      <c r="A126" t="s">
        <v>72</v>
      </c>
      <c r="B126">
        <v>5</v>
      </c>
      <c r="C126">
        <v>257138</v>
      </c>
      <c r="G126">
        <f>COUNTIF('Задача 1'!C:C,'Задача 2'!A126)</f>
        <v>5</v>
      </c>
    </row>
    <row r="127" spans="1:7" hidden="1" x14ac:dyDescent="0.3">
      <c r="A127" t="s">
        <v>324</v>
      </c>
      <c r="B127">
        <v>2</v>
      </c>
      <c r="C127">
        <v>23256</v>
      </c>
      <c r="G127">
        <f>COUNTIF('Задача 1'!C:C,'Задача 2'!A127)</f>
        <v>3</v>
      </c>
    </row>
    <row r="128" spans="1:7" hidden="1" x14ac:dyDescent="0.3">
      <c r="A128" t="s">
        <v>94</v>
      </c>
      <c r="B128">
        <v>4</v>
      </c>
      <c r="C128">
        <v>399605</v>
      </c>
      <c r="G128">
        <f>COUNTIF('Задача 1'!C:C,'Задача 2'!A128)</f>
        <v>4</v>
      </c>
    </row>
    <row r="129" spans="1:7" hidden="1" x14ac:dyDescent="0.3">
      <c r="A129" t="s">
        <v>154</v>
      </c>
      <c r="B129">
        <v>3</v>
      </c>
      <c r="C129">
        <v>363221</v>
      </c>
      <c r="G129">
        <f>COUNTIF('Задача 1'!C:C,'Задача 2'!A129)</f>
        <v>6</v>
      </c>
    </row>
    <row r="130" spans="1:7" hidden="1" x14ac:dyDescent="0.3">
      <c r="A130" t="s">
        <v>380</v>
      </c>
      <c r="B130">
        <v>4</v>
      </c>
      <c r="C130">
        <v>86547</v>
      </c>
      <c r="G130">
        <f>COUNTIF('Задача 1'!C:C,'Задача 2'!A130)</f>
        <v>2</v>
      </c>
    </row>
    <row r="131" spans="1:7" hidden="1" x14ac:dyDescent="0.3">
      <c r="A131" t="s">
        <v>169</v>
      </c>
      <c r="B131">
        <v>5</v>
      </c>
      <c r="C131">
        <v>238177</v>
      </c>
      <c r="G131">
        <f>COUNTIF('Задача 1'!C:C,'Задача 2'!A131)</f>
        <v>4</v>
      </c>
    </row>
    <row r="132" spans="1:7" hidden="1" x14ac:dyDescent="0.3">
      <c r="A132" t="s">
        <v>141</v>
      </c>
      <c r="B132">
        <v>2</v>
      </c>
      <c r="C132">
        <v>277626</v>
      </c>
      <c r="G132">
        <f>COUNTIF('Задача 1'!C:C,'Задача 2'!A132)</f>
        <v>4</v>
      </c>
    </row>
    <row r="133" spans="1:7" hidden="1" x14ac:dyDescent="0.3">
      <c r="A133" t="s">
        <v>394</v>
      </c>
      <c r="B133">
        <v>2</v>
      </c>
      <c r="C133">
        <v>38665</v>
      </c>
      <c r="G133">
        <f>COUNTIF('Задача 1'!C:C,'Задача 2'!A133)</f>
        <v>3</v>
      </c>
    </row>
    <row r="134" spans="1:7" hidden="1" x14ac:dyDescent="0.3">
      <c r="A134" t="s">
        <v>208</v>
      </c>
      <c r="B134">
        <v>4</v>
      </c>
      <c r="C134">
        <v>278670</v>
      </c>
      <c r="G134">
        <f>COUNTIF('Задача 1'!C:C,'Задача 2'!A134)</f>
        <v>2</v>
      </c>
    </row>
    <row r="135" spans="1:7" hidden="1" x14ac:dyDescent="0.3">
      <c r="A135" t="s">
        <v>190</v>
      </c>
      <c r="B135">
        <v>7</v>
      </c>
      <c r="C135">
        <v>561141</v>
      </c>
      <c r="G135">
        <f>COUNTIF('Задача 1'!C:C,'Задача 2'!A135)</f>
        <v>7</v>
      </c>
    </row>
    <row r="136" spans="1:7" hidden="1" x14ac:dyDescent="0.3">
      <c r="A136" t="s">
        <v>66</v>
      </c>
      <c r="B136">
        <v>6</v>
      </c>
      <c r="C136">
        <v>293791</v>
      </c>
      <c r="G136">
        <f>COUNTIF('Задача 1'!C:C,'Задача 2'!A136)</f>
        <v>5</v>
      </c>
    </row>
    <row r="137" spans="1:7" hidden="1" x14ac:dyDescent="0.3">
      <c r="A137" t="s">
        <v>39</v>
      </c>
      <c r="B137">
        <v>3</v>
      </c>
      <c r="C137">
        <v>294757</v>
      </c>
      <c r="G137">
        <f>COUNTIF('Задача 1'!C:C,'Задача 2'!A137)</f>
        <v>3</v>
      </c>
    </row>
    <row r="138" spans="1:7" hidden="1" x14ac:dyDescent="0.3">
      <c r="A138" t="s">
        <v>149</v>
      </c>
      <c r="B138">
        <v>5</v>
      </c>
      <c r="C138">
        <v>320942</v>
      </c>
      <c r="G138">
        <f>COUNTIF('Задача 1'!C:C,'Задача 2'!A138)</f>
        <v>6</v>
      </c>
    </row>
    <row r="139" spans="1:7" hidden="1" x14ac:dyDescent="0.3">
      <c r="A139" t="s">
        <v>70</v>
      </c>
      <c r="B139">
        <v>9</v>
      </c>
      <c r="C139">
        <v>548880</v>
      </c>
      <c r="G139">
        <f>COUNTIF('Задача 1'!C:C,'Задача 2'!A139)</f>
        <v>9</v>
      </c>
    </row>
    <row r="140" spans="1:7" hidden="1" x14ac:dyDescent="0.3">
      <c r="A140" t="s">
        <v>15</v>
      </c>
      <c r="B140">
        <v>7</v>
      </c>
      <c r="C140">
        <v>511277</v>
      </c>
      <c r="G140">
        <f>COUNTIF('Задача 1'!C:C,'Задача 2'!A140)</f>
        <v>3</v>
      </c>
    </row>
    <row r="141" spans="1:7" hidden="1" x14ac:dyDescent="0.3">
      <c r="A141" t="s">
        <v>78</v>
      </c>
      <c r="B141">
        <v>6</v>
      </c>
      <c r="C141">
        <v>358244</v>
      </c>
      <c r="G141">
        <f>COUNTIF('Задача 1'!C:C,'Задача 2'!A141)</f>
        <v>6</v>
      </c>
    </row>
    <row r="142" spans="1:7" hidden="1" x14ac:dyDescent="0.3">
      <c r="A142" t="s">
        <v>32</v>
      </c>
      <c r="B142">
        <v>8</v>
      </c>
      <c r="C142">
        <v>472269</v>
      </c>
      <c r="G142">
        <f>COUNTIF('Задача 1'!C:C,'Задача 2'!A142)</f>
        <v>6</v>
      </c>
    </row>
    <row r="143" spans="1:7" hidden="1" x14ac:dyDescent="0.3">
      <c r="A143" t="s">
        <v>23</v>
      </c>
      <c r="B143">
        <v>8</v>
      </c>
      <c r="C143">
        <v>254893</v>
      </c>
      <c r="G143">
        <f>COUNTIF('Задача 1'!C:C,'Задача 2'!A143)</f>
        <v>3</v>
      </c>
    </row>
    <row r="144" spans="1:7" hidden="1" x14ac:dyDescent="0.3">
      <c r="A144" t="s">
        <v>92</v>
      </c>
      <c r="B144">
        <v>2</v>
      </c>
      <c r="C144">
        <v>176680</v>
      </c>
      <c r="G144">
        <f>COUNTIF('Задача 1'!C:C,'Задача 2'!A144)</f>
        <v>7</v>
      </c>
    </row>
    <row r="145" spans="1:7" hidden="1" x14ac:dyDescent="0.3">
      <c r="A145" t="s">
        <v>234</v>
      </c>
      <c r="B145">
        <v>3</v>
      </c>
      <c r="C145">
        <v>179806</v>
      </c>
      <c r="G145">
        <f>COUNTIF('Задача 1'!C:C,'Задача 2'!A145)</f>
        <v>2</v>
      </c>
    </row>
    <row r="146" spans="1:7" hidden="1" x14ac:dyDescent="0.3">
      <c r="A146" t="s">
        <v>109</v>
      </c>
      <c r="B146">
        <v>10</v>
      </c>
      <c r="C146">
        <v>309367</v>
      </c>
      <c r="G146">
        <f>COUNTIF('Задача 1'!C:C,'Задача 2'!A146)</f>
        <v>4</v>
      </c>
    </row>
    <row r="147" spans="1:7" hidden="1" x14ac:dyDescent="0.3">
      <c r="A147" t="s">
        <v>210</v>
      </c>
      <c r="B147">
        <v>3</v>
      </c>
      <c r="C147">
        <v>122581</v>
      </c>
      <c r="G147">
        <f>COUNTIF('Задача 1'!C:C,'Задача 2'!A147)</f>
        <v>2</v>
      </c>
    </row>
    <row r="148" spans="1:7" hidden="1" x14ac:dyDescent="0.3">
      <c r="A148" t="s">
        <v>90</v>
      </c>
      <c r="B148">
        <v>7</v>
      </c>
      <c r="C148">
        <v>393022</v>
      </c>
      <c r="G148">
        <f>COUNTIF('Задача 1'!C:C,'Задача 2'!A148)</f>
        <v>3</v>
      </c>
    </row>
    <row r="149" spans="1:7" hidden="1" x14ac:dyDescent="0.3">
      <c r="A149" t="s">
        <v>167</v>
      </c>
      <c r="B149">
        <v>7</v>
      </c>
      <c r="C149">
        <v>128247</v>
      </c>
      <c r="G149">
        <f>COUNTIF('Задача 1'!C:C,'Задача 2'!A149)</f>
        <v>4</v>
      </c>
    </row>
    <row r="150" spans="1:7" hidden="1" x14ac:dyDescent="0.3">
      <c r="A150" t="s">
        <v>106</v>
      </c>
      <c r="B150">
        <v>5</v>
      </c>
      <c r="C150">
        <v>256551</v>
      </c>
      <c r="G150">
        <f>COUNTIF('Задача 1'!C:C,'Задача 2'!A150)</f>
        <v>2</v>
      </c>
    </row>
    <row r="151" spans="1:7" hidden="1" x14ac:dyDescent="0.3">
      <c r="A151" t="s">
        <v>256</v>
      </c>
      <c r="B151">
        <v>4</v>
      </c>
      <c r="C151">
        <v>343661</v>
      </c>
      <c r="G151">
        <f>COUNTIF('Задача 1'!C:C,'Задача 2'!A151)</f>
        <v>3</v>
      </c>
    </row>
    <row r="152" spans="1:7" hidden="1" x14ac:dyDescent="0.3">
      <c r="A152" t="s">
        <v>268</v>
      </c>
      <c r="B152">
        <v>4</v>
      </c>
      <c r="C152">
        <v>178443</v>
      </c>
      <c r="G152">
        <f>COUNTIF('Задача 1'!C:C,'Задача 2'!A152)</f>
        <v>3</v>
      </c>
    </row>
    <row r="153" spans="1:7" hidden="1" x14ac:dyDescent="0.3">
      <c r="A153" t="s">
        <v>232</v>
      </c>
      <c r="B153">
        <v>9</v>
      </c>
      <c r="C153">
        <v>79668</v>
      </c>
      <c r="G153">
        <f>COUNTIF('Задача 1'!C:C,'Задача 2'!A153)</f>
        <v>3</v>
      </c>
    </row>
    <row r="154" spans="1:7" hidden="1" x14ac:dyDescent="0.3">
      <c r="A154" t="s">
        <v>245</v>
      </c>
      <c r="B154">
        <v>7</v>
      </c>
      <c r="C154">
        <v>331247</v>
      </c>
      <c r="G154">
        <f>COUNTIF('Задача 1'!C:C,'Задача 2'!A154)</f>
        <v>5</v>
      </c>
    </row>
    <row r="155" spans="1:7" hidden="1" x14ac:dyDescent="0.3">
      <c r="A155" t="s">
        <v>9</v>
      </c>
      <c r="B155">
        <v>9</v>
      </c>
      <c r="C155">
        <v>361910</v>
      </c>
      <c r="G155">
        <f>COUNTIF('Задача 1'!C:C,'Задача 2'!A155)</f>
        <v>4</v>
      </c>
    </row>
    <row r="156" spans="1:7" hidden="1" x14ac:dyDescent="0.3">
      <c r="A156" t="s">
        <v>111</v>
      </c>
      <c r="B156">
        <v>9</v>
      </c>
      <c r="C156">
        <v>513408</v>
      </c>
      <c r="G156">
        <f>COUNTIF('Задача 1'!C:C,'Задача 2'!A156)</f>
        <v>6</v>
      </c>
    </row>
    <row r="157" spans="1:7" hidden="1" x14ac:dyDescent="0.3">
      <c r="A157" t="s">
        <v>58</v>
      </c>
      <c r="B157">
        <v>9</v>
      </c>
      <c r="C157">
        <v>202288</v>
      </c>
      <c r="G157">
        <f>COUNTIF('Задача 1'!C:C,'Задача 2'!A157)</f>
        <v>5</v>
      </c>
    </row>
    <row r="158" spans="1:7" hidden="1" x14ac:dyDescent="0.3">
      <c r="A158" t="s">
        <v>194</v>
      </c>
      <c r="B158">
        <v>10</v>
      </c>
      <c r="C158">
        <v>292700</v>
      </c>
      <c r="G158">
        <f>COUNTIF('Задача 1'!C:C,'Задача 2'!A158)</f>
        <v>4</v>
      </c>
    </row>
    <row r="159" spans="1:7" hidden="1" x14ac:dyDescent="0.3">
      <c r="A159" t="s">
        <v>119</v>
      </c>
      <c r="B159">
        <v>7</v>
      </c>
      <c r="C159">
        <v>390552</v>
      </c>
      <c r="G159">
        <f>COUNTIF('Задача 1'!C:C,'Задача 2'!A159)</f>
        <v>5</v>
      </c>
    </row>
    <row r="160" spans="1:7" hidden="1" x14ac:dyDescent="0.3">
      <c r="A160" t="s">
        <v>77</v>
      </c>
      <c r="B160">
        <v>2</v>
      </c>
      <c r="C160">
        <v>325240</v>
      </c>
      <c r="G160">
        <f>COUNTIF('Задача 1'!C:C,'Задача 2'!A160)</f>
        <v>8</v>
      </c>
    </row>
    <row r="161" spans="1:7" hidden="1" x14ac:dyDescent="0.3">
      <c r="A161" t="s">
        <v>166</v>
      </c>
      <c r="B161">
        <v>3</v>
      </c>
      <c r="C161">
        <v>313677</v>
      </c>
      <c r="G161">
        <f>COUNTIF('Задача 1'!C:C,'Задача 2'!A161)</f>
        <v>7</v>
      </c>
    </row>
    <row r="162" spans="1:7" hidden="1" x14ac:dyDescent="0.3">
      <c r="A162" t="s">
        <v>137</v>
      </c>
      <c r="B162">
        <v>5</v>
      </c>
      <c r="C162">
        <v>158999</v>
      </c>
      <c r="G162">
        <f>COUNTIF('Задача 1'!C:C,'Задача 2'!A162)</f>
        <v>3</v>
      </c>
    </row>
    <row r="163" spans="1:7" hidden="1" x14ac:dyDescent="0.3">
      <c r="A163" t="s">
        <v>110</v>
      </c>
      <c r="B163">
        <v>7</v>
      </c>
      <c r="C163">
        <v>473040</v>
      </c>
      <c r="G163">
        <f>COUNTIF('Задача 1'!C:C,'Задача 2'!A163)</f>
        <v>4</v>
      </c>
    </row>
    <row r="164" spans="1:7" hidden="1" x14ac:dyDescent="0.3">
      <c r="A164" t="s">
        <v>135</v>
      </c>
      <c r="B164">
        <v>8</v>
      </c>
      <c r="C164">
        <v>147842</v>
      </c>
      <c r="G164">
        <f>COUNTIF('Задача 1'!C:C,'Задача 2'!A164)</f>
        <v>3</v>
      </c>
    </row>
    <row r="165" spans="1:7" hidden="1" x14ac:dyDescent="0.3">
      <c r="A165" t="s">
        <v>180</v>
      </c>
      <c r="B165">
        <v>2</v>
      </c>
      <c r="C165">
        <v>335000</v>
      </c>
      <c r="G165">
        <f>COUNTIF('Задача 1'!C:C,'Задача 2'!A165)</f>
        <v>6</v>
      </c>
    </row>
    <row r="166" spans="1:7" hidden="1" x14ac:dyDescent="0.3">
      <c r="A166" t="s">
        <v>99</v>
      </c>
      <c r="B166">
        <v>4</v>
      </c>
      <c r="C166">
        <v>421755</v>
      </c>
      <c r="G166">
        <f>COUNTIF('Задача 1'!C:C,'Задача 2'!A166)</f>
        <v>3</v>
      </c>
    </row>
    <row r="167" spans="1:7" hidden="1" x14ac:dyDescent="0.3">
      <c r="A167" t="s">
        <v>65</v>
      </c>
      <c r="B167">
        <v>7</v>
      </c>
      <c r="C167">
        <v>322070</v>
      </c>
      <c r="G167">
        <f>COUNTIF('Задача 1'!C:C,'Задача 2'!A167)</f>
        <v>3</v>
      </c>
    </row>
    <row r="168" spans="1:7" x14ac:dyDescent="0.3">
      <c r="A168" t="s">
        <v>158</v>
      </c>
      <c r="B168">
        <v>2</v>
      </c>
      <c r="C168">
        <v>387713</v>
      </c>
      <c r="G168">
        <f>COUNTIF('Задача 1'!C:C,'Задача 2'!A168)</f>
        <v>1</v>
      </c>
    </row>
    <row r="169" spans="1:7" hidden="1" x14ac:dyDescent="0.3">
      <c r="A169" t="s">
        <v>318</v>
      </c>
      <c r="B169">
        <v>5</v>
      </c>
      <c r="C169">
        <v>62670</v>
      </c>
      <c r="G169">
        <f>COUNTIF('Задача 1'!C:C,'Задача 2'!A169)</f>
        <v>5</v>
      </c>
    </row>
    <row r="170" spans="1:7" hidden="1" x14ac:dyDescent="0.3">
      <c r="A170" t="s">
        <v>127</v>
      </c>
      <c r="B170">
        <v>6</v>
      </c>
      <c r="C170">
        <v>278610</v>
      </c>
      <c r="G170">
        <f>COUNTIF('Задача 1'!C:C,'Задача 2'!A170)</f>
        <v>5</v>
      </c>
    </row>
    <row r="171" spans="1:7" hidden="1" x14ac:dyDescent="0.3">
      <c r="A171" t="s">
        <v>162</v>
      </c>
      <c r="B171">
        <v>2</v>
      </c>
      <c r="C171">
        <v>143372</v>
      </c>
      <c r="G171">
        <f>COUNTIF('Задача 1'!C:C,'Задача 2'!A171)</f>
        <v>3</v>
      </c>
    </row>
    <row r="172" spans="1:7" hidden="1" x14ac:dyDescent="0.3">
      <c r="A172" t="s">
        <v>165</v>
      </c>
      <c r="B172">
        <v>3</v>
      </c>
      <c r="C172">
        <v>379014</v>
      </c>
      <c r="G172">
        <f>COUNTIF('Задача 1'!C:C,'Задача 2'!A172)</f>
        <v>4</v>
      </c>
    </row>
    <row r="173" spans="1:7" hidden="1" x14ac:dyDescent="0.3">
      <c r="A173" t="s">
        <v>231</v>
      </c>
      <c r="B173">
        <v>6</v>
      </c>
      <c r="C173">
        <v>167371</v>
      </c>
      <c r="G173">
        <f>COUNTIF('Задача 1'!C:C,'Задача 2'!A173)</f>
        <v>4</v>
      </c>
    </row>
    <row r="174" spans="1:7" hidden="1" x14ac:dyDescent="0.3">
      <c r="A174" t="s">
        <v>56</v>
      </c>
      <c r="B174">
        <v>5</v>
      </c>
      <c r="C174">
        <v>287362</v>
      </c>
      <c r="G174">
        <f>COUNTIF('Задача 1'!C:C,'Задача 2'!A174)</f>
        <v>5</v>
      </c>
    </row>
    <row r="175" spans="1:7" x14ac:dyDescent="0.3">
      <c r="A175" t="s">
        <v>332</v>
      </c>
      <c r="B175">
        <v>11</v>
      </c>
      <c r="C175">
        <v>132173</v>
      </c>
      <c r="G175">
        <f>COUNTIF('Задача 1'!C:C,'Задача 2'!A175)</f>
        <v>1</v>
      </c>
    </row>
    <row r="176" spans="1:7" hidden="1" x14ac:dyDescent="0.3">
      <c r="A176" t="s">
        <v>117</v>
      </c>
      <c r="B176">
        <v>6</v>
      </c>
      <c r="C176">
        <v>395419</v>
      </c>
      <c r="G176">
        <f>COUNTIF('Задача 1'!C:C,'Задача 2'!A176)</f>
        <v>5</v>
      </c>
    </row>
    <row r="177" spans="1:7" x14ac:dyDescent="0.3">
      <c r="A177" t="s">
        <v>203</v>
      </c>
      <c r="B177">
        <v>7</v>
      </c>
      <c r="C177">
        <v>278272</v>
      </c>
      <c r="G177">
        <f>COUNTIF('Задача 1'!C:C,'Задача 2'!A177)</f>
        <v>1</v>
      </c>
    </row>
    <row r="178" spans="1:7" hidden="1" x14ac:dyDescent="0.3">
      <c r="A178" t="s">
        <v>207</v>
      </c>
      <c r="B178">
        <v>4</v>
      </c>
      <c r="C178">
        <v>101177</v>
      </c>
      <c r="G178">
        <f>COUNTIF('Задача 1'!C:C,'Задача 2'!A178)</f>
        <v>2</v>
      </c>
    </row>
    <row r="179" spans="1:7" hidden="1" x14ac:dyDescent="0.3">
      <c r="A179" t="s">
        <v>182</v>
      </c>
      <c r="B179">
        <v>9</v>
      </c>
      <c r="C179">
        <v>263859</v>
      </c>
      <c r="G179">
        <f>COUNTIF('Задача 1'!C:C,'Задача 2'!A179)</f>
        <v>2</v>
      </c>
    </row>
    <row r="180" spans="1:7" hidden="1" x14ac:dyDescent="0.3">
      <c r="A180" t="s">
        <v>163</v>
      </c>
      <c r="B180">
        <v>7</v>
      </c>
      <c r="C180">
        <v>230756</v>
      </c>
      <c r="G180">
        <f>COUNTIF('Задача 1'!C:C,'Задача 2'!A180)</f>
        <v>3</v>
      </c>
    </row>
    <row r="181" spans="1:7" hidden="1" x14ac:dyDescent="0.3">
      <c r="A181" t="s">
        <v>122</v>
      </c>
      <c r="B181">
        <v>5</v>
      </c>
      <c r="C181">
        <v>263605</v>
      </c>
      <c r="G181">
        <f>COUNTIF('Задача 1'!C:C,'Задача 2'!A181)</f>
        <v>6</v>
      </c>
    </row>
    <row r="182" spans="1:7" hidden="1" x14ac:dyDescent="0.3">
      <c r="A182" t="s">
        <v>291</v>
      </c>
      <c r="B182">
        <v>5</v>
      </c>
      <c r="C182">
        <v>96661</v>
      </c>
      <c r="G182">
        <f>COUNTIF('Задача 1'!C:C,'Задача 2'!A182)</f>
        <v>2</v>
      </c>
    </row>
    <row r="183" spans="1:7" x14ac:dyDescent="0.3">
      <c r="A183" t="s">
        <v>153</v>
      </c>
      <c r="B183">
        <v>7</v>
      </c>
      <c r="C183">
        <v>499450</v>
      </c>
      <c r="G183">
        <f>COUNTIF('Задача 1'!C:C,'Задача 2'!A183)</f>
        <v>1</v>
      </c>
    </row>
    <row r="184" spans="1:7" hidden="1" x14ac:dyDescent="0.3">
      <c r="A184" t="s">
        <v>311</v>
      </c>
      <c r="B184">
        <v>6</v>
      </c>
      <c r="C184">
        <v>355582</v>
      </c>
      <c r="G184">
        <f>COUNTIF('Задача 1'!C:C,'Задача 2'!A184)</f>
        <v>2</v>
      </c>
    </row>
    <row r="185" spans="1:7" hidden="1" x14ac:dyDescent="0.3">
      <c r="A185" t="s">
        <v>338</v>
      </c>
      <c r="B185">
        <v>5</v>
      </c>
      <c r="C185">
        <v>122906</v>
      </c>
      <c r="G185">
        <f>COUNTIF('Задача 1'!C:C,'Задача 2'!A185)</f>
        <v>2</v>
      </c>
    </row>
    <row r="186" spans="1:7" hidden="1" x14ac:dyDescent="0.3">
      <c r="A186" t="s">
        <v>35</v>
      </c>
      <c r="B186">
        <v>8</v>
      </c>
      <c r="C186">
        <v>610926</v>
      </c>
      <c r="G186">
        <f>COUNTIF('Задача 1'!C:C,'Задача 2'!A186)</f>
        <v>6</v>
      </c>
    </row>
    <row r="187" spans="1:7" hidden="1" x14ac:dyDescent="0.3">
      <c r="A187" t="s">
        <v>217</v>
      </c>
      <c r="B187">
        <v>3</v>
      </c>
      <c r="C187">
        <v>421377</v>
      </c>
      <c r="G187">
        <f>COUNTIF('Задача 1'!C:C,'Задача 2'!A187)</f>
        <v>6</v>
      </c>
    </row>
    <row r="188" spans="1:7" hidden="1" x14ac:dyDescent="0.3">
      <c r="A188" t="s">
        <v>88</v>
      </c>
      <c r="B188">
        <v>4</v>
      </c>
      <c r="C188">
        <v>477604</v>
      </c>
      <c r="G188">
        <f>COUNTIF('Задача 1'!C:C,'Задача 2'!A188)</f>
        <v>5</v>
      </c>
    </row>
    <row r="189" spans="1:7" hidden="1" x14ac:dyDescent="0.3">
      <c r="A189" t="s">
        <v>100</v>
      </c>
      <c r="B189">
        <v>11</v>
      </c>
      <c r="C189">
        <v>549120</v>
      </c>
      <c r="G189">
        <f>COUNTIF('Задача 1'!C:C,'Задача 2'!A189)</f>
        <v>6</v>
      </c>
    </row>
    <row r="190" spans="1:7" hidden="1" x14ac:dyDescent="0.3">
      <c r="A190" t="s">
        <v>34</v>
      </c>
      <c r="B190">
        <v>5</v>
      </c>
      <c r="C190">
        <v>421124</v>
      </c>
      <c r="G190">
        <f>COUNTIF('Задача 1'!C:C,'Задача 2'!A190)</f>
        <v>6</v>
      </c>
    </row>
    <row r="191" spans="1:7" hidden="1" x14ac:dyDescent="0.3">
      <c r="A191" t="s">
        <v>151</v>
      </c>
      <c r="B191">
        <v>7</v>
      </c>
      <c r="C191">
        <v>257311</v>
      </c>
      <c r="G191">
        <f>COUNTIF('Задача 1'!C:C,'Задача 2'!A191)</f>
        <v>3</v>
      </c>
    </row>
    <row r="192" spans="1:7" hidden="1" x14ac:dyDescent="0.3">
      <c r="A192" t="s">
        <v>76</v>
      </c>
      <c r="B192">
        <v>6</v>
      </c>
      <c r="C192">
        <v>515565</v>
      </c>
      <c r="G192">
        <f>COUNTIF('Задача 1'!C:C,'Задача 2'!A192)</f>
        <v>3</v>
      </c>
    </row>
    <row r="193" spans="1:7" hidden="1" x14ac:dyDescent="0.3">
      <c r="A193" t="s">
        <v>41</v>
      </c>
      <c r="B193">
        <v>6</v>
      </c>
      <c r="C193">
        <v>56985</v>
      </c>
      <c r="G193">
        <f>COUNTIF('Задача 1'!C:C,'Задача 2'!A193)</f>
        <v>5</v>
      </c>
    </row>
    <row r="194" spans="1:7" hidden="1" x14ac:dyDescent="0.3">
      <c r="A194" t="s">
        <v>197</v>
      </c>
      <c r="B194">
        <v>2</v>
      </c>
      <c r="C194">
        <v>446023</v>
      </c>
      <c r="G194">
        <f>COUNTIF('Задача 1'!C:C,'Задача 2'!A194)</f>
        <v>3</v>
      </c>
    </row>
    <row r="195" spans="1:7" hidden="1" x14ac:dyDescent="0.3">
      <c r="A195" t="s">
        <v>192</v>
      </c>
      <c r="B195">
        <v>3</v>
      </c>
      <c r="C195">
        <v>399927</v>
      </c>
      <c r="G195">
        <f>COUNTIF('Задача 1'!C:C,'Задача 2'!A195)</f>
        <v>5</v>
      </c>
    </row>
    <row r="196" spans="1:7" hidden="1" x14ac:dyDescent="0.3">
      <c r="A196" t="s">
        <v>199</v>
      </c>
      <c r="B196">
        <v>4</v>
      </c>
      <c r="C196">
        <v>202932</v>
      </c>
      <c r="G196">
        <f>COUNTIF('Задача 1'!C:C,'Задача 2'!A196)</f>
        <v>6</v>
      </c>
    </row>
    <row r="197" spans="1:7" hidden="1" x14ac:dyDescent="0.3">
      <c r="A197" t="s">
        <v>87</v>
      </c>
      <c r="B197">
        <v>7</v>
      </c>
      <c r="C197">
        <v>351667</v>
      </c>
      <c r="G197">
        <f>COUNTIF('Задача 1'!C:C,'Задача 2'!A197)</f>
        <v>5</v>
      </c>
    </row>
    <row r="198" spans="1:7" hidden="1" x14ac:dyDescent="0.3"/>
    <row r="199" spans="1:7" hidden="1" x14ac:dyDescent="0.3"/>
    <row r="200" spans="1:7" hidden="1" x14ac:dyDescent="0.3"/>
    <row r="201" spans="1:7" hidden="1" x14ac:dyDescent="0.3"/>
    <row r="202" spans="1:7" hidden="1" x14ac:dyDescent="0.3"/>
    <row r="203" spans="1:7" hidden="1" x14ac:dyDescent="0.3"/>
    <row r="204" spans="1:7" hidden="1" x14ac:dyDescent="0.3"/>
    <row r="205" spans="1:7" hidden="1" x14ac:dyDescent="0.3"/>
    <row r="206" spans="1:7" hidden="1" x14ac:dyDescent="0.3"/>
    <row r="207" spans="1:7" hidden="1" x14ac:dyDescent="0.3"/>
    <row r="208" spans="1:7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</sheetData>
  <autoFilter ref="G1:G1003" xr:uid="{EDF5C61D-BC0A-465A-8E1A-FA84525EB4B6}">
    <filterColumn colId="0">
      <filters>
        <filter val="1"/>
      </filters>
    </filterColumn>
  </autoFilter>
  <sortState xmlns:xlrd2="http://schemas.microsoft.com/office/spreadsheetml/2017/richdata2" ref="A2:C1002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2F04-F274-4E4A-A20F-BAC999EAE74E}">
  <dimension ref="A1:H1001"/>
  <sheetViews>
    <sheetView workbookViewId="0">
      <selection activeCell="J4" sqref="J4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513</v>
      </c>
      <c r="G1" s="27" t="s">
        <v>514</v>
      </c>
      <c r="H1" s="27" t="s">
        <v>515</v>
      </c>
    </row>
    <row r="2" spans="1:8" x14ac:dyDescent="0.3">
      <c r="A2" t="s">
        <v>5</v>
      </c>
      <c r="B2" t="s">
        <v>6</v>
      </c>
      <c r="C2" t="s">
        <v>7</v>
      </c>
      <c r="D2">
        <v>31810</v>
      </c>
      <c r="E2">
        <v>5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x14ac:dyDescent="0.3">
      <c r="A3" t="s">
        <v>8</v>
      </c>
      <c r="B3" t="s">
        <v>9</v>
      </c>
      <c r="C3" t="s">
        <v>7</v>
      </c>
      <c r="D3">
        <v>79983</v>
      </c>
      <c r="E3">
        <v>8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x14ac:dyDescent="0.3">
      <c r="A4" t="s">
        <v>10</v>
      </c>
      <c r="B4" t="s">
        <v>11</v>
      </c>
      <c r="C4" t="s">
        <v>7</v>
      </c>
      <c r="D4">
        <v>65103</v>
      </c>
      <c r="E4">
        <v>7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3">
      <c r="A5" t="s">
        <v>12</v>
      </c>
      <c r="B5" t="s">
        <v>13</v>
      </c>
      <c r="C5" t="s">
        <v>7</v>
      </c>
      <c r="D5">
        <v>45916</v>
      </c>
      <c r="E5">
        <v>8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x14ac:dyDescent="0.3">
      <c r="A6" t="s">
        <v>14</v>
      </c>
      <c r="B6" t="s">
        <v>15</v>
      </c>
      <c r="C6" t="s">
        <v>16</v>
      </c>
      <c r="D6">
        <v>26479</v>
      </c>
      <c r="E6">
        <v>7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x14ac:dyDescent="0.3">
      <c r="A7" t="s">
        <v>8</v>
      </c>
      <c r="B7" t="s">
        <v>17</v>
      </c>
      <c r="C7" t="s">
        <v>16</v>
      </c>
      <c r="D7">
        <v>65924</v>
      </c>
      <c r="E7">
        <v>8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x14ac:dyDescent="0.3">
      <c r="A8" t="s">
        <v>18</v>
      </c>
      <c r="B8" t="s">
        <v>19</v>
      </c>
      <c r="C8" t="s">
        <v>16</v>
      </c>
      <c r="D8">
        <v>84442</v>
      </c>
      <c r="E8">
        <v>5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x14ac:dyDescent="0.3">
      <c r="A9" t="s">
        <v>8</v>
      </c>
      <c r="B9" t="s">
        <v>20</v>
      </c>
      <c r="C9" t="s">
        <v>16</v>
      </c>
      <c r="D9">
        <v>36848</v>
      </c>
      <c r="E9">
        <v>6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x14ac:dyDescent="0.3">
      <c r="A10" t="s">
        <v>21</v>
      </c>
      <c r="B10" t="s">
        <v>22</v>
      </c>
      <c r="C10" t="s">
        <v>16</v>
      </c>
      <c r="D10">
        <v>27991</v>
      </c>
      <c r="E10">
        <v>7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3">
      <c r="A11" t="s">
        <v>14</v>
      </c>
      <c r="B11" t="s">
        <v>23</v>
      </c>
      <c r="C11" t="s">
        <v>16</v>
      </c>
      <c r="D11">
        <v>21080</v>
      </c>
      <c r="E11">
        <v>9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x14ac:dyDescent="0.3">
      <c r="A12" t="s">
        <v>8</v>
      </c>
      <c r="B12" t="s">
        <v>24</v>
      </c>
      <c r="C12" t="s">
        <v>16</v>
      </c>
      <c r="D12">
        <v>13650</v>
      </c>
      <c r="E12">
        <v>4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x14ac:dyDescent="0.3">
      <c r="A13" t="s">
        <v>18</v>
      </c>
      <c r="B13" t="s">
        <v>25</v>
      </c>
      <c r="C13" t="s">
        <v>26</v>
      </c>
      <c r="D13">
        <v>36816</v>
      </c>
      <c r="E13">
        <v>2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x14ac:dyDescent="0.3">
      <c r="A14" t="s">
        <v>18</v>
      </c>
      <c r="B14" t="s">
        <v>27</v>
      </c>
      <c r="C14" t="s">
        <v>26</v>
      </c>
      <c r="D14">
        <v>17474</v>
      </c>
      <c r="E14">
        <v>2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x14ac:dyDescent="0.3">
      <c r="A15" t="s">
        <v>28</v>
      </c>
      <c r="B15" t="s">
        <v>29</v>
      </c>
      <c r="C15" t="s">
        <v>26</v>
      </c>
      <c r="D15">
        <v>30692</v>
      </c>
      <c r="E15">
        <v>5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x14ac:dyDescent="0.3">
      <c r="A16" t="s">
        <v>12</v>
      </c>
      <c r="B16" t="s">
        <v>30</v>
      </c>
      <c r="C16" t="s">
        <v>31</v>
      </c>
      <c r="D16">
        <v>44283</v>
      </c>
      <c r="E16">
        <v>6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x14ac:dyDescent="0.3">
      <c r="A17" t="s">
        <v>12</v>
      </c>
      <c r="B17" t="s">
        <v>32</v>
      </c>
      <c r="C17" t="s">
        <v>33</v>
      </c>
      <c r="D17">
        <v>54765</v>
      </c>
      <c r="E17">
        <v>8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x14ac:dyDescent="0.3">
      <c r="A18" t="s">
        <v>28</v>
      </c>
      <c r="B18" t="s">
        <v>34</v>
      </c>
      <c r="C18" t="s">
        <v>33</v>
      </c>
      <c r="D18">
        <v>74884</v>
      </c>
      <c r="E18">
        <v>1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3">
      <c r="A19" t="s">
        <v>14</v>
      </c>
      <c r="B19" t="s">
        <v>34</v>
      </c>
      <c r="C19" t="s">
        <v>33</v>
      </c>
      <c r="D19">
        <v>91344</v>
      </c>
      <c r="E19">
        <v>4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x14ac:dyDescent="0.3">
      <c r="A20" t="s">
        <v>5</v>
      </c>
      <c r="B20" t="s">
        <v>35</v>
      </c>
      <c r="C20" t="s">
        <v>33</v>
      </c>
      <c r="D20">
        <v>25225</v>
      </c>
      <c r="E20">
        <v>7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3">
      <c r="A21" t="s">
        <v>14</v>
      </c>
      <c r="B21" t="s">
        <v>36</v>
      </c>
      <c r="C21" t="s">
        <v>33</v>
      </c>
      <c r="D21">
        <v>46372</v>
      </c>
      <c r="E21">
        <v>7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3">
      <c r="A22" t="s">
        <v>14</v>
      </c>
      <c r="B22" t="s">
        <v>37</v>
      </c>
      <c r="C22" t="s">
        <v>38</v>
      </c>
      <c r="D22">
        <v>11951</v>
      </c>
      <c r="E22">
        <v>3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3">
      <c r="A23" t="s">
        <v>10</v>
      </c>
      <c r="B23" t="s">
        <v>39</v>
      </c>
      <c r="C23" t="s">
        <v>38</v>
      </c>
      <c r="D23">
        <v>52185</v>
      </c>
      <c r="E23">
        <v>4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x14ac:dyDescent="0.3">
      <c r="A24" t="s">
        <v>40</v>
      </c>
      <c r="B24" t="s">
        <v>41</v>
      </c>
      <c r="C24" t="s">
        <v>38</v>
      </c>
      <c r="D24">
        <v>15458</v>
      </c>
      <c r="E24">
        <v>7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x14ac:dyDescent="0.3">
      <c r="A25" t="s">
        <v>10</v>
      </c>
      <c r="B25" t="s">
        <v>42</v>
      </c>
      <c r="C25" t="s">
        <v>38</v>
      </c>
      <c r="D25">
        <v>37625</v>
      </c>
      <c r="E25">
        <v>8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x14ac:dyDescent="0.3">
      <c r="A26" t="s">
        <v>40</v>
      </c>
      <c r="B26" t="s">
        <v>43</v>
      </c>
      <c r="C26" t="s">
        <v>44</v>
      </c>
      <c r="D26">
        <v>20131</v>
      </c>
      <c r="E26">
        <v>10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x14ac:dyDescent="0.3">
      <c r="A27" t="s">
        <v>45</v>
      </c>
      <c r="B27" t="s">
        <v>46</v>
      </c>
      <c r="C27" t="s">
        <v>44</v>
      </c>
      <c r="D27">
        <v>15365</v>
      </c>
      <c r="E27">
        <v>5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x14ac:dyDescent="0.3">
      <c r="A28" t="s">
        <v>47</v>
      </c>
      <c r="B28" t="s">
        <v>48</v>
      </c>
      <c r="C28" t="s">
        <v>44</v>
      </c>
      <c r="D28">
        <v>65716</v>
      </c>
      <c r="E28">
        <v>6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3">
      <c r="A29" t="s">
        <v>8</v>
      </c>
      <c r="B29" t="s">
        <v>49</v>
      </c>
      <c r="C29" t="s">
        <v>44</v>
      </c>
      <c r="D29">
        <v>98163</v>
      </c>
      <c r="E29">
        <v>8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x14ac:dyDescent="0.3">
      <c r="A30" t="s">
        <v>40</v>
      </c>
      <c r="B30" t="s">
        <v>32</v>
      </c>
      <c r="C30" t="s">
        <v>44</v>
      </c>
      <c r="D30">
        <v>11301</v>
      </c>
      <c r="E30">
        <v>9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3">
      <c r="A31" t="s">
        <v>50</v>
      </c>
      <c r="B31" t="s">
        <v>51</v>
      </c>
      <c r="C31" t="s">
        <v>44</v>
      </c>
      <c r="D31">
        <v>16140</v>
      </c>
      <c r="E31">
        <v>1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x14ac:dyDescent="0.3">
      <c r="A32" t="s">
        <v>40</v>
      </c>
      <c r="B32" t="s">
        <v>52</v>
      </c>
      <c r="C32" t="s">
        <v>44</v>
      </c>
      <c r="D32">
        <v>97934</v>
      </c>
      <c r="E32">
        <v>6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3">
      <c r="A33" t="s">
        <v>47</v>
      </c>
      <c r="B33" t="s">
        <v>53</v>
      </c>
      <c r="C33" t="s">
        <v>44</v>
      </c>
      <c r="D33">
        <v>40642</v>
      </c>
      <c r="E33">
        <v>3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3">
      <c r="A34" t="s">
        <v>18</v>
      </c>
      <c r="B34" t="s">
        <v>54</v>
      </c>
      <c r="C34" t="s">
        <v>44</v>
      </c>
      <c r="D34">
        <v>38005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x14ac:dyDescent="0.3">
      <c r="A35" t="s">
        <v>8</v>
      </c>
      <c r="B35" t="s">
        <v>55</v>
      </c>
      <c r="C35" t="s">
        <v>44</v>
      </c>
      <c r="D35">
        <v>36138</v>
      </c>
      <c r="E35">
        <v>7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3">
      <c r="A36" t="s">
        <v>28</v>
      </c>
      <c r="B36" t="s">
        <v>56</v>
      </c>
      <c r="C36" t="s">
        <v>57</v>
      </c>
      <c r="D36">
        <v>46656</v>
      </c>
      <c r="E36">
        <v>9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x14ac:dyDescent="0.3">
      <c r="A37" t="s">
        <v>8</v>
      </c>
      <c r="B37" t="s">
        <v>58</v>
      </c>
      <c r="C37" t="s">
        <v>57</v>
      </c>
      <c r="D37">
        <v>82879</v>
      </c>
      <c r="E37">
        <v>3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x14ac:dyDescent="0.3">
      <c r="A38" t="s">
        <v>14</v>
      </c>
      <c r="B38" t="s">
        <v>59</v>
      </c>
      <c r="C38" t="s">
        <v>57</v>
      </c>
      <c r="D38">
        <v>76375</v>
      </c>
      <c r="E38">
        <v>5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3">
      <c r="A39" t="s">
        <v>45</v>
      </c>
      <c r="B39" t="s">
        <v>60</v>
      </c>
      <c r="C39" t="s">
        <v>57</v>
      </c>
      <c r="D39">
        <v>79759</v>
      </c>
      <c r="E39">
        <v>9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x14ac:dyDescent="0.3">
      <c r="A40" t="s">
        <v>40</v>
      </c>
      <c r="B40" t="s">
        <v>61</v>
      </c>
      <c r="C40" t="s">
        <v>57</v>
      </c>
      <c r="D40">
        <v>74925</v>
      </c>
      <c r="E40">
        <v>9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x14ac:dyDescent="0.3">
      <c r="A41" t="s">
        <v>21</v>
      </c>
      <c r="B41" t="s">
        <v>62</v>
      </c>
      <c r="C41" t="s">
        <v>57</v>
      </c>
      <c r="D41">
        <v>17187</v>
      </c>
      <c r="E41">
        <v>9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x14ac:dyDescent="0.3">
      <c r="A42" t="s">
        <v>8</v>
      </c>
      <c r="B42" t="s">
        <v>63</v>
      </c>
      <c r="C42" t="s">
        <v>64</v>
      </c>
      <c r="D42">
        <v>59754</v>
      </c>
      <c r="E42">
        <v>7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3">
      <c r="A43" t="s">
        <v>12</v>
      </c>
      <c r="B43" t="s">
        <v>65</v>
      </c>
      <c r="C43" t="s">
        <v>64</v>
      </c>
      <c r="D43">
        <v>12140</v>
      </c>
      <c r="E43">
        <v>5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t="0.3">
      <c r="A44" t="s">
        <v>21</v>
      </c>
      <c r="B44" t="s">
        <v>66</v>
      </c>
      <c r="C44" t="s">
        <v>64</v>
      </c>
      <c r="D44">
        <v>75131</v>
      </c>
      <c r="E44">
        <v>6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x14ac:dyDescent="0.3">
      <c r="A45" t="s">
        <v>8</v>
      </c>
      <c r="B45" t="s">
        <v>67</v>
      </c>
      <c r="C45" t="s">
        <v>68</v>
      </c>
      <c r="D45">
        <v>15221</v>
      </c>
      <c r="E45">
        <v>5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x14ac:dyDescent="0.3">
      <c r="A46" t="s">
        <v>28</v>
      </c>
      <c r="B46" t="s">
        <v>69</v>
      </c>
      <c r="C46" t="s">
        <v>68</v>
      </c>
      <c r="D46">
        <v>56233</v>
      </c>
      <c r="E46">
        <v>9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x14ac:dyDescent="0.3">
      <c r="A47" t="s">
        <v>50</v>
      </c>
      <c r="B47" t="s">
        <v>70</v>
      </c>
      <c r="C47" t="s">
        <v>68</v>
      </c>
      <c r="D47">
        <v>67192</v>
      </c>
      <c r="E47">
        <v>5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x14ac:dyDescent="0.3">
      <c r="A48" t="s">
        <v>21</v>
      </c>
      <c r="B48" t="s">
        <v>71</v>
      </c>
      <c r="C48" t="s">
        <v>68</v>
      </c>
      <c r="D48">
        <v>41739</v>
      </c>
      <c r="E48">
        <v>6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3">
      <c r="A49" t="s">
        <v>28</v>
      </c>
      <c r="B49" t="s">
        <v>72</v>
      </c>
      <c r="C49" t="s">
        <v>73</v>
      </c>
      <c r="D49">
        <v>60873</v>
      </c>
      <c r="E49">
        <v>8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3">
      <c r="A50" t="s">
        <v>28</v>
      </c>
      <c r="B50" t="s">
        <v>53</v>
      </c>
      <c r="C50" t="s">
        <v>73</v>
      </c>
      <c r="D50">
        <v>56022</v>
      </c>
      <c r="E50">
        <v>7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x14ac:dyDescent="0.3">
      <c r="A51" t="s">
        <v>28</v>
      </c>
      <c r="B51" t="s">
        <v>74</v>
      </c>
      <c r="C51" t="s">
        <v>73</v>
      </c>
      <c r="D51">
        <v>24286</v>
      </c>
      <c r="E51">
        <v>8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x14ac:dyDescent="0.3">
      <c r="A52" t="s">
        <v>12</v>
      </c>
      <c r="B52" t="s">
        <v>75</v>
      </c>
      <c r="C52" t="s">
        <v>73</v>
      </c>
      <c r="D52">
        <v>64221</v>
      </c>
      <c r="E52">
        <v>8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x14ac:dyDescent="0.3">
      <c r="A53" t="s">
        <v>28</v>
      </c>
      <c r="B53" t="s">
        <v>76</v>
      </c>
      <c r="C53" t="s">
        <v>73</v>
      </c>
      <c r="D53">
        <v>37825</v>
      </c>
      <c r="E53">
        <v>5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x14ac:dyDescent="0.3">
      <c r="A54" t="s">
        <v>5</v>
      </c>
      <c r="B54" t="s">
        <v>77</v>
      </c>
      <c r="C54" t="s">
        <v>73</v>
      </c>
      <c r="D54">
        <v>54114</v>
      </c>
      <c r="E54">
        <v>2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x14ac:dyDescent="0.3">
      <c r="A55" t="s">
        <v>45</v>
      </c>
      <c r="B55" t="s">
        <v>30</v>
      </c>
      <c r="C55" t="s">
        <v>73</v>
      </c>
      <c r="D55">
        <v>63953</v>
      </c>
      <c r="E55">
        <v>4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x14ac:dyDescent="0.3">
      <c r="A56" t="s">
        <v>18</v>
      </c>
      <c r="B56" t="s">
        <v>78</v>
      </c>
      <c r="C56" t="s">
        <v>79</v>
      </c>
      <c r="D56">
        <v>63971</v>
      </c>
      <c r="E56">
        <v>6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x14ac:dyDescent="0.3">
      <c r="A57" t="s">
        <v>8</v>
      </c>
      <c r="B57" t="s">
        <v>80</v>
      </c>
      <c r="C57" t="s">
        <v>79</v>
      </c>
      <c r="D57">
        <v>82548</v>
      </c>
      <c r="E57">
        <v>1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x14ac:dyDescent="0.3">
      <c r="A58" t="s">
        <v>14</v>
      </c>
      <c r="B58" t="s">
        <v>53</v>
      </c>
      <c r="C58" t="s">
        <v>79</v>
      </c>
      <c r="D58">
        <v>88460</v>
      </c>
      <c r="E58">
        <v>8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3">
      <c r="A59" t="s">
        <v>40</v>
      </c>
      <c r="B59" t="s">
        <v>81</v>
      </c>
      <c r="C59" t="s">
        <v>79</v>
      </c>
      <c r="D59">
        <v>32915</v>
      </c>
      <c r="E59">
        <v>7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x14ac:dyDescent="0.3">
      <c r="A60" t="s">
        <v>28</v>
      </c>
      <c r="B60" t="s">
        <v>56</v>
      </c>
      <c r="C60" t="s">
        <v>82</v>
      </c>
      <c r="D60">
        <v>74181</v>
      </c>
      <c r="E60">
        <v>3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x14ac:dyDescent="0.3">
      <c r="A61" t="s">
        <v>47</v>
      </c>
      <c r="B61" t="s">
        <v>83</v>
      </c>
      <c r="C61" t="s">
        <v>82</v>
      </c>
      <c r="D61">
        <v>11612</v>
      </c>
      <c r="E61">
        <v>4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x14ac:dyDescent="0.3">
      <c r="A62" t="s">
        <v>21</v>
      </c>
      <c r="B62" t="s">
        <v>84</v>
      </c>
      <c r="C62" t="s">
        <v>82</v>
      </c>
      <c r="D62">
        <v>56948</v>
      </c>
      <c r="E62">
        <v>8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x14ac:dyDescent="0.3">
      <c r="A63" t="s">
        <v>47</v>
      </c>
      <c r="B63" t="s">
        <v>85</v>
      </c>
      <c r="C63" t="s">
        <v>86</v>
      </c>
      <c r="D63">
        <v>76732</v>
      </c>
      <c r="E63">
        <v>2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x14ac:dyDescent="0.3">
      <c r="A64" t="s">
        <v>45</v>
      </c>
      <c r="B64" t="s">
        <v>87</v>
      </c>
      <c r="C64" t="s">
        <v>86</v>
      </c>
      <c r="D64">
        <v>25833</v>
      </c>
      <c r="E64">
        <v>7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x14ac:dyDescent="0.3">
      <c r="A65" t="s">
        <v>8</v>
      </c>
      <c r="B65" t="s">
        <v>69</v>
      </c>
      <c r="C65" t="s">
        <v>86</v>
      </c>
      <c r="D65">
        <v>18940</v>
      </c>
      <c r="E65">
        <v>3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3">
      <c r="A66" t="s">
        <v>50</v>
      </c>
      <c r="B66" t="s">
        <v>88</v>
      </c>
      <c r="C66" t="s">
        <v>86</v>
      </c>
      <c r="D66">
        <v>98838</v>
      </c>
      <c r="E66">
        <v>9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3">
      <c r="A67" t="s">
        <v>21</v>
      </c>
      <c r="B67" t="s">
        <v>89</v>
      </c>
      <c r="C67" t="s">
        <v>86</v>
      </c>
      <c r="D67">
        <v>75010</v>
      </c>
      <c r="E67">
        <v>7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x14ac:dyDescent="0.3">
      <c r="A68" t="s">
        <v>18</v>
      </c>
      <c r="B68" t="s">
        <v>90</v>
      </c>
      <c r="C68" t="s">
        <v>91</v>
      </c>
      <c r="D68">
        <v>15043</v>
      </c>
      <c r="E68">
        <v>7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x14ac:dyDescent="0.3">
      <c r="A69" t="s">
        <v>8</v>
      </c>
      <c r="B69" t="s">
        <v>92</v>
      </c>
      <c r="C69" t="s">
        <v>93</v>
      </c>
      <c r="D69">
        <v>12798</v>
      </c>
      <c r="E69">
        <v>10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x14ac:dyDescent="0.3">
      <c r="A70" t="s">
        <v>18</v>
      </c>
      <c r="B70" t="s">
        <v>78</v>
      </c>
      <c r="C70" t="s">
        <v>93</v>
      </c>
      <c r="D70">
        <v>51162</v>
      </c>
      <c r="E70">
        <v>6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x14ac:dyDescent="0.3">
      <c r="A71" t="s">
        <v>18</v>
      </c>
      <c r="B71" t="s">
        <v>48</v>
      </c>
      <c r="C71" t="s">
        <v>93</v>
      </c>
      <c r="D71">
        <v>48206</v>
      </c>
      <c r="E71">
        <v>7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x14ac:dyDescent="0.3">
      <c r="A72" t="s">
        <v>50</v>
      </c>
      <c r="B72" t="s">
        <v>27</v>
      </c>
      <c r="C72" t="s">
        <v>93</v>
      </c>
      <c r="D72">
        <v>83609</v>
      </c>
      <c r="E72">
        <v>7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3">
      <c r="A73" t="s">
        <v>18</v>
      </c>
      <c r="B73" t="s">
        <v>94</v>
      </c>
      <c r="C73" t="s">
        <v>93</v>
      </c>
      <c r="D73">
        <v>17884</v>
      </c>
      <c r="E73">
        <v>6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x14ac:dyDescent="0.3">
      <c r="A74" t="s">
        <v>10</v>
      </c>
      <c r="B74" t="s">
        <v>95</v>
      </c>
      <c r="C74" t="s">
        <v>93</v>
      </c>
      <c r="D74">
        <v>36004</v>
      </c>
      <c r="E74">
        <v>6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x14ac:dyDescent="0.3">
      <c r="A75" t="s">
        <v>47</v>
      </c>
      <c r="B75" t="s">
        <v>56</v>
      </c>
      <c r="C75" t="s">
        <v>93</v>
      </c>
      <c r="D75">
        <v>26265</v>
      </c>
      <c r="E75">
        <v>5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x14ac:dyDescent="0.3">
      <c r="A76" t="s">
        <v>47</v>
      </c>
      <c r="B76" t="s">
        <v>96</v>
      </c>
      <c r="C76" t="s">
        <v>93</v>
      </c>
      <c r="D76">
        <v>98681</v>
      </c>
      <c r="E76">
        <v>9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x14ac:dyDescent="0.3">
      <c r="A77" t="s">
        <v>8</v>
      </c>
      <c r="B77" t="s">
        <v>80</v>
      </c>
      <c r="C77" t="s">
        <v>93</v>
      </c>
      <c r="D77">
        <v>40255</v>
      </c>
      <c r="E77">
        <v>2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x14ac:dyDescent="0.3">
      <c r="A78" t="s">
        <v>45</v>
      </c>
      <c r="B78" t="s">
        <v>97</v>
      </c>
      <c r="C78" t="s">
        <v>93</v>
      </c>
      <c r="D78">
        <v>73859</v>
      </c>
      <c r="E78">
        <v>6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x14ac:dyDescent="0.3">
      <c r="A79" t="s">
        <v>50</v>
      </c>
      <c r="B79" t="s">
        <v>43</v>
      </c>
      <c r="C79" t="s">
        <v>98</v>
      </c>
      <c r="D79">
        <v>90174</v>
      </c>
      <c r="E79">
        <v>8</v>
      </c>
      <c r="F79">
        <f t="shared" si="3"/>
        <v>2023</v>
      </c>
      <c r="G79">
        <f t="shared" si="4"/>
        <v>9</v>
      </c>
      <c r="H79" t="str">
        <f t="shared" si="5"/>
        <v>2023-9</v>
      </c>
    </row>
    <row r="80" spans="1:8" x14ac:dyDescent="0.3">
      <c r="A80" t="s">
        <v>50</v>
      </c>
      <c r="B80" t="s">
        <v>99</v>
      </c>
      <c r="C80" t="s">
        <v>98</v>
      </c>
      <c r="D80">
        <v>15297</v>
      </c>
      <c r="E80">
        <v>9</v>
      </c>
      <c r="F80">
        <f t="shared" si="3"/>
        <v>2023</v>
      </c>
      <c r="G80">
        <f t="shared" si="4"/>
        <v>9</v>
      </c>
      <c r="H80" t="str">
        <f t="shared" si="5"/>
        <v>2023-9</v>
      </c>
    </row>
    <row r="81" spans="1:8" x14ac:dyDescent="0.3">
      <c r="A81" t="s">
        <v>47</v>
      </c>
      <c r="B81" t="s">
        <v>49</v>
      </c>
      <c r="C81" t="s">
        <v>98</v>
      </c>
      <c r="D81">
        <v>32384</v>
      </c>
      <c r="E81">
        <v>8</v>
      </c>
      <c r="F81">
        <f t="shared" si="3"/>
        <v>2023</v>
      </c>
      <c r="G81">
        <f t="shared" si="4"/>
        <v>9</v>
      </c>
      <c r="H81" t="str">
        <f t="shared" si="5"/>
        <v>2023-9</v>
      </c>
    </row>
    <row r="82" spans="1:8" x14ac:dyDescent="0.3">
      <c r="A82" t="s">
        <v>10</v>
      </c>
      <c r="B82" t="s">
        <v>100</v>
      </c>
      <c r="C82" t="s">
        <v>98</v>
      </c>
      <c r="D82">
        <v>73564</v>
      </c>
      <c r="E82">
        <v>4</v>
      </c>
      <c r="F82">
        <f t="shared" si="3"/>
        <v>2023</v>
      </c>
      <c r="G82">
        <f t="shared" si="4"/>
        <v>9</v>
      </c>
      <c r="H82" t="str">
        <f t="shared" si="5"/>
        <v>2023-9</v>
      </c>
    </row>
    <row r="83" spans="1:8" x14ac:dyDescent="0.3">
      <c r="A83" t="s">
        <v>47</v>
      </c>
      <c r="B83" t="s">
        <v>101</v>
      </c>
      <c r="C83" t="s">
        <v>98</v>
      </c>
      <c r="D83">
        <v>99178</v>
      </c>
      <c r="E83">
        <v>7</v>
      </c>
      <c r="F83">
        <f t="shared" si="3"/>
        <v>2023</v>
      </c>
      <c r="G83">
        <f t="shared" si="4"/>
        <v>9</v>
      </c>
      <c r="H83" t="str">
        <f t="shared" si="5"/>
        <v>2023-9</v>
      </c>
    </row>
    <row r="84" spans="1:8" x14ac:dyDescent="0.3">
      <c r="A84" t="s">
        <v>18</v>
      </c>
      <c r="B84" t="s">
        <v>96</v>
      </c>
      <c r="C84" t="s">
        <v>102</v>
      </c>
      <c r="D84">
        <v>31282</v>
      </c>
      <c r="E84">
        <v>4</v>
      </c>
      <c r="F84">
        <f t="shared" si="3"/>
        <v>2023</v>
      </c>
      <c r="G84">
        <f t="shared" si="4"/>
        <v>9</v>
      </c>
      <c r="H84" t="str">
        <f t="shared" si="5"/>
        <v>2023-9</v>
      </c>
    </row>
    <row r="85" spans="1:8" x14ac:dyDescent="0.3">
      <c r="A85" t="s">
        <v>40</v>
      </c>
      <c r="B85" t="s">
        <v>100</v>
      </c>
      <c r="C85" t="s">
        <v>102</v>
      </c>
      <c r="D85">
        <v>50297</v>
      </c>
      <c r="E85">
        <v>8</v>
      </c>
      <c r="F85">
        <f t="shared" si="3"/>
        <v>2023</v>
      </c>
      <c r="G85">
        <f t="shared" si="4"/>
        <v>9</v>
      </c>
      <c r="H85" t="str">
        <f t="shared" si="5"/>
        <v>2023-9</v>
      </c>
    </row>
    <row r="86" spans="1:8" x14ac:dyDescent="0.3">
      <c r="A86" t="s">
        <v>40</v>
      </c>
      <c r="B86" t="s">
        <v>103</v>
      </c>
      <c r="C86" t="s">
        <v>104</v>
      </c>
      <c r="D86">
        <v>82409</v>
      </c>
      <c r="E86">
        <v>9</v>
      </c>
      <c r="F86">
        <f t="shared" si="3"/>
        <v>2023</v>
      </c>
      <c r="G86">
        <f t="shared" si="4"/>
        <v>9</v>
      </c>
      <c r="H86" t="str">
        <f t="shared" si="5"/>
        <v>2023-9</v>
      </c>
    </row>
    <row r="87" spans="1:8" x14ac:dyDescent="0.3">
      <c r="A87" t="s">
        <v>45</v>
      </c>
      <c r="B87" t="s">
        <v>105</v>
      </c>
      <c r="C87" t="s">
        <v>104</v>
      </c>
      <c r="D87">
        <v>22593</v>
      </c>
      <c r="E87">
        <v>7</v>
      </c>
      <c r="F87">
        <f t="shared" si="3"/>
        <v>2023</v>
      </c>
      <c r="G87">
        <f t="shared" si="4"/>
        <v>9</v>
      </c>
      <c r="H87" t="str">
        <f t="shared" si="5"/>
        <v>2023-9</v>
      </c>
    </row>
    <row r="88" spans="1:8" x14ac:dyDescent="0.3">
      <c r="A88" t="s">
        <v>28</v>
      </c>
      <c r="B88" t="s">
        <v>106</v>
      </c>
      <c r="C88" t="s">
        <v>104</v>
      </c>
      <c r="D88">
        <v>56057</v>
      </c>
      <c r="E88">
        <v>8</v>
      </c>
      <c r="F88">
        <f t="shared" si="3"/>
        <v>2023</v>
      </c>
      <c r="G88">
        <f t="shared" si="4"/>
        <v>9</v>
      </c>
      <c r="H88" t="str">
        <f t="shared" si="5"/>
        <v>2023-9</v>
      </c>
    </row>
    <row r="89" spans="1:8" x14ac:dyDescent="0.3">
      <c r="A89" t="s">
        <v>47</v>
      </c>
      <c r="B89" t="s">
        <v>107</v>
      </c>
      <c r="C89" t="s">
        <v>108</v>
      </c>
      <c r="D89">
        <v>30763</v>
      </c>
      <c r="E89">
        <v>8</v>
      </c>
      <c r="F89">
        <f t="shared" si="3"/>
        <v>2023</v>
      </c>
      <c r="G89">
        <f t="shared" si="4"/>
        <v>9</v>
      </c>
      <c r="H89" t="str">
        <f t="shared" si="5"/>
        <v>2023-9</v>
      </c>
    </row>
    <row r="90" spans="1:8" x14ac:dyDescent="0.3">
      <c r="A90" t="s">
        <v>21</v>
      </c>
      <c r="B90" t="s">
        <v>109</v>
      </c>
      <c r="C90" t="s">
        <v>108</v>
      </c>
      <c r="D90">
        <v>15381</v>
      </c>
      <c r="E90">
        <v>7</v>
      </c>
      <c r="F90">
        <f t="shared" si="3"/>
        <v>2023</v>
      </c>
      <c r="G90">
        <f t="shared" si="4"/>
        <v>9</v>
      </c>
      <c r="H90" t="str">
        <f t="shared" si="5"/>
        <v>2023-9</v>
      </c>
    </row>
    <row r="91" spans="1:8" x14ac:dyDescent="0.3">
      <c r="A91" t="s">
        <v>5</v>
      </c>
      <c r="B91" t="s">
        <v>36</v>
      </c>
      <c r="C91" t="s">
        <v>108</v>
      </c>
      <c r="D91">
        <v>91834</v>
      </c>
      <c r="E91">
        <v>6</v>
      </c>
      <c r="F91">
        <f t="shared" si="3"/>
        <v>2023</v>
      </c>
      <c r="G91">
        <f t="shared" si="4"/>
        <v>9</v>
      </c>
      <c r="H91" t="str">
        <f t="shared" si="5"/>
        <v>2023-9</v>
      </c>
    </row>
    <row r="92" spans="1:8" x14ac:dyDescent="0.3">
      <c r="A92" t="s">
        <v>18</v>
      </c>
      <c r="B92" t="s">
        <v>110</v>
      </c>
      <c r="C92" t="s">
        <v>108</v>
      </c>
      <c r="D92">
        <v>27840</v>
      </c>
      <c r="E92">
        <v>8</v>
      </c>
      <c r="F92">
        <f t="shared" si="3"/>
        <v>2023</v>
      </c>
      <c r="G92">
        <f t="shared" si="4"/>
        <v>9</v>
      </c>
      <c r="H92" t="str">
        <f t="shared" si="5"/>
        <v>2023-9</v>
      </c>
    </row>
    <row r="93" spans="1:8" x14ac:dyDescent="0.3">
      <c r="A93" t="s">
        <v>12</v>
      </c>
      <c r="B93" t="s">
        <v>106</v>
      </c>
      <c r="C93" t="s">
        <v>108</v>
      </c>
      <c r="D93">
        <v>20470</v>
      </c>
      <c r="E93">
        <v>5</v>
      </c>
      <c r="F93">
        <f t="shared" si="3"/>
        <v>2023</v>
      </c>
      <c r="G93">
        <f t="shared" si="4"/>
        <v>9</v>
      </c>
      <c r="H93" t="str">
        <f t="shared" si="5"/>
        <v>2023-9</v>
      </c>
    </row>
    <row r="94" spans="1:8" x14ac:dyDescent="0.3">
      <c r="A94" t="s">
        <v>45</v>
      </c>
      <c r="B94" t="s">
        <v>111</v>
      </c>
      <c r="C94" t="s">
        <v>108</v>
      </c>
      <c r="D94">
        <v>18241</v>
      </c>
      <c r="E94">
        <v>3</v>
      </c>
      <c r="F94">
        <f t="shared" si="3"/>
        <v>2023</v>
      </c>
      <c r="G94">
        <f t="shared" si="4"/>
        <v>9</v>
      </c>
      <c r="H94" t="str">
        <f t="shared" si="5"/>
        <v>2023-9</v>
      </c>
    </row>
    <row r="95" spans="1:8" x14ac:dyDescent="0.3">
      <c r="A95" t="s">
        <v>47</v>
      </c>
      <c r="B95" t="s">
        <v>112</v>
      </c>
      <c r="C95" t="s">
        <v>113</v>
      </c>
      <c r="D95">
        <v>79456</v>
      </c>
      <c r="E95">
        <v>6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3">
      <c r="A96" t="s">
        <v>18</v>
      </c>
      <c r="B96" t="s">
        <v>114</v>
      </c>
      <c r="C96" t="s">
        <v>113</v>
      </c>
      <c r="D96">
        <v>45645</v>
      </c>
      <c r="E96">
        <v>7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3">
      <c r="A97" t="s">
        <v>12</v>
      </c>
      <c r="B97" t="s">
        <v>110</v>
      </c>
      <c r="C97" t="s">
        <v>113</v>
      </c>
      <c r="D97">
        <v>62307</v>
      </c>
      <c r="E97">
        <v>6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3">
      <c r="A98" t="s">
        <v>21</v>
      </c>
      <c r="B98" t="s">
        <v>30</v>
      </c>
      <c r="C98" t="s">
        <v>113</v>
      </c>
      <c r="D98">
        <v>97609</v>
      </c>
      <c r="E98">
        <v>6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3">
      <c r="A99" t="s">
        <v>10</v>
      </c>
      <c r="B99" t="s">
        <v>85</v>
      </c>
      <c r="C99" t="s">
        <v>113</v>
      </c>
      <c r="D99">
        <v>85894</v>
      </c>
      <c r="E99">
        <v>6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3">
      <c r="A100" t="s">
        <v>5</v>
      </c>
      <c r="B100" t="s">
        <v>115</v>
      </c>
      <c r="C100" t="s">
        <v>113</v>
      </c>
      <c r="D100">
        <v>47269</v>
      </c>
      <c r="E100">
        <v>8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3">
      <c r="A101" t="s">
        <v>21</v>
      </c>
      <c r="B101" t="s">
        <v>81</v>
      </c>
      <c r="C101" t="s">
        <v>113</v>
      </c>
      <c r="D101">
        <v>19122</v>
      </c>
      <c r="E101">
        <v>10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3">
      <c r="A102" t="s">
        <v>45</v>
      </c>
      <c r="B102" t="s">
        <v>116</v>
      </c>
      <c r="C102" t="s">
        <v>113</v>
      </c>
      <c r="D102">
        <v>74445</v>
      </c>
      <c r="E102">
        <v>9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3">
      <c r="A103" t="s">
        <v>8</v>
      </c>
      <c r="B103" t="s">
        <v>117</v>
      </c>
      <c r="C103" t="s">
        <v>118</v>
      </c>
      <c r="D103">
        <v>16663</v>
      </c>
      <c r="E103">
        <v>7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x14ac:dyDescent="0.3">
      <c r="A104" t="s">
        <v>8</v>
      </c>
      <c r="B104" t="s">
        <v>72</v>
      </c>
      <c r="C104" t="s">
        <v>118</v>
      </c>
      <c r="D104">
        <v>41847</v>
      </c>
      <c r="E104">
        <v>5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x14ac:dyDescent="0.3">
      <c r="A105" t="s">
        <v>18</v>
      </c>
      <c r="B105" t="s">
        <v>96</v>
      </c>
      <c r="C105" t="s">
        <v>118</v>
      </c>
      <c r="D105">
        <v>36753</v>
      </c>
      <c r="E105">
        <v>6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x14ac:dyDescent="0.3">
      <c r="A106" t="s">
        <v>28</v>
      </c>
      <c r="B106" t="s">
        <v>119</v>
      </c>
      <c r="C106" t="s">
        <v>120</v>
      </c>
      <c r="D106">
        <v>89218</v>
      </c>
      <c r="E106">
        <v>9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x14ac:dyDescent="0.3">
      <c r="A107" t="s">
        <v>10</v>
      </c>
      <c r="B107" t="s">
        <v>115</v>
      </c>
      <c r="C107" t="s">
        <v>120</v>
      </c>
      <c r="D107">
        <v>70218</v>
      </c>
      <c r="E107">
        <v>6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x14ac:dyDescent="0.3">
      <c r="A108" t="s">
        <v>50</v>
      </c>
      <c r="B108" t="s">
        <v>100</v>
      </c>
      <c r="C108" t="s">
        <v>121</v>
      </c>
      <c r="D108">
        <v>45870</v>
      </c>
      <c r="E108">
        <v>8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x14ac:dyDescent="0.3">
      <c r="A109" t="s">
        <v>47</v>
      </c>
      <c r="B109" t="s">
        <v>122</v>
      </c>
      <c r="C109" t="s">
        <v>121</v>
      </c>
      <c r="D109">
        <v>37785</v>
      </c>
      <c r="E109">
        <v>10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x14ac:dyDescent="0.3">
      <c r="A110" t="s">
        <v>47</v>
      </c>
      <c r="B110" t="s">
        <v>123</v>
      </c>
      <c r="C110" t="s">
        <v>121</v>
      </c>
      <c r="D110">
        <v>16627</v>
      </c>
      <c r="E110">
        <v>7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x14ac:dyDescent="0.3">
      <c r="A111" t="s">
        <v>18</v>
      </c>
      <c r="B111" t="s">
        <v>124</v>
      </c>
      <c r="C111" t="s">
        <v>125</v>
      </c>
      <c r="D111">
        <v>31132</v>
      </c>
      <c r="E111">
        <v>6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x14ac:dyDescent="0.3">
      <c r="A112" t="s">
        <v>45</v>
      </c>
      <c r="B112" t="s">
        <v>126</v>
      </c>
      <c r="C112" t="s">
        <v>125</v>
      </c>
      <c r="D112">
        <v>57940</v>
      </c>
      <c r="E112">
        <v>5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3">
      <c r="A113" t="s">
        <v>21</v>
      </c>
      <c r="B113" t="s">
        <v>46</v>
      </c>
      <c r="C113" t="s">
        <v>125</v>
      </c>
      <c r="D113">
        <v>50503</v>
      </c>
      <c r="E113">
        <v>7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x14ac:dyDescent="0.3">
      <c r="A114" t="s">
        <v>47</v>
      </c>
      <c r="B114" t="s">
        <v>29</v>
      </c>
      <c r="C114" t="s">
        <v>125</v>
      </c>
      <c r="D114">
        <v>35132</v>
      </c>
      <c r="E114">
        <v>8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3">
      <c r="A115" t="s">
        <v>28</v>
      </c>
      <c r="B115" t="s">
        <v>127</v>
      </c>
      <c r="C115" t="s">
        <v>125</v>
      </c>
      <c r="D115">
        <v>41656</v>
      </c>
      <c r="E115">
        <v>8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x14ac:dyDescent="0.3">
      <c r="A116" t="s">
        <v>28</v>
      </c>
      <c r="B116" t="s">
        <v>70</v>
      </c>
      <c r="C116" t="s">
        <v>125</v>
      </c>
      <c r="D116">
        <v>85956</v>
      </c>
      <c r="E116">
        <v>8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x14ac:dyDescent="0.3">
      <c r="A117" t="s">
        <v>12</v>
      </c>
      <c r="B117" t="s">
        <v>23</v>
      </c>
      <c r="C117" t="s">
        <v>125</v>
      </c>
      <c r="D117">
        <v>49444</v>
      </c>
      <c r="E117">
        <v>2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x14ac:dyDescent="0.3">
      <c r="A118" t="s">
        <v>47</v>
      </c>
      <c r="B118" t="s">
        <v>124</v>
      </c>
      <c r="C118" t="s">
        <v>125</v>
      </c>
      <c r="D118">
        <v>30688</v>
      </c>
      <c r="E118">
        <v>2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x14ac:dyDescent="0.3">
      <c r="A119" t="s">
        <v>5</v>
      </c>
      <c r="B119" t="s">
        <v>23</v>
      </c>
      <c r="C119" t="s">
        <v>125</v>
      </c>
      <c r="D119">
        <v>54846</v>
      </c>
      <c r="E119">
        <v>9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x14ac:dyDescent="0.3">
      <c r="A120" t="s">
        <v>5</v>
      </c>
      <c r="B120" t="s">
        <v>9</v>
      </c>
      <c r="C120" t="s">
        <v>128</v>
      </c>
      <c r="D120">
        <v>78843</v>
      </c>
      <c r="E120">
        <v>5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x14ac:dyDescent="0.3">
      <c r="A121" t="s">
        <v>28</v>
      </c>
      <c r="B121" t="s">
        <v>66</v>
      </c>
      <c r="C121" t="s">
        <v>128</v>
      </c>
      <c r="D121">
        <v>32021</v>
      </c>
      <c r="E121">
        <v>4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3">
      <c r="A122" t="s">
        <v>14</v>
      </c>
      <c r="B122" t="s">
        <v>41</v>
      </c>
      <c r="C122" t="s">
        <v>129</v>
      </c>
      <c r="D122">
        <v>40122</v>
      </c>
      <c r="E122">
        <v>6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x14ac:dyDescent="0.3">
      <c r="A123" t="s">
        <v>5</v>
      </c>
      <c r="B123" t="s">
        <v>130</v>
      </c>
      <c r="C123" t="s">
        <v>129</v>
      </c>
      <c r="D123">
        <v>43310</v>
      </c>
      <c r="E123">
        <v>9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x14ac:dyDescent="0.3">
      <c r="A124" t="s">
        <v>50</v>
      </c>
      <c r="B124" t="s">
        <v>131</v>
      </c>
      <c r="C124" t="s">
        <v>132</v>
      </c>
      <c r="D124">
        <v>31896</v>
      </c>
      <c r="E124">
        <v>6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x14ac:dyDescent="0.3">
      <c r="A125" t="s">
        <v>50</v>
      </c>
      <c r="B125" t="s">
        <v>37</v>
      </c>
      <c r="C125" t="s">
        <v>133</v>
      </c>
      <c r="D125">
        <v>79560</v>
      </c>
      <c r="E125">
        <v>5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x14ac:dyDescent="0.3">
      <c r="A126" t="s">
        <v>40</v>
      </c>
      <c r="B126" t="s">
        <v>94</v>
      </c>
      <c r="C126" t="s">
        <v>133</v>
      </c>
      <c r="D126">
        <v>15574</v>
      </c>
      <c r="E126">
        <v>7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x14ac:dyDescent="0.3">
      <c r="A127" t="s">
        <v>45</v>
      </c>
      <c r="B127" t="s">
        <v>95</v>
      </c>
      <c r="C127" t="s">
        <v>134</v>
      </c>
      <c r="D127">
        <v>96775</v>
      </c>
      <c r="E127">
        <v>7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x14ac:dyDescent="0.3">
      <c r="A128" t="s">
        <v>14</v>
      </c>
      <c r="B128" t="s">
        <v>77</v>
      </c>
      <c r="C128" t="s">
        <v>134</v>
      </c>
      <c r="D128">
        <v>27651</v>
      </c>
      <c r="E128">
        <v>4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x14ac:dyDescent="0.3">
      <c r="A129" t="s">
        <v>8</v>
      </c>
      <c r="B129" t="s">
        <v>135</v>
      </c>
      <c r="C129" t="s">
        <v>134</v>
      </c>
      <c r="D129">
        <v>74772</v>
      </c>
      <c r="E129">
        <v>9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x14ac:dyDescent="0.3">
      <c r="A130" t="s">
        <v>45</v>
      </c>
      <c r="B130" t="s">
        <v>109</v>
      </c>
      <c r="C130" t="s">
        <v>134</v>
      </c>
      <c r="D130">
        <v>96616</v>
      </c>
      <c r="E130">
        <v>8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3">
      <c r="A131" t="s">
        <v>10</v>
      </c>
      <c r="B131" t="s">
        <v>49</v>
      </c>
      <c r="C131" t="s">
        <v>134</v>
      </c>
      <c r="D131">
        <v>91165</v>
      </c>
      <c r="E131">
        <v>4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3">
      <c r="A132" t="s">
        <v>12</v>
      </c>
      <c r="B132" t="s">
        <v>136</v>
      </c>
      <c r="C132" t="s">
        <v>134</v>
      </c>
      <c r="D132">
        <v>67048</v>
      </c>
      <c r="E132">
        <v>8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x14ac:dyDescent="0.3">
      <c r="A133" t="s">
        <v>10</v>
      </c>
      <c r="B133" t="s">
        <v>137</v>
      </c>
      <c r="C133" t="s">
        <v>134</v>
      </c>
      <c r="D133">
        <v>84811</v>
      </c>
      <c r="E133">
        <v>5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x14ac:dyDescent="0.3">
      <c r="A134" t="s">
        <v>21</v>
      </c>
      <c r="B134" t="s">
        <v>138</v>
      </c>
      <c r="C134" t="s">
        <v>134</v>
      </c>
      <c r="D134">
        <v>97752</v>
      </c>
      <c r="E134">
        <v>7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x14ac:dyDescent="0.3">
      <c r="A135" t="s">
        <v>14</v>
      </c>
      <c r="B135" t="s">
        <v>71</v>
      </c>
      <c r="C135" t="s">
        <v>139</v>
      </c>
      <c r="D135">
        <v>87831</v>
      </c>
      <c r="E135">
        <v>9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x14ac:dyDescent="0.3">
      <c r="A136" t="s">
        <v>40</v>
      </c>
      <c r="B136" t="s">
        <v>140</v>
      </c>
      <c r="C136" t="s">
        <v>139</v>
      </c>
      <c r="D136">
        <v>68123</v>
      </c>
      <c r="E136">
        <v>10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3">
      <c r="A137" t="s">
        <v>40</v>
      </c>
      <c r="B137" t="s">
        <v>141</v>
      </c>
      <c r="C137" t="s">
        <v>139</v>
      </c>
      <c r="D137">
        <v>46076</v>
      </c>
      <c r="E137">
        <v>8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x14ac:dyDescent="0.3">
      <c r="A138" t="s">
        <v>5</v>
      </c>
      <c r="B138" t="s">
        <v>54</v>
      </c>
      <c r="C138" t="s">
        <v>142</v>
      </c>
      <c r="D138">
        <v>48997</v>
      </c>
      <c r="E138">
        <v>7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x14ac:dyDescent="0.3">
      <c r="A139" t="s">
        <v>8</v>
      </c>
      <c r="B139" t="s">
        <v>126</v>
      </c>
      <c r="C139" t="s">
        <v>143</v>
      </c>
      <c r="D139">
        <v>11028</v>
      </c>
      <c r="E139">
        <v>8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3">
      <c r="A140" t="s">
        <v>40</v>
      </c>
      <c r="B140" t="s">
        <v>99</v>
      </c>
      <c r="C140" t="s">
        <v>143</v>
      </c>
      <c r="D140">
        <v>42243</v>
      </c>
      <c r="E140">
        <v>6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3">
      <c r="A141" t="s">
        <v>47</v>
      </c>
      <c r="B141" t="s">
        <v>111</v>
      </c>
      <c r="C141" t="s">
        <v>143</v>
      </c>
      <c r="D141">
        <v>94163</v>
      </c>
      <c r="E141">
        <v>4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x14ac:dyDescent="0.3">
      <c r="A142" t="s">
        <v>47</v>
      </c>
      <c r="B142" t="s">
        <v>107</v>
      </c>
      <c r="C142" t="s">
        <v>143</v>
      </c>
      <c r="D142">
        <v>45391</v>
      </c>
      <c r="E142">
        <v>8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x14ac:dyDescent="0.3">
      <c r="A143" t="s">
        <v>47</v>
      </c>
      <c r="B143" t="s">
        <v>63</v>
      </c>
      <c r="C143" t="s">
        <v>143</v>
      </c>
      <c r="D143">
        <v>57423</v>
      </c>
      <c r="E143">
        <v>1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x14ac:dyDescent="0.3">
      <c r="A144" t="s">
        <v>45</v>
      </c>
      <c r="B144" t="s">
        <v>144</v>
      </c>
      <c r="C144" t="s">
        <v>145</v>
      </c>
      <c r="D144">
        <v>74823</v>
      </c>
      <c r="E144">
        <v>6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x14ac:dyDescent="0.3">
      <c r="A145" t="s">
        <v>5</v>
      </c>
      <c r="B145" t="s">
        <v>43</v>
      </c>
      <c r="C145" t="s">
        <v>145</v>
      </c>
      <c r="D145">
        <v>92528</v>
      </c>
      <c r="E145">
        <v>2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x14ac:dyDescent="0.3">
      <c r="A146" t="s">
        <v>47</v>
      </c>
      <c r="B146" t="s">
        <v>105</v>
      </c>
      <c r="C146" t="s">
        <v>145</v>
      </c>
      <c r="D146">
        <v>65455</v>
      </c>
      <c r="E146">
        <v>7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3">
      <c r="A147" t="s">
        <v>40</v>
      </c>
      <c r="B147" t="s">
        <v>146</v>
      </c>
      <c r="C147" t="s">
        <v>145</v>
      </c>
      <c r="D147">
        <v>78348</v>
      </c>
      <c r="E147">
        <v>2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x14ac:dyDescent="0.3">
      <c r="A148" t="s">
        <v>18</v>
      </c>
      <c r="B148" t="s">
        <v>126</v>
      </c>
      <c r="C148" t="s">
        <v>145</v>
      </c>
      <c r="D148">
        <v>75538</v>
      </c>
      <c r="E148">
        <v>8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x14ac:dyDescent="0.3">
      <c r="A149" t="s">
        <v>18</v>
      </c>
      <c r="B149" t="s">
        <v>147</v>
      </c>
      <c r="C149" t="s">
        <v>145</v>
      </c>
      <c r="D149">
        <v>94514</v>
      </c>
      <c r="E149">
        <v>8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x14ac:dyDescent="0.3">
      <c r="A150" t="s">
        <v>5</v>
      </c>
      <c r="B150" t="s">
        <v>116</v>
      </c>
      <c r="C150" t="s">
        <v>148</v>
      </c>
      <c r="D150">
        <v>61682</v>
      </c>
      <c r="E150">
        <v>8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3">
      <c r="A151" t="s">
        <v>5</v>
      </c>
      <c r="B151" t="s">
        <v>149</v>
      </c>
      <c r="C151" t="s">
        <v>148</v>
      </c>
      <c r="D151">
        <v>93856</v>
      </c>
      <c r="E151">
        <v>6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x14ac:dyDescent="0.3">
      <c r="A152" t="s">
        <v>45</v>
      </c>
      <c r="B152" t="s">
        <v>150</v>
      </c>
      <c r="C152" t="s">
        <v>148</v>
      </c>
      <c r="D152">
        <v>60037</v>
      </c>
      <c r="E152">
        <v>8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3">
      <c r="A153" t="s">
        <v>45</v>
      </c>
      <c r="B153" t="s">
        <v>30</v>
      </c>
      <c r="C153" t="s">
        <v>148</v>
      </c>
      <c r="D153">
        <v>43069</v>
      </c>
      <c r="E153">
        <v>7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3">
      <c r="A154" t="s">
        <v>47</v>
      </c>
      <c r="B154" t="s">
        <v>24</v>
      </c>
      <c r="C154" t="s">
        <v>148</v>
      </c>
      <c r="D154">
        <v>43212</v>
      </c>
      <c r="E154">
        <v>6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x14ac:dyDescent="0.3">
      <c r="A155" t="s">
        <v>47</v>
      </c>
      <c r="B155" t="s">
        <v>151</v>
      </c>
      <c r="C155" t="s">
        <v>148</v>
      </c>
      <c r="D155">
        <v>91149</v>
      </c>
      <c r="E155">
        <v>9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x14ac:dyDescent="0.3">
      <c r="A156" t="s">
        <v>10</v>
      </c>
      <c r="B156" t="s">
        <v>152</v>
      </c>
      <c r="C156" t="s">
        <v>148</v>
      </c>
      <c r="D156">
        <v>70753</v>
      </c>
      <c r="E156">
        <v>6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x14ac:dyDescent="0.3">
      <c r="A157" t="s">
        <v>12</v>
      </c>
      <c r="B157" t="s">
        <v>153</v>
      </c>
      <c r="C157" t="s">
        <v>148</v>
      </c>
      <c r="D157">
        <v>33409</v>
      </c>
      <c r="E157">
        <v>6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x14ac:dyDescent="0.3">
      <c r="A158" t="s">
        <v>40</v>
      </c>
      <c r="B158" t="s">
        <v>154</v>
      </c>
      <c r="C158" t="s">
        <v>155</v>
      </c>
      <c r="D158">
        <v>88527</v>
      </c>
      <c r="E158">
        <v>4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x14ac:dyDescent="0.3">
      <c r="A159" t="s">
        <v>21</v>
      </c>
      <c r="B159" t="s">
        <v>127</v>
      </c>
      <c r="C159" t="s">
        <v>155</v>
      </c>
      <c r="D159">
        <v>58823</v>
      </c>
      <c r="E159">
        <v>7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3">
      <c r="A160" t="s">
        <v>12</v>
      </c>
      <c r="B160" t="s">
        <v>156</v>
      </c>
      <c r="C160" t="s">
        <v>155</v>
      </c>
      <c r="D160">
        <v>77088</v>
      </c>
      <c r="E160">
        <v>7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x14ac:dyDescent="0.3">
      <c r="A161" t="s">
        <v>18</v>
      </c>
      <c r="B161" t="s">
        <v>69</v>
      </c>
      <c r="C161" t="s">
        <v>155</v>
      </c>
      <c r="D161">
        <v>11574</v>
      </c>
      <c r="E161">
        <v>5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3">
      <c r="A162" t="s">
        <v>18</v>
      </c>
      <c r="B162" t="s">
        <v>80</v>
      </c>
      <c r="C162" t="s">
        <v>155</v>
      </c>
      <c r="D162">
        <v>28778</v>
      </c>
      <c r="E162">
        <v>9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x14ac:dyDescent="0.3">
      <c r="A163" t="s">
        <v>45</v>
      </c>
      <c r="B163" t="s">
        <v>48</v>
      </c>
      <c r="C163" t="s">
        <v>157</v>
      </c>
      <c r="D163">
        <v>70760</v>
      </c>
      <c r="E163">
        <v>3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spans="1:8" x14ac:dyDescent="0.3">
      <c r="A164" t="s">
        <v>47</v>
      </c>
      <c r="B164" t="s">
        <v>123</v>
      </c>
      <c r="C164" t="s">
        <v>157</v>
      </c>
      <c r="D164">
        <v>86225</v>
      </c>
      <c r="E164">
        <v>0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spans="1:8" x14ac:dyDescent="0.3">
      <c r="A165" t="s">
        <v>8</v>
      </c>
      <c r="B165" t="s">
        <v>158</v>
      </c>
      <c r="C165" t="s">
        <v>157</v>
      </c>
      <c r="D165">
        <v>12877</v>
      </c>
      <c r="E165">
        <v>6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 x14ac:dyDescent="0.3">
      <c r="A166" t="s">
        <v>5</v>
      </c>
      <c r="B166" t="s">
        <v>126</v>
      </c>
      <c r="C166" t="s">
        <v>157</v>
      </c>
      <c r="D166">
        <v>19121</v>
      </c>
      <c r="E166">
        <v>8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spans="1:8" x14ac:dyDescent="0.3">
      <c r="A167" t="s">
        <v>10</v>
      </c>
      <c r="B167" t="s">
        <v>62</v>
      </c>
      <c r="C167" t="s">
        <v>159</v>
      </c>
      <c r="D167">
        <v>25970</v>
      </c>
      <c r="E167">
        <v>10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spans="1:8" x14ac:dyDescent="0.3">
      <c r="A168" t="s">
        <v>50</v>
      </c>
      <c r="B168" t="s">
        <v>84</v>
      </c>
      <c r="C168" t="s">
        <v>159</v>
      </c>
      <c r="D168">
        <v>71020</v>
      </c>
      <c r="E168">
        <v>2</v>
      </c>
      <c r="F168">
        <f t="shared" si="6"/>
        <v>2023</v>
      </c>
      <c r="G168">
        <f t="shared" si="7"/>
        <v>10</v>
      </c>
      <c r="H168" t="str">
        <f t="shared" si="8"/>
        <v>2023-10</v>
      </c>
    </row>
    <row r="169" spans="1:8" x14ac:dyDescent="0.3">
      <c r="A169" t="s">
        <v>45</v>
      </c>
      <c r="B169" t="s">
        <v>25</v>
      </c>
      <c r="C169" t="s">
        <v>159</v>
      </c>
      <c r="D169">
        <v>17682</v>
      </c>
      <c r="E169">
        <v>7</v>
      </c>
      <c r="F169">
        <f t="shared" si="6"/>
        <v>2023</v>
      </c>
      <c r="G169">
        <f t="shared" si="7"/>
        <v>10</v>
      </c>
      <c r="H169" t="str">
        <f t="shared" si="8"/>
        <v>2023-10</v>
      </c>
    </row>
    <row r="170" spans="1:8" x14ac:dyDescent="0.3">
      <c r="A170" t="s">
        <v>40</v>
      </c>
      <c r="B170" t="s">
        <v>160</v>
      </c>
      <c r="C170" t="s">
        <v>161</v>
      </c>
      <c r="D170">
        <v>67305</v>
      </c>
      <c r="E170">
        <v>8</v>
      </c>
      <c r="F170">
        <f t="shared" si="6"/>
        <v>2023</v>
      </c>
      <c r="G170">
        <f t="shared" si="7"/>
        <v>10</v>
      </c>
      <c r="H170" t="str">
        <f t="shared" si="8"/>
        <v>2023-10</v>
      </c>
    </row>
    <row r="171" spans="1:8" x14ac:dyDescent="0.3">
      <c r="A171" t="s">
        <v>10</v>
      </c>
      <c r="B171" t="s">
        <v>74</v>
      </c>
      <c r="C171" t="s">
        <v>161</v>
      </c>
      <c r="D171">
        <v>35360</v>
      </c>
      <c r="E171">
        <v>6</v>
      </c>
      <c r="F171">
        <f t="shared" si="6"/>
        <v>2023</v>
      </c>
      <c r="G171">
        <f t="shared" si="7"/>
        <v>10</v>
      </c>
      <c r="H171" t="str">
        <f t="shared" si="8"/>
        <v>2023-10</v>
      </c>
    </row>
    <row r="172" spans="1:8" x14ac:dyDescent="0.3">
      <c r="A172" t="s">
        <v>14</v>
      </c>
      <c r="B172" t="s">
        <v>162</v>
      </c>
      <c r="C172" t="s">
        <v>161</v>
      </c>
      <c r="D172">
        <v>73023</v>
      </c>
      <c r="E172">
        <v>4</v>
      </c>
      <c r="F172">
        <f t="shared" si="6"/>
        <v>2023</v>
      </c>
      <c r="G172">
        <f t="shared" si="7"/>
        <v>10</v>
      </c>
      <c r="H172" t="str">
        <f t="shared" si="8"/>
        <v>2023-10</v>
      </c>
    </row>
    <row r="173" spans="1:8" x14ac:dyDescent="0.3">
      <c r="A173" t="s">
        <v>8</v>
      </c>
      <c r="B173" t="s">
        <v>9</v>
      </c>
      <c r="C173" t="s">
        <v>161</v>
      </c>
      <c r="D173">
        <v>36601</v>
      </c>
      <c r="E173">
        <v>6</v>
      </c>
      <c r="F173">
        <f t="shared" si="6"/>
        <v>2023</v>
      </c>
      <c r="G173">
        <f t="shared" si="7"/>
        <v>10</v>
      </c>
      <c r="H173" t="str">
        <f t="shared" si="8"/>
        <v>2023-10</v>
      </c>
    </row>
    <row r="174" spans="1:8" x14ac:dyDescent="0.3">
      <c r="A174" t="s">
        <v>28</v>
      </c>
      <c r="B174" t="s">
        <v>163</v>
      </c>
      <c r="C174" t="s">
        <v>164</v>
      </c>
      <c r="D174">
        <v>78426</v>
      </c>
      <c r="E174">
        <v>7</v>
      </c>
      <c r="F174">
        <f t="shared" si="6"/>
        <v>2023</v>
      </c>
      <c r="G174">
        <f t="shared" si="7"/>
        <v>10</v>
      </c>
      <c r="H174" t="str">
        <f t="shared" si="8"/>
        <v>2023-10</v>
      </c>
    </row>
    <row r="175" spans="1:8" x14ac:dyDescent="0.3">
      <c r="A175" t="s">
        <v>40</v>
      </c>
      <c r="B175" t="s">
        <v>89</v>
      </c>
      <c r="C175" t="s">
        <v>164</v>
      </c>
      <c r="D175">
        <v>13239</v>
      </c>
      <c r="E175">
        <v>6</v>
      </c>
      <c r="F175">
        <f t="shared" si="6"/>
        <v>2023</v>
      </c>
      <c r="G175">
        <f t="shared" si="7"/>
        <v>10</v>
      </c>
      <c r="H175" t="str">
        <f t="shared" si="8"/>
        <v>2023-10</v>
      </c>
    </row>
    <row r="176" spans="1:8" x14ac:dyDescent="0.3">
      <c r="A176" t="s">
        <v>50</v>
      </c>
      <c r="B176" t="s">
        <v>165</v>
      </c>
      <c r="C176" t="s">
        <v>164</v>
      </c>
      <c r="D176">
        <v>88169</v>
      </c>
      <c r="E176">
        <v>8</v>
      </c>
      <c r="F176">
        <f t="shared" si="6"/>
        <v>2023</v>
      </c>
      <c r="G176">
        <f t="shared" si="7"/>
        <v>10</v>
      </c>
      <c r="H176" t="str">
        <f t="shared" si="8"/>
        <v>2023-10</v>
      </c>
    </row>
    <row r="177" spans="1:8" x14ac:dyDescent="0.3">
      <c r="A177" t="s">
        <v>47</v>
      </c>
      <c r="B177" t="s">
        <v>166</v>
      </c>
      <c r="C177" t="s">
        <v>164</v>
      </c>
      <c r="D177">
        <v>20388</v>
      </c>
      <c r="E177">
        <v>8</v>
      </c>
      <c r="F177">
        <f t="shared" si="6"/>
        <v>2023</v>
      </c>
      <c r="G177">
        <f t="shared" si="7"/>
        <v>10</v>
      </c>
      <c r="H177" t="str">
        <f t="shared" si="8"/>
        <v>2023-10</v>
      </c>
    </row>
    <row r="178" spans="1:8" x14ac:dyDescent="0.3">
      <c r="A178" t="s">
        <v>40</v>
      </c>
      <c r="B178" t="s">
        <v>116</v>
      </c>
      <c r="C178" t="s">
        <v>164</v>
      </c>
      <c r="D178">
        <v>78270</v>
      </c>
      <c r="E178">
        <v>6</v>
      </c>
      <c r="F178">
        <f t="shared" si="6"/>
        <v>2023</v>
      </c>
      <c r="G178">
        <f t="shared" si="7"/>
        <v>10</v>
      </c>
      <c r="H178" t="str">
        <f t="shared" si="8"/>
        <v>2023-10</v>
      </c>
    </row>
    <row r="179" spans="1:8" x14ac:dyDescent="0.3">
      <c r="A179" t="s">
        <v>45</v>
      </c>
      <c r="B179" t="s">
        <v>69</v>
      </c>
      <c r="C179" t="s">
        <v>164</v>
      </c>
      <c r="D179">
        <v>47489</v>
      </c>
      <c r="E179">
        <v>4</v>
      </c>
      <c r="F179">
        <f t="shared" si="6"/>
        <v>2023</v>
      </c>
      <c r="G179">
        <f t="shared" si="7"/>
        <v>10</v>
      </c>
      <c r="H179" t="str">
        <f t="shared" si="8"/>
        <v>2023-10</v>
      </c>
    </row>
    <row r="180" spans="1:8" x14ac:dyDescent="0.3">
      <c r="A180" t="s">
        <v>5</v>
      </c>
      <c r="B180" t="s">
        <v>167</v>
      </c>
      <c r="C180" t="s">
        <v>164</v>
      </c>
      <c r="D180">
        <v>58606</v>
      </c>
      <c r="E180">
        <v>7</v>
      </c>
      <c r="F180">
        <f t="shared" si="6"/>
        <v>2023</v>
      </c>
      <c r="G180">
        <f t="shared" si="7"/>
        <v>10</v>
      </c>
      <c r="H180" t="str">
        <f t="shared" si="8"/>
        <v>2023-10</v>
      </c>
    </row>
    <row r="181" spans="1:8" x14ac:dyDescent="0.3">
      <c r="A181" t="s">
        <v>8</v>
      </c>
      <c r="B181" t="s">
        <v>168</v>
      </c>
      <c r="C181" t="s">
        <v>164</v>
      </c>
      <c r="D181">
        <v>28988</v>
      </c>
      <c r="E181">
        <v>6</v>
      </c>
      <c r="F181">
        <f t="shared" si="6"/>
        <v>2023</v>
      </c>
      <c r="G181">
        <f t="shared" si="7"/>
        <v>10</v>
      </c>
      <c r="H181" t="str">
        <f t="shared" si="8"/>
        <v>2023-10</v>
      </c>
    </row>
    <row r="182" spans="1:8" x14ac:dyDescent="0.3">
      <c r="A182" t="s">
        <v>5</v>
      </c>
      <c r="B182" t="s">
        <v>169</v>
      </c>
      <c r="C182" t="s">
        <v>170</v>
      </c>
      <c r="D182">
        <v>97701</v>
      </c>
      <c r="E182">
        <v>7</v>
      </c>
      <c r="F182">
        <f t="shared" si="6"/>
        <v>2023</v>
      </c>
      <c r="G182">
        <f t="shared" si="7"/>
        <v>10</v>
      </c>
      <c r="H182" t="str">
        <f t="shared" si="8"/>
        <v>2023-10</v>
      </c>
    </row>
    <row r="183" spans="1:8" x14ac:dyDescent="0.3">
      <c r="A183" t="s">
        <v>45</v>
      </c>
      <c r="B183" t="s">
        <v>171</v>
      </c>
      <c r="C183" t="s">
        <v>172</v>
      </c>
      <c r="D183">
        <v>52685</v>
      </c>
      <c r="E183">
        <v>7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3">
      <c r="A184" t="s">
        <v>21</v>
      </c>
      <c r="B184" t="s">
        <v>173</v>
      </c>
      <c r="C184" t="s">
        <v>172</v>
      </c>
      <c r="D184">
        <v>63672</v>
      </c>
      <c r="E184">
        <v>5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3">
      <c r="A185" t="s">
        <v>14</v>
      </c>
      <c r="B185" t="s">
        <v>174</v>
      </c>
      <c r="C185" t="s">
        <v>172</v>
      </c>
      <c r="D185">
        <v>72428</v>
      </c>
      <c r="E185">
        <v>4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3">
      <c r="A186" t="s">
        <v>47</v>
      </c>
      <c r="B186" t="s">
        <v>15</v>
      </c>
      <c r="C186" t="s">
        <v>175</v>
      </c>
      <c r="D186">
        <v>43654</v>
      </c>
      <c r="E186">
        <v>8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3">
      <c r="A187" t="s">
        <v>5</v>
      </c>
      <c r="B187" t="s">
        <v>147</v>
      </c>
      <c r="C187" t="s">
        <v>175</v>
      </c>
      <c r="D187">
        <v>47609</v>
      </c>
      <c r="E187">
        <v>3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3">
      <c r="A188" t="s">
        <v>21</v>
      </c>
      <c r="B188" t="s">
        <v>176</v>
      </c>
      <c r="C188" t="s">
        <v>177</v>
      </c>
      <c r="D188">
        <v>56110</v>
      </c>
      <c r="E188">
        <v>10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3">
      <c r="A189" t="s">
        <v>5</v>
      </c>
      <c r="B189" t="s">
        <v>77</v>
      </c>
      <c r="C189" t="s">
        <v>177</v>
      </c>
      <c r="D189">
        <v>39286</v>
      </c>
      <c r="E189">
        <v>6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x14ac:dyDescent="0.3">
      <c r="A190" t="s">
        <v>47</v>
      </c>
      <c r="B190" t="s">
        <v>101</v>
      </c>
      <c r="C190" t="s">
        <v>177</v>
      </c>
      <c r="D190">
        <v>43102</v>
      </c>
      <c r="E190">
        <v>8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x14ac:dyDescent="0.3">
      <c r="A191" t="s">
        <v>50</v>
      </c>
      <c r="B191" t="s">
        <v>70</v>
      </c>
      <c r="C191" t="s">
        <v>177</v>
      </c>
      <c r="D191">
        <v>26999</v>
      </c>
      <c r="E191">
        <v>9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x14ac:dyDescent="0.3">
      <c r="A192" t="s">
        <v>40</v>
      </c>
      <c r="B192" t="s">
        <v>178</v>
      </c>
      <c r="C192" t="s">
        <v>179</v>
      </c>
      <c r="D192">
        <v>43221</v>
      </c>
      <c r="E192">
        <v>7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x14ac:dyDescent="0.3">
      <c r="A193" t="s">
        <v>45</v>
      </c>
      <c r="B193" t="s">
        <v>174</v>
      </c>
      <c r="C193" t="s">
        <v>179</v>
      </c>
      <c r="D193">
        <v>80252</v>
      </c>
      <c r="E193">
        <v>9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x14ac:dyDescent="0.3">
      <c r="A194" t="s">
        <v>8</v>
      </c>
      <c r="B194" t="s">
        <v>109</v>
      </c>
      <c r="C194" t="s">
        <v>179</v>
      </c>
      <c r="D194">
        <v>38274</v>
      </c>
      <c r="E194">
        <v>4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x14ac:dyDescent="0.3">
      <c r="A195" t="s">
        <v>40</v>
      </c>
      <c r="B195" t="s">
        <v>146</v>
      </c>
      <c r="C195" t="s">
        <v>179</v>
      </c>
      <c r="D195">
        <v>56689</v>
      </c>
      <c r="E195">
        <v>10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x14ac:dyDescent="0.3">
      <c r="A196" t="s">
        <v>40</v>
      </c>
      <c r="B196" t="s">
        <v>72</v>
      </c>
      <c r="C196" t="s">
        <v>179</v>
      </c>
      <c r="D196">
        <v>87019</v>
      </c>
      <c r="E196">
        <v>8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x14ac:dyDescent="0.3">
      <c r="A197" t="s">
        <v>14</v>
      </c>
      <c r="B197" t="s">
        <v>111</v>
      </c>
      <c r="C197" t="s">
        <v>179</v>
      </c>
      <c r="D197">
        <v>45562</v>
      </c>
      <c r="E197">
        <v>4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x14ac:dyDescent="0.3">
      <c r="A198" t="s">
        <v>8</v>
      </c>
      <c r="B198" t="s">
        <v>180</v>
      </c>
      <c r="C198" t="s">
        <v>179</v>
      </c>
      <c r="D198">
        <v>86087</v>
      </c>
      <c r="E198">
        <v>9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x14ac:dyDescent="0.3">
      <c r="A199" t="s">
        <v>14</v>
      </c>
      <c r="B199" t="s">
        <v>103</v>
      </c>
      <c r="C199" t="s">
        <v>179</v>
      </c>
      <c r="D199">
        <v>65600</v>
      </c>
      <c r="E199">
        <v>8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x14ac:dyDescent="0.3">
      <c r="A200" t="s">
        <v>47</v>
      </c>
      <c r="B200" t="s">
        <v>25</v>
      </c>
      <c r="C200" t="s">
        <v>179</v>
      </c>
      <c r="D200">
        <v>68413</v>
      </c>
      <c r="E200">
        <v>8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3">
      <c r="A201" t="s">
        <v>47</v>
      </c>
      <c r="B201" t="s">
        <v>181</v>
      </c>
      <c r="C201" t="s">
        <v>179</v>
      </c>
      <c r="D201">
        <v>34789</v>
      </c>
      <c r="E201">
        <v>5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x14ac:dyDescent="0.3">
      <c r="A202" t="s">
        <v>50</v>
      </c>
      <c r="B202" t="s">
        <v>182</v>
      </c>
      <c r="C202" t="s">
        <v>179</v>
      </c>
      <c r="D202">
        <v>73009</v>
      </c>
      <c r="E202">
        <v>1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x14ac:dyDescent="0.3">
      <c r="A203" t="s">
        <v>28</v>
      </c>
      <c r="B203" t="s">
        <v>35</v>
      </c>
      <c r="C203" t="s">
        <v>179</v>
      </c>
      <c r="D203">
        <v>94678</v>
      </c>
      <c r="E203">
        <v>7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x14ac:dyDescent="0.3">
      <c r="A204" t="s">
        <v>14</v>
      </c>
      <c r="B204" t="s">
        <v>183</v>
      </c>
      <c r="C204" t="s">
        <v>184</v>
      </c>
      <c r="D204">
        <v>72248</v>
      </c>
      <c r="E204">
        <v>6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x14ac:dyDescent="0.3">
      <c r="A205" t="s">
        <v>28</v>
      </c>
      <c r="B205" t="s">
        <v>185</v>
      </c>
      <c r="C205" t="s">
        <v>184</v>
      </c>
      <c r="D205">
        <v>81823</v>
      </c>
      <c r="E205">
        <v>3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x14ac:dyDescent="0.3">
      <c r="A206" t="s">
        <v>5</v>
      </c>
      <c r="B206" t="s">
        <v>19</v>
      </c>
      <c r="C206" t="s">
        <v>184</v>
      </c>
      <c r="D206">
        <v>95251</v>
      </c>
      <c r="E206">
        <v>4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x14ac:dyDescent="0.3">
      <c r="A207" t="s">
        <v>14</v>
      </c>
      <c r="B207" t="s">
        <v>186</v>
      </c>
      <c r="C207" t="s">
        <v>184</v>
      </c>
      <c r="D207">
        <v>34637</v>
      </c>
      <c r="E207">
        <v>3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x14ac:dyDescent="0.3">
      <c r="A208" t="s">
        <v>21</v>
      </c>
      <c r="B208" t="s">
        <v>88</v>
      </c>
      <c r="C208" t="s">
        <v>187</v>
      </c>
      <c r="D208">
        <v>16248</v>
      </c>
      <c r="E208">
        <v>7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x14ac:dyDescent="0.3">
      <c r="A209" t="s">
        <v>45</v>
      </c>
      <c r="B209" t="s">
        <v>117</v>
      </c>
      <c r="C209" t="s">
        <v>188</v>
      </c>
      <c r="D209">
        <v>26267</v>
      </c>
      <c r="E209">
        <v>3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x14ac:dyDescent="0.3">
      <c r="A210" t="s">
        <v>18</v>
      </c>
      <c r="B210" t="s">
        <v>176</v>
      </c>
      <c r="C210" t="s">
        <v>189</v>
      </c>
      <c r="D210">
        <v>82603</v>
      </c>
      <c r="E210">
        <v>8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x14ac:dyDescent="0.3">
      <c r="A211" t="s">
        <v>18</v>
      </c>
      <c r="B211" t="s">
        <v>190</v>
      </c>
      <c r="C211" t="s">
        <v>189</v>
      </c>
      <c r="D211">
        <v>88926</v>
      </c>
      <c r="E211">
        <v>6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3">
      <c r="A212" t="s">
        <v>45</v>
      </c>
      <c r="B212" t="s">
        <v>105</v>
      </c>
      <c r="C212" t="s">
        <v>189</v>
      </c>
      <c r="D212">
        <v>12372</v>
      </c>
      <c r="E212">
        <v>0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x14ac:dyDescent="0.3">
      <c r="A213" t="s">
        <v>50</v>
      </c>
      <c r="B213" t="s">
        <v>36</v>
      </c>
      <c r="C213" t="s">
        <v>189</v>
      </c>
      <c r="D213">
        <v>26671</v>
      </c>
      <c r="E213">
        <v>7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x14ac:dyDescent="0.3">
      <c r="A214" t="s">
        <v>28</v>
      </c>
      <c r="B214" t="s">
        <v>191</v>
      </c>
      <c r="C214" t="s">
        <v>189</v>
      </c>
      <c r="D214">
        <v>76489</v>
      </c>
      <c r="E214">
        <v>7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3">
      <c r="A215" t="s">
        <v>21</v>
      </c>
      <c r="B215" t="s">
        <v>192</v>
      </c>
      <c r="C215" t="s">
        <v>189</v>
      </c>
      <c r="D215">
        <v>66482</v>
      </c>
      <c r="E215">
        <v>7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x14ac:dyDescent="0.3">
      <c r="A216" t="s">
        <v>18</v>
      </c>
      <c r="B216" t="s">
        <v>193</v>
      </c>
      <c r="C216" t="s">
        <v>189</v>
      </c>
      <c r="D216">
        <v>97651</v>
      </c>
      <c r="E216">
        <v>6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x14ac:dyDescent="0.3">
      <c r="A217" t="s">
        <v>18</v>
      </c>
      <c r="B217" t="s">
        <v>140</v>
      </c>
      <c r="C217" t="s">
        <v>189</v>
      </c>
      <c r="D217">
        <v>42670</v>
      </c>
      <c r="E217">
        <v>8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x14ac:dyDescent="0.3">
      <c r="A218" t="s">
        <v>21</v>
      </c>
      <c r="B218" t="s">
        <v>194</v>
      </c>
      <c r="C218" t="s">
        <v>189</v>
      </c>
      <c r="D218">
        <v>49858</v>
      </c>
      <c r="E218">
        <v>4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x14ac:dyDescent="0.3">
      <c r="A219" t="s">
        <v>5</v>
      </c>
      <c r="B219" t="s">
        <v>195</v>
      </c>
      <c r="C219" t="s">
        <v>189</v>
      </c>
      <c r="D219">
        <v>74989</v>
      </c>
      <c r="E219">
        <v>5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x14ac:dyDescent="0.3">
      <c r="A220" t="s">
        <v>18</v>
      </c>
      <c r="B220" t="s">
        <v>24</v>
      </c>
      <c r="C220" t="s">
        <v>196</v>
      </c>
      <c r="D220">
        <v>99722</v>
      </c>
      <c r="E220">
        <v>10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3">
      <c r="A221" t="s">
        <v>14</v>
      </c>
      <c r="B221" t="s">
        <v>32</v>
      </c>
      <c r="C221" t="s">
        <v>196</v>
      </c>
      <c r="D221">
        <v>52706</v>
      </c>
      <c r="E221">
        <v>7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x14ac:dyDescent="0.3">
      <c r="A222" t="s">
        <v>40</v>
      </c>
      <c r="B222" t="s">
        <v>197</v>
      </c>
      <c r="C222" t="s">
        <v>198</v>
      </c>
      <c r="D222">
        <v>53585</v>
      </c>
      <c r="E222">
        <v>4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3">
      <c r="A223" t="s">
        <v>21</v>
      </c>
      <c r="B223" t="s">
        <v>199</v>
      </c>
      <c r="C223" t="s">
        <v>198</v>
      </c>
      <c r="D223">
        <v>86902</v>
      </c>
      <c r="E223">
        <v>5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x14ac:dyDescent="0.3">
      <c r="A224" t="s">
        <v>21</v>
      </c>
      <c r="B224" t="s">
        <v>200</v>
      </c>
      <c r="C224" t="s">
        <v>198</v>
      </c>
      <c r="D224">
        <v>71721</v>
      </c>
      <c r="E224">
        <v>9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3">
      <c r="A225" t="s">
        <v>50</v>
      </c>
      <c r="B225" t="s">
        <v>190</v>
      </c>
      <c r="C225" t="s">
        <v>198</v>
      </c>
      <c r="D225">
        <v>54607</v>
      </c>
      <c r="E225">
        <v>5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x14ac:dyDescent="0.3">
      <c r="A226" t="s">
        <v>10</v>
      </c>
      <c r="B226" t="s">
        <v>6</v>
      </c>
      <c r="C226" t="s">
        <v>201</v>
      </c>
      <c r="D226">
        <v>84692</v>
      </c>
      <c r="E226">
        <v>7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x14ac:dyDescent="0.3">
      <c r="A227" t="s">
        <v>5</v>
      </c>
      <c r="B227" t="s">
        <v>190</v>
      </c>
      <c r="C227" t="s">
        <v>201</v>
      </c>
      <c r="D227">
        <v>52177</v>
      </c>
      <c r="E227">
        <v>5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x14ac:dyDescent="0.3">
      <c r="A228" t="s">
        <v>12</v>
      </c>
      <c r="B228" t="s">
        <v>202</v>
      </c>
      <c r="C228" t="s">
        <v>201</v>
      </c>
      <c r="D228">
        <v>85341</v>
      </c>
      <c r="E228">
        <v>8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x14ac:dyDescent="0.3">
      <c r="A229" t="s">
        <v>5</v>
      </c>
      <c r="B229" t="s">
        <v>9</v>
      </c>
      <c r="C229" t="s">
        <v>201</v>
      </c>
      <c r="D229">
        <v>51725</v>
      </c>
      <c r="E229">
        <v>10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x14ac:dyDescent="0.3">
      <c r="A230" t="s">
        <v>40</v>
      </c>
      <c r="B230" t="s">
        <v>70</v>
      </c>
      <c r="C230" t="s">
        <v>201</v>
      </c>
      <c r="D230">
        <v>62156</v>
      </c>
      <c r="E230">
        <v>6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x14ac:dyDescent="0.3">
      <c r="A231" t="s">
        <v>5</v>
      </c>
      <c r="B231" t="s">
        <v>203</v>
      </c>
      <c r="C231" t="s">
        <v>204</v>
      </c>
      <c r="D231">
        <v>85226</v>
      </c>
      <c r="E231">
        <v>6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x14ac:dyDescent="0.3">
      <c r="A232" t="s">
        <v>10</v>
      </c>
      <c r="B232" t="s">
        <v>205</v>
      </c>
      <c r="C232" t="s">
        <v>206</v>
      </c>
      <c r="D232">
        <v>98728</v>
      </c>
      <c r="E232">
        <v>5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x14ac:dyDescent="0.3">
      <c r="A233" t="s">
        <v>45</v>
      </c>
      <c r="B233" t="s">
        <v>152</v>
      </c>
      <c r="C233" t="s">
        <v>206</v>
      </c>
      <c r="D233">
        <v>45167</v>
      </c>
      <c r="E233">
        <v>9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3">
      <c r="A234" t="s">
        <v>50</v>
      </c>
      <c r="B234" t="s">
        <v>207</v>
      </c>
      <c r="C234" t="s">
        <v>206</v>
      </c>
      <c r="D234">
        <v>98204</v>
      </c>
      <c r="E234">
        <v>7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x14ac:dyDescent="0.3">
      <c r="A235" t="s">
        <v>5</v>
      </c>
      <c r="B235" t="s">
        <v>208</v>
      </c>
      <c r="C235" t="s">
        <v>206</v>
      </c>
      <c r="D235">
        <v>22089</v>
      </c>
      <c r="E235">
        <v>4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x14ac:dyDescent="0.3">
      <c r="A236" t="s">
        <v>12</v>
      </c>
      <c r="B236" t="s">
        <v>209</v>
      </c>
      <c r="C236" t="s">
        <v>206</v>
      </c>
      <c r="D236">
        <v>96793</v>
      </c>
      <c r="E236">
        <v>6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x14ac:dyDescent="0.3">
      <c r="A237" t="s">
        <v>5</v>
      </c>
      <c r="B237" t="s">
        <v>20</v>
      </c>
      <c r="C237" t="s">
        <v>206</v>
      </c>
      <c r="D237">
        <v>58087</v>
      </c>
      <c r="E237">
        <v>4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x14ac:dyDescent="0.3">
      <c r="A238" t="s">
        <v>50</v>
      </c>
      <c r="B238" t="s">
        <v>154</v>
      </c>
      <c r="C238" t="s">
        <v>206</v>
      </c>
      <c r="D238">
        <v>97014</v>
      </c>
      <c r="E238">
        <v>7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x14ac:dyDescent="0.3">
      <c r="A239" t="s">
        <v>12</v>
      </c>
      <c r="B239" t="s">
        <v>110</v>
      </c>
      <c r="C239" t="s">
        <v>206</v>
      </c>
      <c r="D239">
        <v>91105</v>
      </c>
      <c r="E239">
        <v>10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spans="1:8" x14ac:dyDescent="0.3">
      <c r="A240" t="s">
        <v>10</v>
      </c>
      <c r="B240" t="s">
        <v>210</v>
      </c>
      <c r="C240" t="s">
        <v>211</v>
      </c>
      <c r="D240">
        <v>77618</v>
      </c>
      <c r="E240">
        <v>6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spans="1:8" x14ac:dyDescent="0.3">
      <c r="A241" t="s">
        <v>50</v>
      </c>
      <c r="B241" t="s">
        <v>83</v>
      </c>
      <c r="C241" t="s">
        <v>211</v>
      </c>
      <c r="D241">
        <v>90017</v>
      </c>
      <c r="E241">
        <v>5</v>
      </c>
      <c r="F241">
        <f t="shared" si="9"/>
        <v>2023</v>
      </c>
      <c r="G241">
        <f t="shared" si="10"/>
        <v>11</v>
      </c>
      <c r="H241" t="str">
        <f t="shared" si="11"/>
        <v>2023-11</v>
      </c>
    </row>
    <row r="242" spans="1:8" x14ac:dyDescent="0.3">
      <c r="A242" t="s">
        <v>28</v>
      </c>
      <c r="B242" t="s">
        <v>185</v>
      </c>
      <c r="C242" t="s">
        <v>211</v>
      </c>
      <c r="D242">
        <v>72241</v>
      </c>
      <c r="E242">
        <v>3</v>
      </c>
      <c r="F242">
        <f t="shared" si="9"/>
        <v>2023</v>
      </c>
      <c r="G242">
        <f t="shared" si="10"/>
        <v>11</v>
      </c>
      <c r="H242" t="str">
        <f t="shared" si="11"/>
        <v>2023-11</v>
      </c>
    </row>
    <row r="243" spans="1:8" x14ac:dyDescent="0.3">
      <c r="A243" t="s">
        <v>14</v>
      </c>
      <c r="B243" t="s">
        <v>51</v>
      </c>
      <c r="C243" t="s">
        <v>212</v>
      </c>
      <c r="D243">
        <v>90972</v>
      </c>
      <c r="E243">
        <v>7</v>
      </c>
      <c r="F243">
        <f t="shared" si="9"/>
        <v>2023</v>
      </c>
      <c r="G243">
        <f t="shared" si="10"/>
        <v>11</v>
      </c>
      <c r="H243" t="str">
        <f t="shared" si="11"/>
        <v>2023-11</v>
      </c>
    </row>
    <row r="244" spans="1:8" x14ac:dyDescent="0.3">
      <c r="A244" t="s">
        <v>28</v>
      </c>
      <c r="B244" t="s">
        <v>174</v>
      </c>
      <c r="C244" t="s">
        <v>212</v>
      </c>
      <c r="D244">
        <v>20618</v>
      </c>
      <c r="E244">
        <v>8</v>
      </c>
      <c r="F244">
        <f t="shared" si="9"/>
        <v>2023</v>
      </c>
      <c r="G244">
        <f t="shared" si="10"/>
        <v>11</v>
      </c>
      <c r="H244" t="str">
        <f t="shared" si="11"/>
        <v>2023-11</v>
      </c>
    </row>
    <row r="245" spans="1:8" x14ac:dyDescent="0.3">
      <c r="A245" t="s">
        <v>47</v>
      </c>
      <c r="B245" t="s">
        <v>167</v>
      </c>
      <c r="C245" t="s">
        <v>212</v>
      </c>
      <c r="D245">
        <v>89105</v>
      </c>
      <c r="E245">
        <v>4</v>
      </c>
      <c r="F245">
        <f t="shared" si="9"/>
        <v>2023</v>
      </c>
      <c r="G245">
        <f t="shared" si="10"/>
        <v>11</v>
      </c>
      <c r="H245" t="str">
        <f t="shared" si="11"/>
        <v>2023-11</v>
      </c>
    </row>
    <row r="246" spans="1:8" x14ac:dyDescent="0.3">
      <c r="A246" t="s">
        <v>50</v>
      </c>
      <c r="B246" t="s">
        <v>127</v>
      </c>
      <c r="C246" t="s">
        <v>213</v>
      </c>
      <c r="D246">
        <v>50342</v>
      </c>
      <c r="E246">
        <v>8</v>
      </c>
      <c r="F246">
        <f t="shared" si="9"/>
        <v>2023</v>
      </c>
      <c r="G246">
        <f t="shared" si="10"/>
        <v>11</v>
      </c>
      <c r="H246" t="str">
        <f t="shared" si="11"/>
        <v>2023-11</v>
      </c>
    </row>
    <row r="247" spans="1:8" x14ac:dyDescent="0.3">
      <c r="A247" t="s">
        <v>45</v>
      </c>
      <c r="B247" t="s">
        <v>214</v>
      </c>
      <c r="C247" t="s">
        <v>213</v>
      </c>
      <c r="D247">
        <v>40117</v>
      </c>
      <c r="E247">
        <v>6</v>
      </c>
      <c r="F247">
        <f t="shared" si="9"/>
        <v>2023</v>
      </c>
      <c r="G247">
        <f t="shared" si="10"/>
        <v>11</v>
      </c>
      <c r="H247" t="str">
        <f t="shared" si="11"/>
        <v>2023-11</v>
      </c>
    </row>
    <row r="248" spans="1:8" x14ac:dyDescent="0.3">
      <c r="A248" t="s">
        <v>50</v>
      </c>
      <c r="B248" t="s">
        <v>169</v>
      </c>
      <c r="C248" t="s">
        <v>215</v>
      </c>
      <c r="D248">
        <v>91189</v>
      </c>
      <c r="E248">
        <v>5</v>
      </c>
      <c r="F248">
        <f t="shared" si="9"/>
        <v>2023</v>
      </c>
      <c r="G248">
        <f t="shared" si="10"/>
        <v>11</v>
      </c>
      <c r="H248" t="str">
        <f t="shared" si="11"/>
        <v>2023-11</v>
      </c>
    </row>
    <row r="249" spans="1:8" x14ac:dyDescent="0.3">
      <c r="A249" t="s">
        <v>40</v>
      </c>
      <c r="B249" t="s">
        <v>63</v>
      </c>
      <c r="C249" t="s">
        <v>215</v>
      </c>
      <c r="D249">
        <v>29974</v>
      </c>
      <c r="E249">
        <v>7</v>
      </c>
      <c r="F249">
        <f t="shared" si="9"/>
        <v>2023</v>
      </c>
      <c r="G249">
        <f t="shared" si="10"/>
        <v>11</v>
      </c>
      <c r="H249" t="str">
        <f t="shared" si="11"/>
        <v>2023-11</v>
      </c>
    </row>
    <row r="250" spans="1:8" x14ac:dyDescent="0.3">
      <c r="A250" t="s">
        <v>45</v>
      </c>
      <c r="B250" t="s">
        <v>107</v>
      </c>
      <c r="C250" t="s">
        <v>215</v>
      </c>
      <c r="D250">
        <v>39078</v>
      </c>
      <c r="E250">
        <v>5</v>
      </c>
      <c r="F250">
        <f t="shared" si="9"/>
        <v>2023</v>
      </c>
      <c r="G250">
        <f t="shared" si="10"/>
        <v>11</v>
      </c>
      <c r="H250" t="str">
        <f t="shared" si="11"/>
        <v>2023-11</v>
      </c>
    </row>
    <row r="251" spans="1:8" x14ac:dyDescent="0.3">
      <c r="A251" t="s">
        <v>8</v>
      </c>
      <c r="B251" t="s">
        <v>180</v>
      </c>
      <c r="C251" t="s">
        <v>216</v>
      </c>
      <c r="D251">
        <v>60727</v>
      </c>
      <c r="E251">
        <v>3</v>
      </c>
      <c r="F251">
        <f t="shared" si="9"/>
        <v>2023</v>
      </c>
      <c r="G251">
        <f t="shared" si="10"/>
        <v>11</v>
      </c>
      <c r="H251" t="str">
        <f t="shared" si="11"/>
        <v>2023-11</v>
      </c>
    </row>
    <row r="252" spans="1:8" x14ac:dyDescent="0.3">
      <c r="A252" t="s">
        <v>12</v>
      </c>
      <c r="B252" t="s">
        <v>70</v>
      </c>
      <c r="C252" t="s">
        <v>216</v>
      </c>
      <c r="D252">
        <v>79966</v>
      </c>
      <c r="E252">
        <v>3</v>
      </c>
      <c r="F252">
        <f t="shared" si="9"/>
        <v>2023</v>
      </c>
      <c r="G252">
        <f t="shared" si="10"/>
        <v>11</v>
      </c>
      <c r="H252" t="str">
        <f t="shared" si="11"/>
        <v>2023-11</v>
      </c>
    </row>
    <row r="253" spans="1:8" x14ac:dyDescent="0.3">
      <c r="A253" t="s">
        <v>14</v>
      </c>
      <c r="B253" t="s">
        <v>54</v>
      </c>
      <c r="C253" t="s">
        <v>216</v>
      </c>
      <c r="D253">
        <v>47867</v>
      </c>
      <c r="E253">
        <v>7</v>
      </c>
      <c r="F253">
        <f t="shared" si="9"/>
        <v>2023</v>
      </c>
      <c r="G253">
        <f t="shared" si="10"/>
        <v>11</v>
      </c>
      <c r="H253" t="str">
        <f t="shared" si="11"/>
        <v>2023-11</v>
      </c>
    </row>
    <row r="254" spans="1:8" x14ac:dyDescent="0.3">
      <c r="A254" t="s">
        <v>21</v>
      </c>
      <c r="B254" t="s">
        <v>147</v>
      </c>
      <c r="C254" t="s">
        <v>216</v>
      </c>
      <c r="D254">
        <v>32063</v>
      </c>
      <c r="E254">
        <v>1</v>
      </c>
      <c r="F254">
        <f t="shared" si="9"/>
        <v>2023</v>
      </c>
      <c r="G254">
        <f t="shared" si="10"/>
        <v>11</v>
      </c>
      <c r="H254" t="str">
        <f t="shared" si="11"/>
        <v>2023-11</v>
      </c>
    </row>
    <row r="255" spans="1:8" x14ac:dyDescent="0.3">
      <c r="A255" t="s">
        <v>45</v>
      </c>
      <c r="B255" t="s">
        <v>217</v>
      </c>
      <c r="C255" t="s">
        <v>216</v>
      </c>
      <c r="D255">
        <v>86350</v>
      </c>
      <c r="E255">
        <v>2</v>
      </c>
      <c r="F255">
        <f t="shared" si="9"/>
        <v>2023</v>
      </c>
      <c r="G255">
        <f t="shared" si="10"/>
        <v>11</v>
      </c>
      <c r="H255" t="str">
        <f t="shared" si="11"/>
        <v>2023-11</v>
      </c>
    </row>
    <row r="256" spans="1:8" x14ac:dyDescent="0.3">
      <c r="A256" t="s">
        <v>50</v>
      </c>
      <c r="B256" t="s">
        <v>34</v>
      </c>
      <c r="C256" t="s">
        <v>216</v>
      </c>
      <c r="D256">
        <v>79305</v>
      </c>
      <c r="E256">
        <v>10</v>
      </c>
      <c r="F256">
        <f t="shared" si="9"/>
        <v>2023</v>
      </c>
      <c r="G256">
        <f t="shared" si="10"/>
        <v>11</v>
      </c>
      <c r="H256" t="str">
        <f t="shared" si="11"/>
        <v>2023-11</v>
      </c>
    </row>
    <row r="257" spans="1:8" x14ac:dyDescent="0.3">
      <c r="A257" t="s">
        <v>10</v>
      </c>
      <c r="B257" t="s">
        <v>69</v>
      </c>
      <c r="C257" t="s">
        <v>216</v>
      </c>
      <c r="D257">
        <v>78092</v>
      </c>
      <c r="E257">
        <v>5</v>
      </c>
      <c r="F257">
        <f t="shared" si="9"/>
        <v>2023</v>
      </c>
      <c r="G257">
        <f t="shared" si="10"/>
        <v>11</v>
      </c>
      <c r="H257" t="str">
        <f t="shared" si="11"/>
        <v>2023-11</v>
      </c>
    </row>
    <row r="258" spans="1:8" x14ac:dyDescent="0.3">
      <c r="A258" t="s">
        <v>47</v>
      </c>
      <c r="B258" t="s">
        <v>105</v>
      </c>
      <c r="C258" t="s">
        <v>218</v>
      </c>
      <c r="D258">
        <v>44138</v>
      </c>
      <c r="E258">
        <v>1</v>
      </c>
      <c r="F258">
        <f t="shared" si="9"/>
        <v>2023</v>
      </c>
      <c r="G258">
        <f t="shared" si="10"/>
        <v>11</v>
      </c>
      <c r="H258" t="str">
        <f t="shared" si="11"/>
        <v>2023-11</v>
      </c>
    </row>
    <row r="259" spans="1:8" x14ac:dyDescent="0.3">
      <c r="A259" t="s">
        <v>10</v>
      </c>
      <c r="B259" t="s">
        <v>144</v>
      </c>
      <c r="C259" t="s">
        <v>218</v>
      </c>
      <c r="D259">
        <v>36596</v>
      </c>
      <c r="E259">
        <v>5</v>
      </c>
      <c r="F259">
        <f t="shared" ref="F259:F322" si="12">YEAR(C259)</f>
        <v>2023</v>
      </c>
      <c r="G259">
        <f t="shared" ref="G259:G322" si="13">MONTH(C259)</f>
        <v>11</v>
      </c>
      <c r="H259" t="str">
        <f t="shared" ref="H259:H322" si="14">F259&amp;"-"&amp;G259</f>
        <v>2023-11</v>
      </c>
    </row>
    <row r="260" spans="1:8" x14ac:dyDescent="0.3">
      <c r="A260" t="s">
        <v>14</v>
      </c>
      <c r="B260" t="s">
        <v>191</v>
      </c>
      <c r="C260" t="s">
        <v>218</v>
      </c>
      <c r="D260">
        <v>80082</v>
      </c>
      <c r="E260">
        <v>5</v>
      </c>
      <c r="F260">
        <f t="shared" si="12"/>
        <v>2023</v>
      </c>
      <c r="G260">
        <f t="shared" si="13"/>
        <v>11</v>
      </c>
      <c r="H260" t="str">
        <f t="shared" si="14"/>
        <v>2023-11</v>
      </c>
    </row>
    <row r="261" spans="1:8" x14ac:dyDescent="0.3">
      <c r="A261" t="s">
        <v>28</v>
      </c>
      <c r="B261" t="s">
        <v>199</v>
      </c>
      <c r="C261" t="s">
        <v>218</v>
      </c>
      <c r="D261">
        <v>64423</v>
      </c>
      <c r="E261">
        <v>7</v>
      </c>
      <c r="F261">
        <f t="shared" si="12"/>
        <v>2023</v>
      </c>
      <c r="G261">
        <f t="shared" si="13"/>
        <v>11</v>
      </c>
      <c r="H261" t="str">
        <f t="shared" si="14"/>
        <v>2023-11</v>
      </c>
    </row>
    <row r="262" spans="1:8" x14ac:dyDescent="0.3">
      <c r="A262" t="s">
        <v>12</v>
      </c>
      <c r="B262" t="s">
        <v>66</v>
      </c>
      <c r="C262" t="s">
        <v>219</v>
      </c>
      <c r="D262">
        <v>44555</v>
      </c>
      <c r="E262">
        <v>5</v>
      </c>
      <c r="F262">
        <f t="shared" si="12"/>
        <v>2023</v>
      </c>
      <c r="G262">
        <f t="shared" si="13"/>
        <v>11</v>
      </c>
      <c r="H262" t="str">
        <f t="shared" si="14"/>
        <v>2023-11</v>
      </c>
    </row>
    <row r="263" spans="1:8" x14ac:dyDescent="0.3">
      <c r="A263" t="s">
        <v>8</v>
      </c>
      <c r="B263" t="s">
        <v>186</v>
      </c>
      <c r="C263" t="s">
        <v>219</v>
      </c>
      <c r="D263">
        <v>12431</v>
      </c>
      <c r="E263">
        <v>9</v>
      </c>
      <c r="F263">
        <f t="shared" si="12"/>
        <v>2023</v>
      </c>
      <c r="G263">
        <f t="shared" si="13"/>
        <v>11</v>
      </c>
      <c r="H263" t="str">
        <f t="shared" si="14"/>
        <v>2023-11</v>
      </c>
    </row>
    <row r="264" spans="1:8" x14ac:dyDescent="0.3">
      <c r="A264" t="s">
        <v>12</v>
      </c>
      <c r="B264" t="s">
        <v>27</v>
      </c>
      <c r="C264" t="s">
        <v>220</v>
      </c>
      <c r="D264">
        <v>61682</v>
      </c>
      <c r="E264">
        <v>7</v>
      </c>
      <c r="F264">
        <f t="shared" si="12"/>
        <v>2023</v>
      </c>
      <c r="G264">
        <f t="shared" si="13"/>
        <v>11</v>
      </c>
      <c r="H264" t="str">
        <f t="shared" si="14"/>
        <v>2023-11</v>
      </c>
    </row>
    <row r="265" spans="1:8" x14ac:dyDescent="0.3">
      <c r="A265" t="s">
        <v>10</v>
      </c>
      <c r="B265" t="s">
        <v>221</v>
      </c>
      <c r="C265" t="s">
        <v>220</v>
      </c>
      <c r="D265">
        <v>42111</v>
      </c>
      <c r="E265">
        <v>1</v>
      </c>
      <c r="F265">
        <f t="shared" si="12"/>
        <v>2023</v>
      </c>
      <c r="G265">
        <f t="shared" si="13"/>
        <v>11</v>
      </c>
      <c r="H265" t="str">
        <f t="shared" si="14"/>
        <v>2023-11</v>
      </c>
    </row>
    <row r="266" spans="1:8" x14ac:dyDescent="0.3">
      <c r="A266" t="s">
        <v>18</v>
      </c>
      <c r="B266" t="s">
        <v>90</v>
      </c>
      <c r="C266" t="s">
        <v>220</v>
      </c>
      <c r="D266">
        <v>23832</v>
      </c>
      <c r="E266">
        <v>6</v>
      </c>
      <c r="F266">
        <f t="shared" si="12"/>
        <v>2023</v>
      </c>
      <c r="G266">
        <f t="shared" si="13"/>
        <v>11</v>
      </c>
      <c r="H266" t="str">
        <f t="shared" si="14"/>
        <v>2023-11</v>
      </c>
    </row>
    <row r="267" spans="1:8" x14ac:dyDescent="0.3">
      <c r="A267" t="s">
        <v>8</v>
      </c>
      <c r="B267" t="s">
        <v>183</v>
      </c>
      <c r="C267" t="s">
        <v>220</v>
      </c>
      <c r="D267">
        <v>73139</v>
      </c>
      <c r="E267">
        <v>7</v>
      </c>
      <c r="F267">
        <f t="shared" si="12"/>
        <v>2023</v>
      </c>
      <c r="G267">
        <f t="shared" si="13"/>
        <v>11</v>
      </c>
      <c r="H267" t="str">
        <f t="shared" si="14"/>
        <v>2023-11</v>
      </c>
    </row>
    <row r="268" spans="1:8" x14ac:dyDescent="0.3">
      <c r="A268" t="s">
        <v>14</v>
      </c>
      <c r="B268" t="s">
        <v>222</v>
      </c>
      <c r="C268" t="s">
        <v>220</v>
      </c>
      <c r="D268">
        <v>47846</v>
      </c>
      <c r="E268">
        <v>5</v>
      </c>
      <c r="F268">
        <f t="shared" si="12"/>
        <v>2023</v>
      </c>
      <c r="G268">
        <f t="shared" si="13"/>
        <v>11</v>
      </c>
      <c r="H268" t="str">
        <f t="shared" si="14"/>
        <v>2023-11</v>
      </c>
    </row>
    <row r="269" spans="1:8" x14ac:dyDescent="0.3">
      <c r="A269" t="s">
        <v>50</v>
      </c>
      <c r="B269" t="s">
        <v>150</v>
      </c>
      <c r="C269" t="s">
        <v>223</v>
      </c>
      <c r="D269">
        <v>70430</v>
      </c>
      <c r="E269">
        <v>6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x14ac:dyDescent="0.3">
      <c r="A270" t="s">
        <v>14</v>
      </c>
      <c r="B270" t="s">
        <v>43</v>
      </c>
      <c r="C270" t="s">
        <v>223</v>
      </c>
      <c r="D270">
        <v>59122</v>
      </c>
      <c r="E270">
        <v>5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x14ac:dyDescent="0.3">
      <c r="A271" t="s">
        <v>45</v>
      </c>
      <c r="B271" t="s">
        <v>89</v>
      </c>
      <c r="C271" t="s">
        <v>224</v>
      </c>
      <c r="D271">
        <v>52240</v>
      </c>
      <c r="E271">
        <v>5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x14ac:dyDescent="0.3">
      <c r="A272" t="s">
        <v>50</v>
      </c>
      <c r="B272" t="s">
        <v>225</v>
      </c>
      <c r="C272" t="s">
        <v>224</v>
      </c>
      <c r="D272">
        <v>52075</v>
      </c>
      <c r="E272">
        <v>8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x14ac:dyDescent="0.3">
      <c r="A273" t="s">
        <v>8</v>
      </c>
      <c r="B273" t="s">
        <v>178</v>
      </c>
      <c r="C273" t="s">
        <v>224</v>
      </c>
      <c r="D273">
        <v>71832</v>
      </c>
      <c r="E273">
        <v>9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x14ac:dyDescent="0.3">
      <c r="A274" t="s">
        <v>40</v>
      </c>
      <c r="B274" t="s">
        <v>123</v>
      </c>
      <c r="C274" t="s">
        <v>224</v>
      </c>
      <c r="D274">
        <v>65056</v>
      </c>
      <c r="E274">
        <v>7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x14ac:dyDescent="0.3">
      <c r="A275" t="s">
        <v>8</v>
      </c>
      <c r="B275" t="s">
        <v>221</v>
      </c>
      <c r="C275" t="s">
        <v>224</v>
      </c>
      <c r="D275">
        <v>19775</v>
      </c>
      <c r="E275">
        <v>4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3">
      <c r="A276" t="s">
        <v>5</v>
      </c>
      <c r="B276" t="s">
        <v>154</v>
      </c>
      <c r="C276" t="s">
        <v>224</v>
      </c>
      <c r="D276">
        <v>21432</v>
      </c>
      <c r="E276">
        <v>4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x14ac:dyDescent="0.3">
      <c r="A277" t="s">
        <v>28</v>
      </c>
      <c r="B277" t="s">
        <v>88</v>
      </c>
      <c r="C277" t="s">
        <v>224</v>
      </c>
      <c r="D277">
        <v>60660</v>
      </c>
      <c r="E277">
        <v>6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x14ac:dyDescent="0.3">
      <c r="A278" t="s">
        <v>45</v>
      </c>
      <c r="B278" t="s">
        <v>181</v>
      </c>
      <c r="C278" t="s">
        <v>226</v>
      </c>
      <c r="D278">
        <v>23399</v>
      </c>
      <c r="E278">
        <v>5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x14ac:dyDescent="0.3">
      <c r="A279" t="s">
        <v>45</v>
      </c>
      <c r="B279" t="s">
        <v>205</v>
      </c>
      <c r="C279" t="s">
        <v>226</v>
      </c>
      <c r="D279">
        <v>80152</v>
      </c>
      <c r="E279">
        <v>6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x14ac:dyDescent="0.3">
      <c r="A280" t="s">
        <v>14</v>
      </c>
      <c r="B280" t="s">
        <v>227</v>
      </c>
      <c r="C280" t="s">
        <v>228</v>
      </c>
      <c r="D280">
        <v>47967</v>
      </c>
      <c r="E280">
        <v>5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x14ac:dyDescent="0.3">
      <c r="A281" t="s">
        <v>14</v>
      </c>
      <c r="B281" t="s">
        <v>146</v>
      </c>
      <c r="C281" t="s">
        <v>228</v>
      </c>
      <c r="D281">
        <v>90712</v>
      </c>
      <c r="E281">
        <v>7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3">
      <c r="A282" t="s">
        <v>45</v>
      </c>
      <c r="B282" t="s">
        <v>54</v>
      </c>
      <c r="C282" t="s">
        <v>228</v>
      </c>
      <c r="D282">
        <v>15484</v>
      </c>
      <c r="E282">
        <v>8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3">
      <c r="A283" t="s">
        <v>14</v>
      </c>
      <c r="B283" t="s">
        <v>107</v>
      </c>
      <c r="C283" t="s">
        <v>229</v>
      </c>
      <c r="D283">
        <v>44651</v>
      </c>
      <c r="E283">
        <v>0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3">
      <c r="A284" t="s">
        <v>10</v>
      </c>
      <c r="B284" t="s">
        <v>71</v>
      </c>
      <c r="C284" t="s">
        <v>230</v>
      </c>
      <c r="D284">
        <v>95078</v>
      </c>
      <c r="E284">
        <v>5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3">
      <c r="A285" t="s">
        <v>45</v>
      </c>
      <c r="B285" t="s">
        <v>37</v>
      </c>
      <c r="C285" t="s">
        <v>230</v>
      </c>
      <c r="D285">
        <v>18712</v>
      </c>
      <c r="E285">
        <v>3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3">
      <c r="A286" t="s">
        <v>28</v>
      </c>
      <c r="B286" t="s">
        <v>72</v>
      </c>
      <c r="C286" t="s">
        <v>230</v>
      </c>
      <c r="D286">
        <v>77451</v>
      </c>
      <c r="E286">
        <v>0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3">
      <c r="A287" t="s">
        <v>14</v>
      </c>
      <c r="B287" t="s">
        <v>231</v>
      </c>
      <c r="C287" t="s">
        <v>230</v>
      </c>
      <c r="D287">
        <v>72421</v>
      </c>
      <c r="E287">
        <v>7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3">
      <c r="A288" t="s">
        <v>12</v>
      </c>
      <c r="B288" t="s">
        <v>191</v>
      </c>
      <c r="C288" t="s">
        <v>230</v>
      </c>
      <c r="D288">
        <v>74573</v>
      </c>
      <c r="E288">
        <v>9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3">
      <c r="A289" t="s">
        <v>8</v>
      </c>
      <c r="B289" t="s">
        <v>84</v>
      </c>
      <c r="C289" t="s">
        <v>230</v>
      </c>
      <c r="D289">
        <v>55997</v>
      </c>
      <c r="E289">
        <v>5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x14ac:dyDescent="0.3">
      <c r="A290" t="s">
        <v>47</v>
      </c>
      <c r="B290" t="s">
        <v>81</v>
      </c>
      <c r="C290" t="s">
        <v>230</v>
      </c>
      <c r="D290">
        <v>83197</v>
      </c>
      <c r="E290">
        <v>7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x14ac:dyDescent="0.3">
      <c r="A291" t="s">
        <v>8</v>
      </c>
      <c r="B291" t="s">
        <v>232</v>
      </c>
      <c r="C291" t="s">
        <v>230</v>
      </c>
      <c r="D291">
        <v>74944</v>
      </c>
      <c r="E291">
        <v>7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x14ac:dyDescent="0.3">
      <c r="A292" t="s">
        <v>50</v>
      </c>
      <c r="B292" t="s">
        <v>146</v>
      </c>
      <c r="C292" t="s">
        <v>230</v>
      </c>
      <c r="D292">
        <v>69581</v>
      </c>
      <c r="E292">
        <v>8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x14ac:dyDescent="0.3">
      <c r="A293" t="s">
        <v>10</v>
      </c>
      <c r="B293" t="s">
        <v>151</v>
      </c>
      <c r="C293" t="s">
        <v>233</v>
      </c>
      <c r="D293">
        <v>62878</v>
      </c>
      <c r="E293">
        <v>10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x14ac:dyDescent="0.3">
      <c r="A294" t="s">
        <v>10</v>
      </c>
      <c r="B294" t="s">
        <v>97</v>
      </c>
      <c r="C294" t="s">
        <v>233</v>
      </c>
      <c r="D294">
        <v>16374</v>
      </c>
      <c r="E294">
        <v>4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x14ac:dyDescent="0.3">
      <c r="A295" t="s">
        <v>12</v>
      </c>
      <c r="B295" t="s">
        <v>234</v>
      </c>
      <c r="C295" t="s">
        <v>233</v>
      </c>
      <c r="D295">
        <v>34305</v>
      </c>
      <c r="E295">
        <v>5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x14ac:dyDescent="0.3">
      <c r="A296" t="s">
        <v>8</v>
      </c>
      <c r="B296" t="s">
        <v>235</v>
      </c>
      <c r="C296" t="s">
        <v>236</v>
      </c>
      <c r="D296">
        <v>72386</v>
      </c>
      <c r="E296">
        <v>7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x14ac:dyDescent="0.3">
      <c r="A297" t="s">
        <v>5</v>
      </c>
      <c r="B297" t="s">
        <v>178</v>
      </c>
      <c r="C297" t="s">
        <v>236</v>
      </c>
      <c r="D297">
        <v>61111</v>
      </c>
      <c r="E297">
        <v>4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x14ac:dyDescent="0.3">
      <c r="A298" t="s">
        <v>10</v>
      </c>
      <c r="B298" t="s">
        <v>160</v>
      </c>
      <c r="C298" t="s">
        <v>237</v>
      </c>
      <c r="D298">
        <v>78999</v>
      </c>
      <c r="E298">
        <v>2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3">
      <c r="A299" t="s">
        <v>8</v>
      </c>
      <c r="B299" t="s">
        <v>238</v>
      </c>
      <c r="C299" t="s">
        <v>237</v>
      </c>
      <c r="D299">
        <v>47724</v>
      </c>
      <c r="E299">
        <v>2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x14ac:dyDescent="0.3">
      <c r="A300" t="s">
        <v>40</v>
      </c>
      <c r="B300" t="s">
        <v>71</v>
      </c>
      <c r="C300" t="s">
        <v>239</v>
      </c>
      <c r="D300">
        <v>59899</v>
      </c>
      <c r="E300">
        <v>4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3">
      <c r="A301" t="s">
        <v>8</v>
      </c>
      <c r="B301" t="s">
        <v>227</v>
      </c>
      <c r="C301" t="s">
        <v>240</v>
      </c>
      <c r="D301">
        <v>34366</v>
      </c>
      <c r="E301">
        <v>4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x14ac:dyDescent="0.3">
      <c r="A302" t="s">
        <v>21</v>
      </c>
      <c r="B302" t="s">
        <v>147</v>
      </c>
      <c r="C302" t="s">
        <v>240</v>
      </c>
      <c r="D302">
        <v>69449</v>
      </c>
      <c r="E302">
        <v>8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3">
      <c r="A303" t="s">
        <v>10</v>
      </c>
      <c r="B303" t="s">
        <v>109</v>
      </c>
      <c r="C303" t="s">
        <v>240</v>
      </c>
      <c r="D303">
        <v>94322</v>
      </c>
      <c r="E303">
        <v>7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x14ac:dyDescent="0.3">
      <c r="A304" t="s">
        <v>8</v>
      </c>
      <c r="B304" t="s">
        <v>71</v>
      </c>
      <c r="C304" t="s">
        <v>240</v>
      </c>
      <c r="D304">
        <v>46722</v>
      </c>
      <c r="E304">
        <v>7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x14ac:dyDescent="0.3">
      <c r="A305" t="s">
        <v>8</v>
      </c>
      <c r="B305" t="s">
        <v>221</v>
      </c>
      <c r="C305" t="s">
        <v>240</v>
      </c>
      <c r="D305">
        <v>29924</v>
      </c>
      <c r="E305">
        <v>2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x14ac:dyDescent="0.3">
      <c r="A306" t="s">
        <v>45</v>
      </c>
      <c r="B306" t="s">
        <v>152</v>
      </c>
      <c r="C306" t="s">
        <v>240</v>
      </c>
      <c r="D306">
        <v>24391</v>
      </c>
      <c r="E306">
        <v>0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3">
      <c r="A307" t="s">
        <v>8</v>
      </c>
      <c r="B307" t="s">
        <v>48</v>
      </c>
      <c r="C307" t="s">
        <v>241</v>
      </c>
      <c r="D307">
        <v>15625</v>
      </c>
      <c r="E307">
        <v>3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x14ac:dyDescent="0.3">
      <c r="A308" t="s">
        <v>5</v>
      </c>
      <c r="B308" t="s">
        <v>242</v>
      </c>
      <c r="C308" t="s">
        <v>241</v>
      </c>
      <c r="D308">
        <v>92917</v>
      </c>
      <c r="E308">
        <v>8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x14ac:dyDescent="0.3">
      <c r="A309" t="s">
        <v>18</v>
      </c>
      <c r="B309" t="s">
        <v>84</v>
      </c>
      <c r="C309" t="s">
        <v>241</v>
      </c>
      <c r="D309">
        <v>15986</v>
      </c>
      <c r="E309">
        <v>6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x14ac:dyDescent="0.3">
      <c r="A310" t="s">
        <v>5</v>
      </c>
      <c r="B310" t="s">
        <v>95</v>
      </c>
      <c r="C310" t="s">
        <v>243</v>
      </c>
      <c r="D310">
        <v>94808</v>
      </c>
      <c r="E310">
        <v>7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x14ac:dyDescent="0.3">
      <c r="A311" t="s">
        <v>12</v>
      </c>
      <c r="B311" t="s">
        <v>185</v>
      </c>
      <c r="C311" t="s">
        <v>243</v>
      </c>
      <c r="D311">
        <v>21742</v>
      </c>
      <c r="E311">
        <v>9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x14ac:dyDescent="0.3">
      <c r="A312" t="s">
        <v>47</v>
      </c>
      <c r="B312" t="s">
        <v>34</v>
      </c>
      <c r="C312" t="s">
        <v>243</v>
      </c>
      <c r="D312">
        <v>74988</v>
      </c>
      <c r="E312">
        <v>5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x14ac:dyDescent="0.3">
      <c r="A313" t="s">
        <v>8</v>
      </c>
      <c r="B313" t="s">
        <v>20</v>
      </c>
      <c r="C313" t="s">
        <v>243</v>
      </c>
      <c r="D313">
        <v>69063</v>
      </c>
      <c r="E313">
        <v>7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x14ac:dyDescent="0.3">
      <c r="A314" t="s">
        <v>50</v>
      </c>
      <c r="B314" t="s">
        <v>244</v>
      </c>
      <c r="C314" t="s">
        <v>243</v>
      </c>
      <c r="D314">
        <v>56051</v>
      </c>
      <c r="E314">
        <v>6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x14ac:dyDescent="0.3">
      <c r="A315" t="s">
        <v>47</v>
      </c>
      <c r="B315" t="s">
        <v>245</v>
      </c>
      <c r="C315" t="s">
        <v>246</v>
      </c>
      <c r="D315">
        <v>12131</v>
      </c>
      <c r="E315">
        <v>3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x14ac:dyDescent="0.3">
      <c r="A316" t="s">
        <v>40</v>
      </c>
      <c r="B316" t="s">
        <v>173</v>
      </c>
      <c r="C316" t="s">
        <v>246</v>
      </c>
      <c r="D316">
        <v>14287</v>
      </c>
      <c r="E316">
        <v>1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x14ac:dyDescent="0.3">
      <c r="A317" t="s">
        <v>10</v>
      </c>
      <c r="B317" t="s">
        <v>247</v>
      </c>
      <c r="C317" t="s">
        <v>246</v>
      </c>
      <c r="D317">
        <v>59943</v>
      </c>
      <c r="E317">
        <v>7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x14ac:dyDescent="0.3">
      <c r="A318" t="s">
        <v>8</v>
      </c>
      <c r="B318" t="s">
        <v>90</v>
      </c>
      <c r="C318" t="s">
        <v>248</v>
      </c>
      <c r="D318">
        <v>29998</v>
      </c>
      <c r="E318">
        <v>4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x14ac:dyDescent="0.3">
      <c r="A319" t="s">
        <v>50</v>
      </c>
      <c r="B319" t="s">
        <v>87</v>
      </c>
      <c r="C319" t="s">
        <v>248</v>
      </c>
      <c r="D319">
        <v>20338</v>
      </c>
      <c r="E319">
        <v>3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x14ac:dyDescent="0.3">
      <c r="A320" t="s">
        <v>47</v>
      </c>
      <c r="B320" t="s">
        <v>199</v>
      </c>
      <c r="C320" t="s">
        <v>249</v>
      </c>
      <c r="D320">
        <v>19391</v>
      </c>
      <c r="E320">
        <v>5</v>
      </c>
      <c r="F320">
        <f t="shared" si="12"/>
        <v>2023</v>
      </c>
      <c r="G320">
        <f t="shared" si="13"/>
        <v>12</v>
      </c>
      <c r="H320" t="str">
        <f t="shared" si="14"/>
        <v>2023-12</v>
      </c>
    </row>
    <row r="321" spans="1:8" x14ac:dyDescent="0.3">
      <c r="A321" t="s">
        <v>21</v>
      </c>
      <c r="B321" t="s">
        <v>217</v>
      </c>
      <c r="C321" t="s">
        <v>249</v>
      </c>
      <c r="D321">
        <v>36498</v>
      </c>
      <c r="E321">
        <v>8</v>
      </c>
      <c r="F321">
        <f t="shared" si="12"/>
        <v>2023</v>
      </c>
      <c r="G321">
        <f t="shared" si="13"/>
        <v>12</v>
      </c>
      <c r="H321" t="str">
        <f t="shared" si="14"/>
        <v>2023-12</v>
      </c>
    </row>
    <row r="322" spans="1:8" x14ac:dyDescent="0.3">
      <c r="A322" t="s">
        <v>10</v>
      </c>
      <c r="B322" t="s">
        <v>49</v>
      </c>
      <c r="C322" t="s">
        <v>249</v>
      </c>
      <c r="D322">
        <v>57828</v>
      </c>
      <c r="E322">
        <v>6</v>
      </c>
      <c r="F322">
        <f t="shared" si="12"/>
        <v>2023</v>
      </c>
      <c r="G322">
        <f t="shared" si="13"/>
        <v>12</v>
      </c>
      <c r="H322" t="str">
        <f t="shared" si="14"/>
        <v>2023-12</v>
      </c>
    </row>
    <row r="323" spans="1:8" x14ac:dyDescent="0.3">
      <c r="A323" t="s">
        <v>47</v>
      </c>
      <c r="B323" t="s">
        <v>250</v>
      </c>
      <c r="C323" t="s">
        <v>249</v>
      </c>
      <c r="D323">
        <v>86257</v>
      </c>
      <c r="E323">
        <v>2</v>
      </c>
      <c r="F323">
        <f t="shared" ref="F323:F386" si="15">YEAR(C323)</f>
        <v>2023</v>
      </c>
      <c r="G323">
        <f t="shared" ref="G323:G386" si="16">MONTH(C323)</f>
        <v>12</v>
      </c>
      <c r="H323" t="str">
        <f t="shared" ref="H323:H386" si="17">F323&amp;"-"&amp;G323</f>
        <v>2023-12</v>
      </c>
    </row>
    <row r="324" spans="1:8" x14ac:dyDescent="0.3">
      <c r="A324" t="s">
        <v>12</v>
      </c>
      <c r="B324" t="s">
        <v>71</v>
      </c>
      <c r="C324" t="s">
        <v>249</v>
      </c>
      <c r="D324">
        <v>22345</v>
      </c>
      <c r="E324">
        <v>7</v>
      </c>
      <c r="F324">
        <f t="shared" si="15"/>
        <v>2023</v>
      </c>
      <c r="G324">
        <f t="shared" si="16"/>
        <v>12</v>
      </c>
      <c r="H324" t="str">
        <f t="shared" si="17"/>
        <v>2023-12</v>
      </c>
    </row>
    <row r="325" spans="1:8" x14ac:dyDescent="0.3">
      <c r="A325" t="s">
        <v>50</v>
      </c>
      <c r="B325" t="s">
        <v>251</v>
      </c>
      <c r="C325" t="s">
        <v>249</v>
      </c>
      <c r="D325">
        <v>25351</v>
      </c>
      <c r="E325">
        <v>7</v>
      </c>
      <c r="F325">
        <f t="shared" si="15"/>
        <v>2023</v>
      </c>
      <c r="G325">
        <f t="shared" si="16"/>
        <v>12</v>
      </c>
      <c r="H325" t="str">
        <f t="shared" si="17"/>
        <v>2023-12</v>
      </c>
    </row>
    <row r="326" spans="1:8" x14ac:dyDescent="0.3">
      <c r="A326" t="s">
        <v>28</v>
      </c>
      <c r="B326" t="s">
        <v>180</v>
      </c>
      <c r="C326" t="s">
        <v>249</v>
      </c>
      <c r="D326">
        <v>63595</v>
      </c>
      <c r="E326">
        <v>7</v>
      </c>
      <c r="F326">
        <f t="shared" si="15"/>
        <v>2023</v>
      </c>
      <c r="G326">
        <f t="shared" si="16"/>
        <v>12</v>
      </c>
      <c r="H326" t="str">
        <f t="shared" si="17"/>
        <v>2023-12</v>
      </c>
    </row>
    <row r="327" spans="1:8" x14ac:dyDescent="0.3">
      <c r="A327" t="s">
        <v>21</v>
      </c>
      <c r="B327" t="s">
        <v>111</v>
      </c>
      <c r="C327" t="s">
        <v>249</v>
      </c>
      <c r="D327">
        <v>52643</v>
      </c>
      <c r="E327">
        <v>2</v>
      </c>
      <c r="F327">
        <f t="shared" si="15"/>
        <v>2023</v>
      </c>
      <c r="G327">
        <f t="shared" si="16"/>
        <v>12</v>
      </c>
      <c r="H327" t="str">
        <f t="shared" si="17"/>
        <v>2023-12</v>
      </c>
    </row>
    <row r="328" spans="1:8" x14ac:dyDescent="0.3">
      <c r="A328" t="s">
        <v>12</v>
      </c>
      <c r="B328" t="s">
        <v>81</v>
      </c>
      <c r="C328" t="s">
        <v>249</v>
      </c>
      <c r="D328">
        <v>77078</v>
      </c>
      <c r="E328">
        <v>6</v>
      </c>
      <c r="F328">
        <f t="shared" si="15"/>
        <v>2023</v>
      </c>
      <c r="G328">
        <f t="shared" si="16"/>
        <v>12</v>
      </c>
      <c r="H328" t="str">
        <f t="shared" si="17"/>
        <v>2023-12</v>
      </c>
    </row>
    <row r="329" spans="1:8" x14ac:dyDescent="0.3">
      <c r="A329" t="s">
        <v>21</v>
      </c>
      <c r="B329" t="s">
        <v>252</v>
      </c>
      <c r="C329" t="s">
        <v>249</v>
      </c>
      <c r="D329">
        <v>39389</v>
      </c>
      <c r="E329">
        <v>2</v>
      </c>
      <c r="F329">
        <f t="shared" si="15"/>
        <v>2023</v>
      </c>
      <c r="G329">
        <f t="shared" si="16"/>
        <v>12</v>
      </c>
      <c r="H329" t="str">
        <f t="shared" si="17"/>
        <v>2023-12</v>
      </c>
    </row>
    <row r="330" spans="1:8" x14ac:dyDescent="0.3">
      <c r="A330" t="s">
        <v>45</v>
      </c>
      <c r="B330" t="s">
        <v>70</v>
      </c>
      <c r="C330" t="s">
        <v>249</v>
      </c>
      <c r="D330">
        <v>77503</v>
      </c>
      <c r="E330">
        <v>8</v>
      </c>
      <c r="F330">
        <f t="shared" si="15"/>
        <v>2023</v>
      </c>
      <c r="G330">
        <f t="shared" si="16"/>
        <v>12</v>
      </c>
      <c r="H330" t="str">
        <f t="shared" si="17"/>
        <v>2023-12</v>
      </c>
    </row>
    <row r="331" spans="1:8" x14ac:dyDescent="0.3">
      <c r="A331" t="s">
        <v>45</v>
      </c>
      <c r="B331" t="s">
        <v>222</v>
      </c>
      <c r="C331" t="s">
        <v>253</v>
      </c>
      <c r="D331">
        <v>13722</v>
      </c>
      <c r="E331">
        <v>5</v>
      </c>
      <c r="F331">
        <f t="shared" si="15"/>
        <v>2023</v>
      </c>
      <c r="G331">
        <f t="shared" si="16"/>
        <v>12</v>
      </c>
      <c r="H331" t="str">
        <f t="shared" si="17"/>
        <v>2023-12</v>
      </c>
    </row>
    <row r="332" spans="1:8" x14ac:dyDescent="0.3">
      <c r="A332" t="s">
        <v>21</v>
      </c>
      <c r="B332" t="s">
        <v>160</v>
      </c>
      <c r="C332" t="s">
        <v>253</v>
      </c>
      <c r="D332">
        <v>77707</v>
      </c>
      <c r="E332">
        <v>2</v>
      </c>
      <c r="F332">
        <f t="shared" si="15"/>
        <v>2023</v>
      </c>
      <c r="G332">
        <f t="shared" si="16"/>
        <v>12</v>
      </c>
      <c r="H332" t="str">
        <f t="shared" si="17"/>
        <v>2023-12</v>
      </c>
    </row>
    <row r="333" spans="1:8" x14ac:dyDescent="0.3">
      <c r="A333" t="s">
        <v>50</v>
      </c>
      <c r="B333" t="s">
        <v>191</v>
      </c>
      <c r="C333" t="s">
        <v>253</v>
      </c>
      <c r="D333">
        <v>95109</v>
      </c>
      <c r="E333">
        <v>8</v>
      </c>
      <c r="F333">
        <f t="shared" si="15"/>
        <v>2023</v>
      </c>
      <c r="G333">
        <f t="shared" si="16"/>
        <v>12</v>
      </c>
      <c r="H333" t="str">
        <f t="shared" si="17"/>
        <v>2023-12</v>
      </c>
    </row>
    <row r="334" spans="1:8" x14ac:dyDescent="0.3">
      <c r="A334" t="s">
        <v>5</v>
      </c>
      <c r="B334" t="s">
        <v>232</v>
      </c>
      <c r="C334" t="s">
        <v>253</v>
      </c>
      <c r="D334">
        <v>43681</v>
      </c>
      <c r="E334">
        <v>8</v>
      </c>
      <c r="F334">
        <f t="shared" si="15"/>
        <v>2023</v>
      </c>
      <c r="G334">
        <f t="shared" si="16"/>
        <v>12</v>
      </c>
      <c r="H334" t="str">
        <f t="shared" si="17"/>
        <v>2023-12</v>
      </c>
    </row>
    <row r="335" spans="1:8" x14ac:dyDescent="0.3">
      <c r="A335" t="s">
        <v>47</v>
      </c>
      <c r="B335" t="s">
        <v>150</v>
      </c>
      <c r="C335" t="s">
        <v>254</v>
      </c>
      <c r="D335">
        <v>97859</v>
      </c>
      <c r="E335">
        <v>7</v>
      </c>
      <c r="F335">
        <f t="shared" si="15"/>
        <v>2023</v>
      </c>
      <c r="G335">
        <f t="shared" si="16"/>
        <v>12</v>
      </c>
      <c r="H335" t="str">
        <f t="shared" si="17"/>
        <v>2023-12</v>
      </c>
    </row>
    <row r="336" spans="1:8" x14ac:dyDescent="0.3">
      <c r="A336" t="s">
        <v>10</v>
      </c>
      <c r="B336" t="s">
        <v>25</v>
      </c>
      <c r="C336" t="s">
        <v>254</v>
      </c>
      <c r="D336">
        <v>77303</v>
      </c>
      <c r="E336">
        <v>9</v>
      </c>
      <c r="F336">
        <f t="shared" si="15"/>
        <v>2023</v>
      </c>
      <c r="G336">
        <f t="shared" si="16"/>
        <v>12</v>
      </c>
      <c r="H336" t="str">
        <f t="shared" si="17"/>
        <v>2023-12</v>
      </c>
    </row>
    <row r="337" spans="1:8" x14ac:dyDescent="0.3">
      <c r="A337" t="s">
        <v>10</v>
      </c>
      <c r="B337" t="s">
        <v>154</v>
      </c>
      <c r="C337" t="s">
        <v>254</v>
      </c>
      <c r="D337">
        <v>96655</v>
      </c>
      <c r="E337">
        <v>2</v>
      </c>
      <c r="F337">
        <f t="shared" si="15"/>
        <v>2023</v>
      </c>
      <c r="G337">
        <f t="shared" si="16"/>
        <v>12</v>
      </c>
      <c r="H337" t="str">
        <f t="shared" si="17"/>
        <v>2023-12</v>
      </c>
    </row>
    <row r="338" spans="1:8" x14ac:dyDescent="0.3">
      <c r="A338" t="s">
        <v>45</v>
      </c>
      <c r="B338" t="s">
        <v>99</v>
      </c>
      <c r="C338" t="s">
        <v>254</v>
      </c>
      <c r="D338">
        <v>84080</v>
      </c>
      <c r="E338">
        <v>3</v>
      </c>
      <c r="F338">
        <f t="shared" si="15"/>
        <v>2023</v>
      </c>
      <c r="G338">
        <f t="shared" si="16"/>
        <v>12</v>
      </c>
      <c r="H338" t="str">
        <f t="shared" si="17"/>
        <v>2023-12</v>
      </c>
    </row>
    <row r="339" spans="1:8" x14ac:dyDescent="0.3">
      <c r="A339" t="s">
        <v>14</v>
      </c>
      <c r="B339" t="s">
        <v>245</v>
      </c>
      <c r="C339" t="s">
        <v>255</v>
      </c>
      <c r="D339">
        <v>95696</v>
      </c>
      <c r="E339">
        <v>10</v>
      </c>
      <c r="F339">
        <f t="shared" si="15"/>
        <v>2023</v>
      </c>
      <c r="G339">
        <f t="shared" si="16"/>
        <v>12</v>
      </c>
      <c r="H339" t="str">
        <f t="shared" si="17"/>
        <v>2023-12</v>
      </c>
    </row>
    <row r="340" spans="1:8" x14ac:dyDescent="0.3">
      <c r="A340" t="s">
        <v>45</v>
      </c>
      <c r="B340" t="s">
        <v>256</v>
      </c>
      <c r="C340" t="s">
        <v>257</v>
      </c>
      <c r="D340">
        <v>94978</v>
      </c>
      <c r="E340">
        <v>1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x14ac:dyDescent="0.3">
      <c r="A341" t="s">
        <v>28</v>
      </c>
      <c r="B341" t="s">
        <v>258</v>
      </c>
      <c r="C341" t="s">
        <v>257</v>
      </c>
      <c r="D341">
        <v>37489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x14ac:dyDescent="0.3">
      <c r="A342" t="s">
        <v>14</v>
      </c>
      <c r="B342" t="s">
        <v>251</v>
      </c>
      <c r="C342" t="s">
        <v>257</v>
      </c>
      <c r="D342">
        <v>65041</v>
      </c>
      <c r="E342">
        <v>2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x14ac:dyDescent="0.3">
      <c r="A343" t="s">
        <v>18</v>
      </c>
      <c r="B343" t="s">
        <v>11</v>
      </c>
      <c r="C343" t="s">
        <v>257</v>
      </c>
      <c r="D343">
        <v>63425</v>
      </c>
      <c r="E343">
        <v>7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x14ac:dyDescent="0.3">
      <c r="A344" t="s">
        <v>5</v>
      </c>
      <c r="B344" t="s">
        <v>48</v>
      </c>
      <c r="C344" t="s">
        <v>257</v>
      </c>
      <c r="D344">
        <v>99559</v>
      </c>
      <c r="E344">
        <v>6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x14ac:dyDescent="0.3">
      <c r="A345" t="s">
        <v>14</v>
      </c>
      <c r="B345" t="s">
        <v>165</v>
      </c>
      <c r="C345" t="s">
        <v>259</v>
      </c>
      <c r="D345">
        <v>75010</v>
      </c>
      <c r="E345">
        <v>2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x14ac:dyDescent="0.3">
      <c r="A346" t="s">
        <v>8</v>
      </c>
      <c r="B346" t="s">
        <v>166</v>
      </c>
      <c r="C346" t="s">
        <v>259</v>
      </c>
      <c r="D346">
        <v>74658</v>
      </c>
      <c r="E346">
        <v>8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x14ac:dyDescent="0.3">
      <c r="A347" t="s">
        <v>5</v>
      </c>
      <c r="B347" t="s">
        <v>251</v>
      </c>
      <c r="C347" t="s">
        <v>259</v>
      </c>
      <c r="D347">
        <v>73562</v>
      </c>
      <c r="E347">
        <v>7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x14ac:dyDescent="0.3">
      <c r="A348" t="s">
        <v>18</v>
      </c>
      <c r="B348" t="s">
        <v>242</v>
      </c>
      <c r="C348" t="s">
        <v>259</v>
      </c>
      <c r="D348">
        <v>65988</v>
      </c>
      <c r="E348">
        <v>7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3">
      <c r="A349" t="s">
        <v>45</v>
      </c>
      <c r="B349" t="s">
        <v>116</v>
      </c>
      <c r="C349" t="s">
        <v>260</v>
      </c>
      <c r="D349">
        <v>38620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x14ac:dyDescent="0.3">
      <c r="A350" t="s">
        <v>18</v>
      </c>
      <c r="B350" t="s">
        <v>190</v>
      </c>
      <c r="C350" t="s">
        <v>261</v>
      </c>
      <c r="D350">
        <v>68584</v>
      </c>
      <c r="E350">
        <v>6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x14ac:dyDescent="0.3">
      <c r="A351" t="s">
        <v>14</v>
      </c>
      <c r="B351" t="s">
        <v>262</v>
      </c>
      <c r="C351" t="s">
        <v>261</v>
      </c>
      <c r="D351">
        <v>51596</v>
      </c>
      <c r="E351">
        <v>1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x14ac:dyDescent="0.3">
      <c r="A352" t="s">
        <v>12</v>
      </c>
      <c r="B352" t="s">
        <v>263</v>
      </c>
      <c r="C352" t="s">
        <v>264</v>
      </c>
      <c r="D352">
        <v>63840</v>
      </c>
      <c r="E352">
        <v>2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3">
      <c r="A353" t="s">
        <v>14</v>
      </c>
      <c r="B353" t="s">
        <v>114</v>
      </c>
      <c r="C353" t="s">
        <v>264</v>
      </c>
      <c r="D353">
        <v>65232</v>
      </c>
      <c r="E353">
        <v>8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x14ac:dyDescent="0.3">
      <c r="A354" t="s">
        <v>18</v>
      </c>
      <c r="B354" t="s">
        <v>114</v>
      </c>
      <c r="C354" t="s">
        <v>265</v>
      </c>
      <c r="D354">
        <v>45815</v>
      </c>
      <c r="E354">
        <v>7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3">
      <c r="A355" t="s">
        <v>8</v>
      </c>
      <c r="B355" t="s">
        <v>200</v>
      </c>
      <c r="C355" t="s">
        <v>265</v>
      </c>
      <c r="D355">
        <v>11843</v>
      </c>
      <c r="E355">
        <v>1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x14ac:dyDescent="0.3">
      <c r="A356" t="s">
        <v>45</v>
      </c>
      <c r="B356" t="s">
        <v>46</v>
      </c>
      <c r="C356" t="s">
        <v>265</v>
      </c>
      <c r="D356">
        <v>57698</v>
      </c>
      <c r="E356">
        <v>5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x14ac:dyDescent="0.3">
      <c r="A357" t="s">
        <v>21</v>
      </c>
      <c r="B357" t="s">
        <v>74</v>
      </c>
      <c r="C357" t="s">
        <v>265</v>
      </c>
      <c r="D357">
        <v>83321</v>
      </c>
      <c r="E357">
        <v>8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x14ac:dyDescent="0.3">
      <c r="A358" t="s">
        <v>47</v>
      </c>
      <c r="B358" t="s">
        <v>25</v>
      </c>
      <c r="C358" t="s">
        <v>265</v>
      </c>
      <c r="D358">
        <v>31232</v>
      </c>
      <c r="E358">
        <v>7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x14ac:dyDescent="0.3">
      <c r="A359" t="s">
        <v>12</v>
      </c>
      <c r="B359" t="s">
        <v>192</v>
      </c>
      <c r="C359" t="s">
        <v>266</v>
      </c>
      <c r="D359">
        <v>96531</v>
      </c>
      <c r="E359">
        <v>5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x14ac:dyDescent="0.3">
      <c r="A360" t="s">
        <v>18</v>
      </c>
      <c r="B360" t="s">
        <v>263</v>
      </c>
      <c r="C360" t="s">
        <v>266</v>
      </c>
      <c r="D360">
        <v>87620</v>
      </c>
      <c r="E360">
        <v>7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x14ac:dyDescent="0.3">
      <c r="A361" t="s">
        <v>47</v>
      </c>
      <c r="B361" t="s">
        <v>32</v>
      </c>
      <c r="C361" t="s">
        <v>266</v>
      </c>
      <c r="D361">
        <v>41090</v>
      </c>
      <c r="E361">
        <v>7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x14ac:dyDescent="0.3">
      <c r="A362" t="s">
        <v>8</v>
      </c>
      <c r="B362" t="s">
        <v>61</v>
      </c>
      <c r="C362" t="s">
        <v>266</v>
      </c>
      <c r="D362">
        <v>67351</v>
      </c>
      <c r="E362">
        <v>7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x14ac:dyDescent="0.3">
      <c r="A363" t="s">
        <v>10</v>
      </c>
      <c r="B363" t="s">
        <v>58</v>
      </c>
      <c r="C363" t="s">
        <v>266</v>
      </c>
      <c r="D363">
        <v>47419</v>
      </c>
      <c r="E363">
        <v>6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x14ac:dyDescent="0.3">
      <c r="A364" t="s">
        <v>5</v>
      </c>
      <c r="B364" t="s">
        <v>135</v>
      </c>
      <c r="C364" t="s">
        <v>267</v>
      </c>
      <c r="D364">
        <v>96827</v>
      </c>
      <c r="E364">
        <v>0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x14ac:dyDescent="0.3">
      <c r="A365" t="s">
        <v>8</v>
      </c>
      <c r="B365" t="s">
        <v>191</v>
      </c>
      <c r="C365" t="s">
        <v>267</v>
      </c>
      <c r="D365">
        <v>47285</v>
      </c>
      <c r="E365">
        <v>5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x14ac:dyDescent="0.3">
      <c r="A366" t="s">
        <v>21</v>
      </c>
      <c r="B366" t="s">
        <v>268</v>
      </c>
      <c r="C366" t="s">
        <v>269</v>
      </c>
      <c r="D366">
        <v>66360</v>
      </c>
      <c r="E366">
        <v>8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3">
      <c r="A367" t="s">
        <v>21</v>
      </c>
      <c r="B367" t="s">
        <v>70</v>
      </c>
      <c r="C367" t="s">
        <v>269</v>
      </c>
      <c r="D367">
        <v>31532</v>
      </c>
      <c r="E367">
        <v>2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x14ac:dyDescent="0.3">
      <c r="A368" t="s">
        <v>12</v>
      </c>
      <c r="B368" t="s">
        <v>116</v>
      </c>
      <c r="C368" t="s">
        <v>269</v>
      </c>
      <c r="D368">
        <v>32440</v>
      </c>
      <c r="E368">
        <v>0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3">
      <c r="A369" t="s">
        <v>21</v>
      </c>
      <c r="B369" t="s">
        <v>63</v>
      </c>
      <c r="C369" t="s">
        <v>269</v>
      </c>
      <c r="D369">
        <v>44619</v>
      </c>
      <c r="E369">
        <v>0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3">
      <c r="A370" t="s">
        <v>50</v>
      </c>
      <c r="B370" t="s">
        <v>270</v>
      </c>
      <c r="C370" t="s">
        <v>269</v>
      </c>
      <c r="D370">
        <v>19090</v>
      </c>
      <c r="E370">
        <v>5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3">
      <c r="A371" t="s">
        <v>10</v>
      </c>
      <c r="B371" t="s">
        <v>87</v>
      </c>
      <c r="C371" t="s">
        <v>269</v>
      </c>
      <c r="D371">
        <v>67224</v>
      </c>
      <c r="E371">
        <v>3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3">
      <c r="A372" t="s">
        <v>40</v>
      </c>
      <c r="B372" t="s">
        <v>141</v>
      </c>
      <c r="C372" t="s">
        <v>271</v>
      </c>
      <c r="D372">
        <v>84692</v>
      </c>
      <c r="E372">
        <v>6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3">
      <c r="A373" t="s">
        <v>10</v>
      </c>
      <c r="B373" t="s">
        <v>60</v>
      </c>
      <c r="C373" t="s">
        <v>271</v>
      </c>
      <c r="D373">
        <v>13245</v>
      </c>
      <c r="E373">
        <v>4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3">
      <c r="A374" t="s">
        <v>47</v>
      </c>
      <c r="B374" t="s">
        <v>69</v>
      </c>
      <c r="C374" t="s">
        <v>271</v>
      </c>
      <c r="D374">
        <v>43189</v>
      </c>
      <c r="E374">
        <v>5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3">
      <c r="A375" t="s">
        <v>14</v>
      </c>
      <c r="B375" t="s">
        <v>112</v>
      </c>
      <c r="C375" t="s">
        <v>271</v>
      </c>
      <c r="D375">
        <v>90296</v>
      </c>
      <c r="E375">
        <v>4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3">
      <c r="A376" t="s">
        <v>45</v>
      </c>
      <c r="B376" t="s">
        <v>268</v>
      </c>
      <c r="C376" t="s">
        <v>271</v>
      </c>
      <c r="D376">
        <v>24819</v>
      </c>
      <c r="E376">
        <v>9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3">
      <c r="A377" t="s">
        <v>8</v>
      </c>
      <c r="B377" t="s">
        <v>149</v>
      </c>
      <c r="C377" t="s">
        <v>271</v>
      </c>
      <c r="D377">
        <v>92407</v>
      </c>
      <c r="E377">
        <v>6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x14ac:dyDescent="0.3">
      <c r="A378" t="s">
        <v>12</v>
      </c>
      <c r="B378" t="s">
        <v>202</v>
      </c>
      <c r="C378" t="s">
        <v>271</v>
      </c>
      <c r="D378">
        <v>51365</v>
      </c>
      <c r="E378">
        <v>3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x14ac:dyDescent="0.3">
      <c r="A379" t="s">
        <v>40</v>
      </c>
      <c r="B379" t="s">
        <v>147</v>
      </c>
      <c r="C379" t="s">
        <v>271</v>
      </c>
      <c r="D379">
        <v>23301</v>
      </c>
      <c r="E379">
        <v>3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3">
      <c r="A380" t="s">
        <v>21</v>
      </c>
      <c r="B380" t="s">
        <v>103</v>
      </c>
      <c r="C380" t="s">
        <v>271</v>
      </c>
      <c r="D380">
        <v>89448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x14ac:dyDescent="0.3">
      <c r="A381" t="s">
        <v>8</v>
      </c>
      <c r="B381" t="s">
        <v>180</v>
      </c>
      <c r="C381" t="s">
        <v>271</v>
      </c>
      <c r="D381">
        <v>78728</v>
      </c>
      <c r="E381">
        <v>7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x14ac:dyDescent="0.3">
      <c r="A382" t="s">
        <v>18</v>
      </c>
      <c r="B382" t="s">
        <v>58</v>
      </c>
      <c r="C382" t="s">
        <v>271</v>
      </c>
      <c r="D382">
        <v>56944</v>
      </c>
      <c r="E382">
        <v>10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x14ac:dyDescent="0.3">
      <c r="A383" t="s">
        <v>47</v>
      </c>
      <c r="B383" t="s">
        <v>52</v>
      </c>
      <c r="C383" t="s">
        <v>271</v>
      </c>
      <c r="D383">
        <v>92404</v>
      </c>
      <c r="E383">
        <v>8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3">
      <c r="A384" t="s">
        <v>47</v>
      </c>
      <c r="B384" t="s">
        <v>17</v>
      </c>
      <c r="C384" t="s">
        <v>271</v>
      </c>
      <c r="D384">
        <v>78403</v>
      </c>
      <c r="E384">
        <v>9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x14ac:dyDescent="0.3">
      <c r="A385" t="s">
        <v>18</v>
      </c>
      <c r="B385" t="s">
        <v>17</v>
      </c>
      <c r="C385" t="s">
        <v>271</v>
      </c>
      <c r="D385">
        <v>14250</v>
      </c>
      <c r="E385">
        <v>4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3">
      <c r="A386" t="s">
        <v>21</v>
      </c>
      <c r="B386" t="s">
        <v>174</v>
      </c>
      <c r="C386" t="s">
        <v>272</v>
      </c>
      <c r="D386">
        <v>62580</v>
      </c>
      <c r="E386">
        <v>4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x14ac:dyDescent="0.3">
      <c r="A387" t="s">
        <v>14</v>
      </c>
      <c r="B387" t="s">
        <v>111</v>
      </c>
      <c r="C387" t="s">
        <v>272</v>
      </c>
      <c r="D387">
        <v>40136</v>
      </c>
      <c r="E387">
        <v>8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x14ac:dyDescent="0.3">
      <c r="A388" t="s">
        <v>21</v>
      </c>
      <c r="B388" t="s">
        <v>169</v>
      </c>
      <c r="C388" t="s">
        <v>272</v>
      </c>
      <c r="D388">
        <v>26878</v>
      </c>
      <c r="E388">
        <v>8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x14ac:dyDescent="0.3">
      <c r="A389" t="s">
        <v>14</v>
      </c>
      <c r="B389" t="s">
        <v>194</v>
      </c>
      <c r="C389" t="s">
        <v>272</v>
      </c>
      <c r="D389">
        <v>47743</v>
      </c>
      <c r="E389">
        <v>3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x14ac:dyDescent="0.3">
      <c r="A390" t="s">
        <v>8</v>
      </c>
      <c r="B390" t="s">
        <v>273</v>
      </c>
      <c r="C390" t="s">
        <v>272</v>
      </c>
      <c r="D390">
        <v>74856</v>
      </c>
      <c r="E390">
        <v>3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x14ac:dyDescent="0.3">
      <c r="A391" t="s">
        <v>28</v>
      </c>
      <c r="B391" t="s">
        <v>78</v>
      </c>
      <c r="C391" t="s">
        <v>274</v>
      </c>
      <c r="D391">
        <v>10099</v>
      </c>
      <c r="E391">
        <v>9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x14ac:dyDescent="0.3">
      <c r="A392" t="s">
        <v>28</v>
      </c>
      <c r="B392" t="s">
        <v>84</v>
      </c>
      <c r="C392" t="s">
        <v>275</v>
      </c>
      <c r="D392">
        <v>25387</v>
      </c>
      <c r="E392">
        <v>8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x14ac:dyDescent="0.3">
      <c r="A393" t="s">
        <v>21</v>
      </c>
      <c r="B393" t="s">
        <v>276</v>
      </c>
      <c r="C393" t="s">
        <v>275</v>
      </c>
      <c r="D393">
        <v>50442</v>
      </c>
      <c r="E393">
        <v>9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3">
      <c r="A394" t="s">
        <v>21</v>
      </c>
      <c r="B394" t="s">
        <v>277</v>
      </c>
      <c r="C394" t="s">
        <v>275</v>
      </c>
      <c r="D394">
        <v>67545</v>
      </c>
      <c r="E394">
        <v>4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x14ac:dyDescent="0.3">
      <c r="A395" t="s">
        <v>50</v>
      </c>
      <c r="B395" t="s">
        <v>217</v>
      </c>
      <c r="C395" t="s">
        <v>275</v>
      </c>
      <c r="D395">
        <v>77803</v>
      </c>
      <c r="E395">
        <v>7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x14ac:dyDescent="0.3">
      <c r="A396" t="s">
        <v>40</v>
      </c>
      <c r="B396" t="s">
        <v>76</v>
      </c>
      <c r="C396" t="s">
        <v>275</v>
      </c>
      <c r="D396">
        <v>53687</v>
      </c>
      <c r="E396">
        <v>9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x14ac:dyDescent="0.3">
      <c r="A397" t="s">
        <v>8</v>
      </c>
      <c r="B397" t="s">
        <v>103</v>
      </c>
      <c r="C397" t="s">
        <v>278</v>
      </c>
      <c r="D397">
        <v>47832</v>
      </c>
      <c r="E397">
        <v>7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x14ac:dyDescent="0.3">
      <c r="A398" t="s">
        <v>50</v>
      </c>
      <c r="B398" t="s">
        <v>279</v>
      </c>
      <c r="C398" t="s">
        <v>278</v>
      </c>
      <c r="D398">
        <v>73424</v>
      </c>
      <c r="E398">
        <v>4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x14ac:dyDescent="0.3">
      <c r="A399" t="s">
        <v>5</v>
      </c>
      <c r="B399" t="s">
        <v>280</v>
      </c>
      <c r="C399" t="s">
        <v>278</v>
      </c>
      <c r="D399">
        <v>18996</v>
      </c>
      <c r="E399">
        <v>6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x14ac:dyDescent="0.3">
      <c r="A400" t="s">
        <v>18</v>
      </c>
      <c r="B400" t="s">
        <v>231</v>
      </c>
      <c r="C400" t="s">
        <v>278</v>
      </c>
      <c r="D400">
        <v>31870</v>
      </c>
      <c r="E400">
        <v>8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x14ac:dyDescent="0.3">
      <c r="A401" t="s">
        <v>18</v>
      </c>
      <c r="B401" t="s">
        <v>166</v>
      </c>
      <c r="C401" t="s">
        <v>278</v>
      </c>
      <c r="D401">
        <v>43964</v>
      </c>
      <c r="E401">
        <v>9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x14ac:dyDescent="0.3">
      <c r="A402" t="s">
        <v>8</v>
      </c>
      <c r="B402" t="s">
        <v>90</v>
      </c>
      <c r="C402" t="s">
        <v>281</v>
      </c>
      <c r="D402">
        <v>37514</v>
      </c>
      <c r="E402">
        <v>7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3">
      <c r="A403" t="s">
        <v>50</v>
      </c>
      <c r="B403" t="s">
        <v>234</v>
      </c>
      <c r="C403" t="s">
        <v>281</v>
      </c>
      <c r="D403">
        <v>45363</v>
      </c>
      <c r="E403">
        <v>4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x14ac:dyDescent="0.3">
      <c r="A404" t="s">
        <v>12</v>
      </c>
      <c r="B404" t="s">
        <v>244</v>
      </c>
      <c r="C404" t="s">
        <v>281</v>
      </c>
      <c r="D404">
        <v>67875</v>
      </c>
      <c r="E404">
        <v>9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x14ac:dyDescent="0.3">
      <c r="A405" t="s">
        <v>40</v>
      </c>
      <c r="B405" t="s">
        <v>151</v>
      </c>
      <c r="C405" t="s">
        <v>281</v>
      </c>
      <c r="D405">
        <v>67919</v>
      </c>
      <c r="E405">
        <v>9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x14ac:dyDescent="0.3">
      <c r="A406" t="s">
        <v>21</v>
      </c>
      <c r="B406" t="s">
        <v>282</v>
      </c>
      <c r="C406" t="s">
        <v>281</v>
      </c>
      <c r="D406">
        <v>64725</v>
      </c>
      <c r="E406">
        <v>8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3">
      <c r="A407" t="s">
        <v>14</v>
      </c>
      <c r="B407" t="s">
        <v>52</v>
      </c>
      <c r="C407" t="s">
        <v>281</v>
      </c>
      <c r="D407">
        <v>32174</v>
      </c>
      <c r="E407">
        <v>9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x14ac:dyDescent="0.3">
      <c r="A408" t="s">
        <v>14</v>
      </c>
      <c r="B408" t="s">
        <v>110</v>
      </c>
      <c r="C408" t="s">
        <v>281</v>
      </c>
      <c r="D408">
        <v>81534</v>
      </c>
      <c r="E408">
        <v>8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x14ac:dyDescent="0.3">
      <c r="A409" t="s">
        <v>14</v>
      </c>
      <c r="B409" t="s">
        <v>85</v>
      </c>
      <c r="C409" t="s">
        <v>281</v>
      </c>
      <c r="D409">
        <v>88440</v>
      </c>
      <c r="E409">
        <v>6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x14ac:dyDescent="0.3">
      <c r="A410" t="s">
        <v>28</v>
      </c>
      <c r="B410" t="s">
        <v>95</v>
      </c>
      <c r="C410" t="s">
        <v>281</v>
      </c>
      <c r="D410">
        <v>79842</v>
      </c>
      <c r="E410">
        <v>7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x14ac:dyDescent="0.3">
      <c r="A411" t="s">
        <v>50</v>
      </c>
      <c r="B411" t="s">
        <v>185</v>
      </c>
      <c r="C411" t="s">
        <v>281</v>
      </c>
      <c r="D411">
        <v>37199</v>
      </c>
      <c r="E411">
        <v>6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x14ac:dyDescent="0.3">
      <c r="A412" t="s">
        <v>18</v>
      </c>
      <c r="B412" t="s">
        <v>101</v>
      </c>
      <c r="C412" t="s">
        <v>283</v>
      </c>
      <c r="D412">
        <v>66376</v>
      </c>
      <c r="E412">
        <v>7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3">
      <c r="A413" t="s">
        <v>45</v>
      </c>
      <c r="B413" t="s">
        <v>199</v>
      </c>
      <c r="C413" t="s">
        <v>283</v>
      </c>
      <c r="D413">
        <v>23053</v>
      </c>
      <c r="E413">
        <v>7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x14ac:dyDescent="0.3">
      <c r="A414" t="s">
        <v>50</v>
      </c>
      <c r="B414" t="s">
        <v>284</v>
      </c>
      <c r="C414" t="s">
        <v>283</v>
      </c>
      <c r="D414">
        <v>77716</v>
      </c>
      <c r="E414">
        <v>7</v>
      </c>
      <c r="F414">
        <f t="shared" si="18"/>
        <v>2024</v>
      </c>
      <c r="G414">
        <f t="shared" si="19"/>
        <v>1</v>
      </c>
      <c r="H414" t="str">
        <f t="shared" si="20"/>
        <v>2024-1</v>
      </c>
    </row>
    <row r="415" spans="1:8" x14ac:dyDescent="0.3">
      <c r="A415" t="s">
        <v>12</v>
      </c>
      <c r="B415" t="s">
        <v>83</v>
      </c>
      <c r="C415" t="s">
        <v>285</v>
      </c>
      <c r="D415">
        <v>96088</v>
      </c>
      <c r="E415">
        <v>6</v>
      </c>
      <c r="F415">
        <f t="shared" si="18"/>
        <v>2024</v>
      </c>
      <c r="G415">
        <f t="shared" si="19"/>
        <v>1</v>
      </c>
      <c r="H415" t="str">
        <f t="shared" si="20"/>
        <v>2024-1</v>
      </c>
    </row>
    <row r="416" spans="1:8" x14ac:dyDescent="0.3">
      <c r="A416" t="s">
        <v>10</v>
      </c>
      <c r="B416" t="s">
        <v>67</v>
      </c>
      <c r="C416" t="s">
        <v>285</v>
      </c>
      <c r="D416">
        <v>68404</v>
      </c>
      <c r="E416">
        <v>7</v>
      </c>
      <c r="F416">
        <f t="shared" si="18"/>
        <v>2024</v>
      </c>
      <c r="G416">
        <f t="shared" si="19"/>
        <v>1</v>
      </c>
      <c r="H416" t="str">
        <f t="shared" si="20"/>
        <v>2024-1</v>
      </c>
    </row>
    <row r="417" spans="1:8" x14ac:dyDescent="0.3">
      <c r="A417" t="s">
        <v>45</v>
      </c>
      <c r="B417" t="s">
        <v>105</v>
      </c>
      <c r="C417" t="s">
        <v>285</v>
      </c>
      <c r="D417">
        <v>33898</v>
      </c>
      <c r="E417">
        <v>8</v>
      </c>
      <c r="F417">
        <f t="shared" si="18"/>
        <v>2024</v>
      </c>
      <c r="G417">
        <f t="shared" si="19"/>
        <v>1</v>
      </c>
      <c r="H417" t="str">
        <f t="shared" si="20"/>
        <v>2024-1</v>
      </c>
    </row>
    <row r="418" spans="1:8" x14ac:dyDescent="0.3">
      <c r="A418" t="s">
        <v>50</v>
      </c>
      <c r="B418" t="s">
        <v>209</v>
      </c>
      <c r="C418" t="s">
        <v>286</v>
      </c>
      <c r="D418">
        <v>36936</v>
      </c>
      <c r="E418">
        <v>5</v>
      </c>
      <c r="F418">
        <f t="shared" si="18"/>
        <v>2024</v>
      </c>
      <c r="G418">
        <f t="shared" si="19"/>
        <v>1</v>
      </c>
      <c r="H418" t="str">
        <f t="shared" si="20"/>
        <v>2024-1</v>
      </c>
    </row>
    <row r="419" spans="1:8" x14ac:dyDescent="0.3">
      <c r="A419" t="s">
        <v>50</v>
      </c>
      <c r="B419" t="s">
        <v>89</v>
      </c>
      <c r="C419" t="s">
        <v>286</v>
      </c>
      <c r="D419">
        <v>79744</v>
      </c>
      <c r="E419">
        <v>7</v>
      </c>
      <c r="F419">
        <f t="shared" si="18"/>
        <v>2024</v>
      </c>
      <c r="G419">
        <f t="shared" si="19"/>
        <v>1</v>
      </c>
      <c r="H419" t="str">
        <f t="shared" si="20"/>
        <v>2024-1</v>
      </c>
    </row>
    <row r="420" spans="1:8" x14ac:dyDescent="0.3">
      <c r="A420" t="s">
        <v>10</v>
      </c>
      <c r="B420" t="s">
        <v>81</v>
      </c>
      <c r="C420" t="s">
        <v>287</v>
      </c>
      <c r="D420">
        <v>38482</v>
      </c>
      <c r="E420">
        <v>8</v>
      </c>
      <c r="F420">
        <f t="shared" si="18"/>
        <v>2024</v>
      </c>
      <c r="G420">
        <f t="shared" si="19"/>
        <v>1</v>
      </c>
      <c r="H420" t="str">
        <f t="shared" si="20"/>
        <v>2024-1</v>
      </c>
    </row>
    <row r="421" spans="1:8" x14ac:dyDescent="0.3">
      <c r="A421" t="s">
        <v>21</v>
      </c>
      <c r="B421" t="s">
        <v>256</v>
      </c>
      <c r="C421" t="s">
        <v>288</v>
      </c>
      <c r="D421">
        <v>14979</v>
      </c>
      <c r="E421">
        <v>10</v>
      </c>
      <c r="F421">
        <f t="shared" si="18"/>
        <v>2024</v>
      </c>
      <c r="G421">
        <f t="shared" si="19"/>
        <v>1</v>
      </c>
      <c r="H421" t="str">
        <f t="shared" si="20"/>
        <v>2024-1</v>
      </c>
    </row>
    <row r="422" spans="1:8" x14ac:dyDescent="0.3">
      <c r="A422" t="s">
        <v>50</v>
      </c>
      <c r="B422" t="s">
        <v>85</v>
      </c>
      <c r="C422" t="s">
        <v>288</v>
      </c>
      <c r="D422">
        <v>50532</v>
      </c>
      <c r="E422">
        <v>4</v>
      </c>
      <c r="F422">
        <f t="shared" si="18"/>
        <v>2024</v>
      </c>
      <c r="G422">
        <f t="shared" si="19"/>
        <v>1</v>
      </c>
      <c r="H422" t="str">
        <f t="shared" si="20"/>
        <v>2024-1</v>
      </c>
    </row>
    <row r="423" spans="1:8" x14ac:dyDescent="0.3">
      <c r="A423" t="s">
        <v>14</v>
      </c>
      <c r="B423" t="s">
        <v>289</v>
      </c>
      <c r="C423" t="s">
        <v>288</v>
      </c>
      <c r="D423">
        <v>59760</v>
      </c>
      <c r="E423">
        <v>7</v>
      </c>
      <c r="F423">
        <f t="shared" si="18"/>
        <v>2024</v>
      </c>
      <c r="G423">
        <f t="shared" si="19"/>
        <v>1</v>
      </c>
      <c r="H423" t="str">
        <f t="shared" si="20"/>
        <v>2024-1</v>
      </c>
    </row>
    <row r="424" spans="1:8" x14ac:dyDescent="0.3">
      <c r="A424" t="s">
        <v>5</v>
      </c>
      <c r="B424" t="s">
        <v>116</v>
      </c>
      <c r="C424" t="s">
        <v>288</v>
      </c>
      <c r="D424">
        <v>35275</v>
      </c>
      <c r="E424">
        <v>6</v>
      </c>
      <c r="F424">
        <f t="shared" si="18"/>
        <v>2024</v>
      </c>
      <c r="G424">
        <f t="shared" si="19"/>
        <v>1</v>
      </c>
      <c r="H424" t="str">
        <f t="shared" si="20"/>
        <v>2024-1</v>
      </c>
    </row>
    <row r="425" spans="1:8" x14ac:dyDescent="0.3">
      <c r="A425" t="s">
        <v>45</v>
      </c>
      <c r="B425" t="s">
        <v>101</v>
      </c>
      <c r="C425" t="s">
        <v>288</v>
      </c>
      <c r="D425">
        <v>96328</v>
      </c>
      <c r="E425">
        <v>5</v>
      </c>
      <c r="F425">
        <f t="shared" si="18"/>
        <v>2024</v>
      </c>
      <c r="G425">
        <f t="shared" si="19"/>
        <v>1</v>
      </c>
      <c r="H425" t="str">
        <f t="shared" si="20"/>
        <v>2024-1</v>
      </c>
    </row>
    <row r="426" spans="1:8" x14ac:dyDescent="0.3">
      <c r="A426" t="s">
        <v>50</v>
      </c>
      <c r="B426" t="s">
        <v>290</v>
      </c>
      <c r="C426" t="s">
        <v>288</v>
      </c>
      <c r="D426">
        <v>57850</v>
      </c>
      <c r="E426">
        <v>9</v>
      </c>
      <c r="F426">
        <f t="shared" si="18"/>
        <v>2024</v>
      </c>
      <c r="G426">
        <f t="shared" si="19"/>
        <v>1</v>
      </c>
      <c r="H426" t="str">
        <f t="shared" si="20"/>
        <v>2024-1</v>
      </c>
    </row>
    <row r="427" spans="1:8" x14ac:dyDescent="0.3">
      <c r="A427" t="s">
        <v>47</v>
      </c>
      <c r="B427" t="s">
        <v>279</v>
      </c>
      <c r="C427" t="s">
        <v>288</v>
      </c>
      <c r="D427">
        <v>86060</v>
      </c>
      <c r="E427">
        <v>7</v>
      </c>
      <c r="F427">
        <f t="shared" si="18"/>
        <v>2024</v>
      </c>
      <c r="G427">
        <f t="shared" si="19"/>
        <v>1</v>
      </c>
      <c r="H427" t="str">
        <f t="shared" si="20"/>
        <v>2024-1</v>
      </c>
    </row>
    <row r="428" spans="1:8" x14ac:dyDescent="0.3">
      <c r="A428" t="s">
        <v>18</v>
      </c>
      <c r="B428" t="s">
        <v>221</v>
      </c>
      <c r="C428" t="s">
        <v>288</v>
      </c>
      <c r="D428">
        <v>29679</v>
      </c>
      <c r="E428">
        <v>3</v>
      </c>
      <c r="F428">
        <f t="shared" si="18"/>
        <v>2024</v>
      </c>
      <c r="G428">
        <f t="shared" si="19"/>
        <v>1</v>
      </c>
      <c r="H428" t="str">
        <f t="shared" si="20"/>
        <v>2024-1</v>
      </c>
    </row>
    <row r="429" spans="1:8" x14ac:dyDescent="0.3">
      <c r="A429" t="s">
        <v>47</v>
      </c>
      <c r="B429" t="s">
        <v>291</v>
      </c>
      <c r="C429" t="s">
        <v>288</v>
      </c>
      <c r="D429">
        <v>14024</v>
      </c>
      <c r="E429">
        <v>7</v>
      </c>
      <c r="F429">
        <f t="shared" si="18"/>
        <v>2024</v>
      </c>
      <c r="G429">
        <f t="shared" si="19"/>
        <v>1</v>
      </c>
      <c r="H429" t="str">
        <f t="shared" si="20"/>
        <v>2024-1</v>
      </c>
    </row>
    <row r="430" spans="1:8" x14ac:dyDescent="0.3">
      <c r="A430" t="s">
        <v>40</v>
      </c>
      <c r="B430" t="s">
        <v>103</v>
      </c>
      <c r="C430" t="s">
        <v>292</v>
      </c>
      <c r="D430">
        <v>10790</v>
      </c>
      <c r="E430">
        <v>5</v>
      </c>
      <c r="F430">
        <f t="shared" si="18"/>
        <v>2024</v>
      </c>
      <c r="G430">
        <f t="shared" si="19"/>
        <v>1</v>
      </c>
      <c r="H430" t="str">
        <f t="shared" si="20"/>
        <v>2024-1</v>
      </c>
    </row>
    <row r="431" spans="1:8" x14ac:dyDescent="0.3">
      <c r="A431" t="s">
        <v>14</v>
      </c>
      <c r="B431" t="s">
        <v>186</v>
      </c>
      <c r="C431" t="s">
        <v>292</v>
      </c>
      <c r="D431">
        <v>76735</v>
      </c>
      <c r="E431">
        <v>7</v>
      </c>
      <c r="F431">
        <f t="shared" si="18"/>
        <v>2024</v>
      </c>
      <c r="G431">
        <f t="shared" si="19"/>
        <v>1</v>
      </c>
      <c r="H431" t="str">
        <f t="shared" si="20"/>
        <v>2024-1</v>
      </c>
    </row>
    <row r="432" spans="1:8" x14ac:dyDescent="0.3">
      <c r="A432" t="s">
        <v>5</v>
      </c>
      <c r="B432" t="s">
        <v>65</v>
      </c>
      <c r="C432" t="s">
        <v>292</v>
      </c>
      <c r="D432">
        <v>83144</v>
      </c>
      <c r="E432">
        <v>5</v>
      </c>
      <c r="F432">
        <f t="shared" si="18"/>
        <v>2024</v>
      </c>
      <c r="G432">
        <f t="shared" si="19"/>
        <v>1</v>
      </c>
      <c r="H432" t="str">
        <f t="shared" si="20"/>
        <v>2024-1</v>
      </c>
    </row>
    <row r="433" spans="1:8" x14ac:dyDescent="0.3">
      <c r="A433" t="s">
        <v>12</v>
      </c>
      <c r="B433" t="s">
        <v>19</v>
      </c>
      <c r="C433" t="s">
        <v>292</v>
      </c>
      <c r="D433">
        <v>95191</v>
      </c>
      <c r="E433">
        <v>8</v>
      </c>
      <c r="F433">
        <f t="shared" si="18"/>
        <v>2024</v>
      </c>
      <c r="G433">
        <f t="shared" si="19"/>
        <v>1</v>
      </c>
      <c r="H433" t="str">
        <f t="shared" si="20"/>
        <v>2024-1</v>
      </c>
    </row>
    <row r="434" spans="1:8" x14ac:dyDescent="0.3">
      <c r="A434" t="s">
        <v>14</v>
      </c>
      <c r="B434" t="s">
        <v>227</v>
      </c>
      <c r="C434" t="s">
        <v>293</v>
      </c>
      <c r="D434">
        <v>33239</v>
      </c>
      <c r="E434">
        <v>8</v>
      </c>
      <c r="F434">
        <f t="shared" si="18"/>
        <v>2024</v>
      </c>
      <c r="G434">
        <f t="shared" si="19"/>
        <v>1</v>
      </c>
      <c r="H434" t="str">
        <f t="shared" si="20"/>
        <v>2024-1</v>
      </c>
    </row>
    <row r="435" spans="1:8" x14ac:dyDescent="0.3">
      <c r="A435" t="s">
        <v>14</v>
      </c>
      <c r="B435" t="s">
        <v>171</v>
      </c>
      <c r="C435" t="s">
        <v>293</v>
      </c>
      <c r="D435">
        <v>95312</v>
      </c>
      <c r="E435">
        <v>8</v>
      </c>
      <c r="F435">
        <f t="shared" si="18"/>
        <v>2024</v>
      </c>
      <c r="G435">
        <f t="shared" si="19"/>
        <v>1</v>
      </c>
      <c r="H435" t="str">
        <f t="shared" si="20"/>
        <v>2024-1</v>
      </c>
    </row>
    <row r="436" spans="1:8" x14ac:dyDescent="0.3">
      <c r="A436" t="s">
        <v>12</v>
      </c>
      <c r="B436" t="s">
        <v>105</v>
      </c>
      <c r="C436" t="s">
        <v>293</v>
      </c>
      <c r="D436">
        <v>66146</v>
      </c>
      <c r="E436">
        <v>4</v>
      </c>
      <c r="F436">
        <f t="shared" si="18"/>
        <v>2024</v>
      </c>
      <c r="G436">
        <f t="shared" si="19"/>
        <v>1</v>
      </c>
      <c r="H436" t="str">
        <f t="shared" si="20"/>
        <v>2024-1</v>
      </c>
    </row>
    <row r="437" spans="1:8" x14ac:dyDescent="0.3">
      <c r="A437" t="s">
        <v>8</v>
      </c>
      <c r="B437" t="s">
        <v>193</v>
      </c>
      <c r="C437" t="s">
        <v>293</v>
      </c>
      <c r="D437">
        <v>37501</v>
      </c>
      <c r="E437">
        <v>6</v>
      </c>
      <c r="F437">
        <f t="shared" si="18"/>
        <v>2024</v>
      </c>
      <c r="G437">
        <f t="shared" si="19"/>
        <v>1</v>
      </c>
      <c r="H437" t="str">
        <f t="shared" si="20"/>
        <v>2024-1</v>
      </c>
    </row>
    <row r="438" spans="1:8" x14ac:dyDescent="0.3">
      <c r="A438" t="s">
        <v>18</v>
      </c>
      <c r="B438" t="s">
        <v>221</v>
      </c>
      <c r="C438" t="s">
        <v>294</v>
      </c>
      <c r="D438">
        <v>14600</v>
      </c>
      <c r="E438">
        <v>7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3">
      <c r="A439" t="s">
        <v>21</v>
      </c>
      <c r="B439" t="s">
        <v>251</v>
      </c>
      <c r="C439" t="s">
        <v>294</v>
      </c>
      <c r="D439">
        <v>89143</v>
      </c>
      <c r="E439">
        <v>6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x14ac:dyDescent="0.3">
      <c r="A440" t="s">
        <v>12</v>
      </c>
      <c r="B440" t="s">
        <v>49</v>
      </c>
      <c r="C440" t="s">
        <v>294</v>
      </c>
      <c r="D440">
        <v>50587</v>
      </c>
      <c r="E440">
        <v>0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x14ac:dyDescent="0.3">
      <c r="A441" t="s">
        <v>12</v>
      </c>
      <c r="B441" t="s">
        <v>162</v>
      </c>
      <c r="C441" t="s">
        <v>294</v>
      </c>
      <c r="D441">
        <v>65729</v>
      </c>
      <c r="E441">
        <v>4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x14ac:dyDescent="0.3">
      <c r="A442" t="s">
        <v>47</v>
      </c>
      <c r="B442" t="s">
        <v>78</v>
      </c>
      <c r="C442" t="s">
        <v>294</v>
      </c>
      <c r="D442">
        <v>36182</v>
      </c>
      <c r="E442">
        <v>7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x14ac:dyDescent="0.3">
      <c r="A443" t="s">
        <v>18</v>
      </c>
      <c r="B443" t="s">
        <v>35</v>
      </c>
      <c r="C443" t="s">
        <v>295</v>
      </c>
      <c r="D443">
        <v>80965</v>
      </c>
      <c r="E443">
        <v>10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3">
      <c r="A444" t="s">
        <v>40</v>
      </c>
      <c r="B444" t="s">
        <v>116</v>
      </c>
      <c r="C444" t="s">
        <v>295</v>
      </c>
      <c r="D444">
        <v>99254</v>
      </c>
      <c r="E444">
        <v>0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x14ac:dyDescent="0.3">
      <c r="A445" t="s">
        <v>10</v>
      </c>
      <c r="B445" t="s">
        <v>105</v>
      </c>
      <c r="C445" t="s">
        <v>295</v>
      </c>
      <c r="D445">
        <v>17683</v>
      </c>
      <c r="E445">
        <v>1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x14ac:dyDescent="0.3">
      <c r="A446" t="s">
        <v>50</v>
      </c>
      <c r="B446" t="s">
        <v>9</v>
      </c>
      <c r="C446" t="s">
        <v>296</v>
      </c>
      <c r="D446">
        <v>78176</v>
      </c>
      <c r="E446">
        <v>6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3">
      <c r="A447" t="s">
        <v>5</v>
      </c>
      <c r="B447" t="s">
        <v>111</v>
      </c>
      <c r="C447" t="s">
        <v>296</v>
      </c>
      <c r="D447">
        <v>68888</v>
      </c>
      <c r="E447">
        <v>2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x14ac:dyDescent="0.3">
      <c r="A448" t="s">
        <v>28</v>
      </c>
      <c r="B448" t="s">
        <v>180</v>
      </c>
      <c r="C448" t="s">
        <v>296</v>
      </c>
      <c r="D448">
        <v>99856</v>
      </c>
      <c r="E448">
        <v>6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x14ac:dyDescent="0.3">
      <c r="A449" t="s">
        <v>47</v>
      </c>
      <c r="B449" t="s">
        <v>140</v>
      </c>
      <c r="C449" t="s">
        <v>296</v>
      </c>
      <c r="D449">
        <v>93573</v>
      </c>
      <c r="E449">
        <v>0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x14ac:dyDescent="0.3">
      <c r="A450" t="s">
        <v>21</v>
      </c>
      <c r="B450" t="s">
        <v>92</v>
      </c>
      <c r="C450" t="s">
        <v>296</v>
      </c>
      <c r="D450">
        <v>44472</v>
      </c>
      <c r="E450">
        <v>8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x14ac:dyDescent="0.3">
      <c r="A451" t="s">
        <v>10</v>
      </c>
      <c r="B451" t="s">
        <v>6</v>
      </c>
      <c r="C451" t="s">
        <v>296</v>
      </c>
      <c r="D451">
        <v>36012</v>
      </c>
      <c r="E451">
        <v>6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x14ac:dyDescent="0.3">
      <c r="A452" t="s">
        <v>40</v>
      </c>
      <c r="B452" t="s">
        <v>247</v>
      </c>
      <c r="C452" t="s">
        <v>296</v>
      </c>
      <c r="D452">
        <v>69905</v>
      </c>
      <c r="E452">
        <v>7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x14ac:dyDescent="0.3">
      <c r="A453" t="s">
        <v>14</v>
      </c>
      <c r="B453" t="s">
        <v>297</v>
      </c>
      <c r="C453" t="s">
        <v>296</v>
      </c>
      <c r="D453">
        <v>43049</v>
      </c>
      <c r="E453">
        <v>6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x14ac:dyDescent="0.3">
      <c r="A454" t="s">
        <v>10</v>
      </c>
      <c r="B454" t="s">
        <v>193</v>
      </c>
      <c r="C454" t="s">
        <v>296</v>
      </c>
      <c r="D454">
        <v>86086</v>
      </c>
      <c r="E454">
        <v>7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x14ac:dyDescent="0.3">
      <c r="A455" t="s">
        <v>21</v>
      </c>
      <c r="B455" t="s">
        <v>65</v>
      </c>
      <c r="C455" t="s">
        <v>296</v>
      </c>
      <c r="D455">
        <v>42224</v>
      </c>
      <c r="E455">
        <v>4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x14ac:dyDescent="0.3">
      <c r="A456" t="s">
        <v>28</v>
      </c>
      <c r="B456" t="s">
        <v>119</v>
      </c>
      <c r="C456" t="s">
        <v>296</v>
      </c>
      <c r="D456">
        <v>50368</v>
      </c>
      <c r="E456">
        <v>9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3">
      <c r="A457" t="s">
        <v>10</v>
      </c>
      <c r="B457" t="s">
        <v>221</v>
      </c>
      <c r="C457" t="s">
        <v>298</v>
      </c>
      <c r="D457">
        <v>17020</v>
      </c>
      <c r="E457">
        <v>6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x14ac:dyDescent="0.3">
      <c r="A458" t="s">
        <v>40</v>
      </c>
      <c r="B458" t="s">
        <v>221</v>
      </c>
      <c r="C458" t="s">
        <v>298</v>
      </c>
      <c r="D458">
        <v>91028</v>
      </c>
      <c r="E458">
        <v>5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x14ac:dyDescent="0.3">
      <c r="A459" t="s">
        <v>8</v>
      </c>
      <c r="B459" t="s">
        <v>289</v>
      </c>
      <c r="C459" t="s">
        <v>299</v>
      </c>
      <c r="D459">
        <v>14081</v>
      </c>
      <c r="E459">
        <v>6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x14ac:dyDescent="0.3">
      <c r="A460" t="s">
        <v>50</v>
      </c>
      <c r="B460" t="s">
        <v>300</v>
      </c>
      <c r="C460" t="s">
        <v>299</v>
      </c>
      <c r="D460">
        <v>69384</v>
      </c>
      <c r="E460">
        <v>9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x14ac:dyDescent="0.3">
      <c r="A461" t="s">
        <v>47</v>
      </c>
      <c r="B461" t="s">
        <v>37</v>
      </c>
      <c r="C461" t="s">
        <v>299</v>
      </c>
      <c r="D461">
        <v>75942</v>
      </c>
      <c r="E461">
        <v>10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x14ac:dyDescent="0.3">
      <c r="A462" t="s">
        <v>40</v>
      </c>
      <c r="B462" t="s">
        <v>25</v>
      </c>
      <c r="C462" t="s">
        <v>301</v>
      </c>
      <c r="D462">
        <v>54915</v>
      </c>
      <c r="E462">
        <v>5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3">
      <c r="A463" t="s">
        <v>10</v>
      </c>
      <c r="B463" t="s">
        <v>302</v>
      </c>
      <c r="C463" t="s">
        <v>301</v>
      </c>
      <c r="D463">
        <v>86388</v>
      </c>
      <c r="E463">
        <v>9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3">
      <c r="A464" t="s">
        <v>40</v>
      </c>
      <c r="B464" t="s">
        <v>37</v>
      </c>
      <c r="C464" t="s">
        <v>301</v>
      </c>
      <c r="D464">
        <v>76169</v>
      </c>
      <c r="E464">
        <v>6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3">
      <c r="A465" t="s">
        <v>21</v>
      </c>
      <c r="B465" t="s">
        <v>77</v>
      </c>
      <c r="C465" t="s">
        <v>303</v>
      </c>
      <c r="D465">
        <v>24977</v>
      </c>
      <c r="E465">
        <v>8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3">
      <c r="A466" t="s">
        <v>18</v>
      </c>
      <c r="B466" t="s">
        <v>107</v>
      </c>
      <c r="C466" t="s">
        <v>303</v>
      </c>
      <c r="D466">
        <v>16122</v>
      </c>
      <c r="E466">
        <v>4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3">
      <c r="A467" t="s">
        <v>50</v>
      </c>
      <c r="B467" t="s">
        <v>49</v>
      </c>
      <c r="C467" t="s">
        <v>303</v>
      </c>
      <c r="D467">
        <v>98082</v>
      </c>
      <c r="E467">
        <v>3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3">
      <c r="A468" t="s">
        <v>18</v>
      </c>
      <c r="B468" t="s">
        <v>291</v>
      </c>
      <c r="C468" t="s">
        <v>303</v>
      </c>
      <c r="D468">
        <v>13527</v>
      </c>
      <c r="E468">
        <v>7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3">
      <c r="A469" t="s">
        <v>5</v>
      </c>
      <c r="B469" t="s">
        <v>52</v>
      </c>
      <c r="C469" t="s">
        <v>304</v>
      </c>
      <c r="D469">
        <v>95539</v>
      </c>
      <c r="E469">
        <v>6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x14ac:dyDescent="0.3">
      <c r="A470" t="s">
        <v>47</v>
      </c>
      <c r="B470" t="s">
        <v>41</v>
      </c>
      <c r="C470" t="s">
        <v>304</v>
      </c>
      <c r="D470">
        <v>77564</v>
      </c>
      <c r="E470">
        <v>5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x14ac:dyDescent="0.3">
      <c r="A471" t="s">
        <v>12</v>
      </c>
      <c r="B471" t="s">
        <v>115</v>
      </c>
      <c r="C471" t="s">
        <v>304</v>
      </c>
      <c r="D471">
        <v>82385</v>
      </c>
      <c r="E471">
        <v>8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x14ac:dyDescent="0.3">
      <c r="A472" t="s">
        <v>14</v>
      </c>
      <c r="B472" t="s">
        <v>119</v>
      </c>
      <c r="C472" t="s">
        <v>304</v>
      </c>
      <c r="D472">
        <v>51464</v>
      </c>
      <c r="E472">
        <v>9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x14ac:dyDescent="0.3">
      <c r="A473" t="s">
        <v>28</v>
      </c>
      <c r="B473" t="s">
        <v>290</v>
      </c>
      <c r="C473" t="s">
        <v>304</v>
      </c>
      <c r="D473">
        <v>39522</v>
      </c>
      <c r="E473">
        <v>7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x14ac:dyDescent="0.3">
      <c r="A474" t="s">
        <v>21</v>
      </c>
      <c r="B474" t="s">
        <v>305</v>
      </c>
      <c r="C474" t="s">
        <v>304</v>
      </c>
      <c r="D474">
        <v>27764</v>
      </c>
      <c r="E474">
        <v>2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x14ac:dyDescent="0.3">
      <c r="A475" t="s">
        <v>10</v>
      </c>
      <c r="B475" t="s">
        <v>191</v>
      </c>
      <c r="C475" t="s">
        <v>304</v>
      </c>
      <c r="D475">
        <v>15965</v>
      </c>
      <c r="E475">
        <v>0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x14ac:dyDescent="0.3">
      <c r="A476" t="s">
        <v>28</v>
      </c>
      <c r="B476" t="s">
        <v>191</v>
      </c>
      <c r="C476" t="s">
        <v>304</v>
      </c>
      <c r="D476">
        <v>10559</v>
      </c>
      <c r="E476">
        <v>5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x14ac:dyDescent="0.3">
      <c r="A477" t="s">
        <v>21</v>
      </c>
      <c r="B477" t="s">
        <v>11</v>
      </c>
      <c r="C477" t="s">
        <v>306</v>
      </c>
      <c r="D477">
        <v>54188</v>
      </c>
      <c r="E477">
        <v>10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x14ac:dyDescent="0.3">
      <c r="A478" t="s">
        <v>10</v>
      </c>
      <c r="B478" t="s">
        <v>61</v>
      </c>
      <c r="C478" t="s">
        <v>307</v>
      </c>
      <c r="D478">
        <v>74640</v>
      </c>
      <c r="E478">
        <v>1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x14ac:dyDescent="0.3">
      <c r="A479" t="s">
        <v>10</v>
      </c>
      <c r="B479" t="s">
        <v>105</v>
      </c>
      <c r="C479" t="s">
        <v>307</v>
      </c>
      <c r="D479">
        <v>26918</v>
      </c>
      <c r="E479">
        <v>6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3">
      <c r="A480" t="s">
        <v>40</v>
      </c>
      <c r="B480" t="s">
        <v>112</v>
      </c>
      <c r="C480" t="s">
        <v>308</v>
      </c>
      <c r="D480">
        <v>47812</v>
      </c>
      <c r="E480">
        <v>7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x14ac:dyDescent="0.3">
      <c r="A481" t="s">
        <v>28</v>
      </c>
      <c r="B481" t="s">
        <v>205</v>
      </c>
      <c r="C481" t="s">
        <v>308</v>
      </c>
      <c r="D481">
        <v>20136</v>
      </c>
      <c r="E481">
        <v>4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x14ac:dyDescent="0.3">
      <c r="A482" t="s">
        <v>50</v>
      </c>
      <c r="B482" t="s">
        <v>174</v>
      </c>
      <c r="C482" t="s">
        <v>308</v>
      </c>
      <c r="D482">
        <v>92036</v>
      </c>
      <c r="E482">
        <v>6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x14ac:dyDescent="0.3">
      <c r="A483" t="s">
        <v>50</v>
      </c>
      <c r="B483" t="s">
        <v>124</v>
      </c>
      <c r="C483" t="s">
        <v>308</v>
      </c>
      <c r="D483">
        <v>95532</v>
      </c>
      <c r="E483">
        <v>4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x14ac:dyDescent="0.3">
      <c r="A484" t="s">
        <v>45</v>
      </c>
      <c r="B484" t="s">
        <v>300</v>
      </c>
      <c r="C484" t="s">
        <v>309</v>
      </c>
      <c r="D484">
        <v>17994</v>
      </c>
      <c r="E484">
        <v>8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x14ac:dyDescent="0.3">
      <c r="A485" t="s">
        <v>21</v>
      </c>
      <c r="B485" t="s">
        <v>24</v>
      </c>
      <c r="C485" t="s">
        <v>309</v>
      </c>
      <c r="D485">
        <v>81897</v>
      </c>
      <c r="E485">
        <v>7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x14ac:dyDescent="0.3">
      <c r="A486" t="s">
        <v>50</v>
      </c>
      <c r="B486" t="s">
        <v>51</v>
      </c>
      <c r="C486" t="s">
        <v>310</v>
      </c>
      <c r="D486">
        <v>80002</v>
      </c>
      <c r="E486">
        <v>7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x14ac:dyDescent="0.3">
      <c r="A487" t="s">
        <v>45</v>
      </c>
      <c r="B487" t="s">
        <v>311</v>
      </c>
      <c r="C487" t="s">
        <v>310</v>
      </c>
      <c r="D487">
        <v>59515</v>
      </c>
      <c r="E487">
        <v>3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x14ac:dyDescent="0.3">
      <c r="A488" t="s">
        <v>8</v>
      </c>
      <c r="B488" t="s">
        <v>95</v>
      </c>
      <c r="C488" t="s">
        <v>310</v>
      </c>
      <c r="D488">
        <v>23812</v>
      </c>
      <c r="E488">
        <v>2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x14ac:dyDescent="0.3">
      <c r="A489" t="s">
        <v>14</v>
      </c>
      <c r="B489" t="s">
        <v>217</v>
      </c>
      <c r="C489" t="s">
        <v>310</v>
      </c>
      <c r="D489">
        <v>71850</v>
      </c>
      <c r="E489">
        <v>10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3">
      <c r="A490" t="s">
        <v>45</v>
      </c>
      <c r="B490" t="s">
        <v>124</v>
      </c>
      <c r="C490" t="s">
        <v>310</v>
      </c>
      <c r="D490">
        <v>11783</v>
      </c>
      <c r="E490">
        <v>9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x14ac:dyDescent="0.3">
      <c r="A491" t="s">
        <v>45</v>
      </c>
      <c r="B491" t="s">
        <v>54</v>
      </c>
      <c r="C491" t="s">
        <v>310</v>
      </c>
      <c r="D491">
        <v>33318</v>
      </c>
      <c r="E491">
        <v>8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x14ac:dyDescent="0.3">
      <c r="A492" t="s">
        <v>47</v>
      </c>
      <c r="B492" t="s">
        <v>152</v>
      </c>
      <c r="C492" t="s">
        <v>310</v>
      </c>
      <c r="D492">
        <v>66555</v>
      </c>
      <c r="E492">
        <v>8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3">
      <c r="A493" t="s">
        <v>40</v>
      </c>
      <c r="B493" t="s">
        <v>103</v>
      </c>
      <c r="C493" t="s">
        <v>310</v>
      </c>
      <c r="D493">
        <v>60323</v>
      </c>
      <c r="E493">
        <v>6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x14ac:dyDescent="0.3">
      <c r="A494" t="s">
        <v>40</v>
      </c>
      <c r="B494" t="s">
        <v>312</v>
      </c>
      <c r="C494" t="s">
        <v>310</v>
      </c>
      <c r="D494">
        <v>60275</v>
      </c>
      <c r="E494">
        <v>9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3">
      <c r="A495" t="s">
        <v>12</v>
      </c>
      <c r="B495" t="s">
        <v>209</v>
      </c>
      <c r="C495" t="s">
        <v>313</v>
      </c>
      <c r="D495">
        <v>33092</v>
      </c>
      <c r="E495">
        <v>1</v>
      </c>
      <c r="F495">
        <f t="shared" si="21"/>
        <v>2024</v>
      </c>
      <c r="G495">
        <f t="shared" si="22"/>
        <v>2</v>
      </c>
      <c r="H495" t="str">
        <f t="shared" si="23"/>
        <v>2024-2</v>
      </c>
    </row>
    <row r="496" spans="1:8" x14ac:dyDescent="0.3">
      <c r="A496" t="s">
        <v>47</v>
      </c>
      <c r="B496" t="s">
        <v>72</v>
      </c>
      <c r="C496" t="s">
        <v>313</v>
      </c>
      <c r="D496">
        <v>76626</v>
      </c>
      <c r="E496">
        <v>7</v>
      </c>
      <c r="F496">
        <f t="shared" si="21"/>
        <v>2024</v>
      </c>
      <c r="G496">
        <f t="shared" si="22"/>
        <v>2</v>
      </c>
      <c r="H496" t="str">
        <f t="shared" si="23"/>
        <v>2024-2</v>
      </c>
    </row>
    <row r="497" spans="1:8" x14ac:dyDescent="0.3">
      <c r="A497" t="s">
        <v>18</v>
      </c>
      <c r="B497" t="s">
        <v>71</v>
      </c>
      <c r="C497" t="s">
        <v>313</v>
      </c>
      <c r="D497">
        <v>28821</v>
      </c>
      <c r="E497">
        <v>4</v>
      </c>
      <c r="F497">
        <f t="shared" si="21"/>
        <v>2024</v>
      </c>
      <c r="G497">
        <f t="shared" si="22"/>
        <v>2</v>
      </c>
      <c r="H497" t="str">
        <f t="shared" si="23"/>
        <v>2024-2</v>
      </c>
    </row>
    <row r="498" spans="1:8" x14ac:dyDescent="0.3">
      <c r="A498" t="s">
        <v>47</v>
      </c>
      <c r="B498" t="s">
        <v>217</v>
      </c>
      <c r="C498" t="s">
        <v>313</v>
      </c>
      <c r="D498">
        <v>24681</v>
      </c>
      <c r="E498">
        <v>6</v>
      </c>
      <c r="F498">
        <f t="shared" si="21"/>
        <v>2024</v>
      </c>
      <c r="G498">
        <f t="shared" si="22"/>
        <v>2</v>
      </c>
      <c r="H498" t="str">
        <f t="shared" si="23"/>
        <v>2024-2</v>
      </c>
    </row>
    <row r="499" spans="1:8" x14ac:dyDescent="0.3">
      <c r="A499" t="s">
        <v>47</v>
      </c>
      <c r="B499" t="s">
        <v>146</v>
      </c>
      <c r="C499" t="s">
        <v>313</v>
      </c>
      <c r="D499">
        <v>78387</v>
      </c>
      <c r="E499">
        <v>7</v>
      </c>
      <c r="F499">
        <f t="shared" si="21"/>
        <v>2024</v>
      </c>
      <c r="G499">
        <f t="shared" si="22"/>
        <v>2</v>
      </c>
      <c r="H499" t="str">
        <f t="shared" si="23"/>
        <v>2024-2</v>
      </c>
    </row>
    <row r="500" spans="1:8" x14ac:dyDescent="0.3">
      <c r="A500" t="s">
        <v>8</v>
      </c>
      <c r="B500" t="s">
        <v>66</v>
      </c>
      <c r="C500" t="s">
        <v>313</v>
      </c>
      <c r="D500">
        <v>59864</v>
      </c>
      <c r="E500">
        <v>6</v>
      </c>
      <c r="F500">
        <f t="shared" si="21"/>
        <v>2024</v>
      </c>
      <c r="G500">
        <f t="shared" si="22"/>
        <v>2</v>
      </c>
      <c r="H500" t="str">
        <f t="shared" si="23"/>
        <v>2024-2</v>
      </c>
    </row>
    <row r="501" spans="1:8" x14ac:dyDescent="0.3">
      <c r="A501" t="s">
        <v>18</v>
      </c>
      <c r="B501" t="s">
        <v>127</v>
      </c>
      <c r="C501" t="s">
        <v>314</v>
      </c>
      <c r="D501">
        <v>73979</v>
      </c>
      <c r="E501">
        <v>9</v>
      </c>
      <c r="F501">
        <f t="shared" si="21"/>
        <v>2024</v>
      </c>
      <c r="G501">
        <f t="shared" si="22"/>
        <v>2</v>
      </c>
      <c r="H501" t="str">
        <f t="shared" si="23"/>
        <v>2024-2</v>
      </c>
    </row>
    <row r="502" spans="1:8" x14ac:dyDescent="0.3">
      <c r="A502" t="s">
        <v>47</v>
      </c>
      <c r="B502" t="s">
        <v>70</v>
      </c>
      <c r="C502" t="s">
        <v>314</v>
      </c>
      <c r="D502">
        <v>33776</v>
      </c>
      <c r="E502">
        <v>6</v>
      </c>
      <c r="F502">
        <f t="shared" si="21"/>
        <v>2024</v>
      </c>
      <c r="G502">
        <f t="shared" si="22"/>
        <v>2</v>
      </c>
      <c r="H502" t="str">
        <f t="shared" si="23"/>
        <v>2024-2</v>
      </c>
    </row>
    <row r="503" spans="1:8" x14ac:dyDescent="0.3">
      <c r="A503" t="s">
        <v>10</v>
      </c>
      <c r="B503" t="s">
        <v>315</v>
      </c>
      <c r="C503" t="s">
        <v>316</v>
      </c>
      <c r="D503">
        <v>38559</v>
      </c>
      <c r="E503">
        <v>10</v>
      </c>
      <c r="F503">
        <f t="shared" si="21"/>
        <v>2024</v>
      </c>
      <c r="G503">
        <f t="shared" si="22"/>
        <v>2</v>
      </c>
      <c r="H503" t="str">
        <f t="shared" si="23"/>
        <v>2024-2</v>
      </c>
    </row>
    <row r="504" spans="1:8" x14ac:dyDescent="0.3">
      <c r="A504" t="s">
        <v>12</v>
      </c>
      <c r="B504" t="s">
        <v>146</v>
      </c>
      <c r="C504" t="s">
        <v>317</v>
      </c>
      <c r="D504">
        <v>81999</v>
      </c>
      <c r="E504">
        <v>10</v>
      </c>
      <c r="F504">
        <f t="shared" si="21"/>
        <v>2024</v>
      </c>
      <c r="G504">
        <f t="shared" si="22"/>
        <v>2</v>
      </c>
      <c r="H504" t="str">
        <f t="shared" si="23"/>
        <v>2024-2</v>
      </c>
    </row>
    <row r="505" spans="1:8" x14ac:dyDescent="0.3">
      <c r="A505" t="s">
        <v>12</v>
      </c>
      <c r="B505" t="s">
        <v>191</v>
      </c>
      <c r="C505" t="s">
        <v>317</v>
      </c>
      <c r="D505">
        <v>26674</v>
      </c>
      <c r="E505">
        <v>6</v>
      </c>
      <c r="F505">
        <f t="shared" si="21"/>
        <v>2024</v>
      </c>
      <c r="G505">
        <f t="shared" si="22"/>
        <v>2</v>
      </c>
      <c r="H505" t="str">
        <f t="shared" si="23"/>
        <v>2024-2</v>
      </c>
    </row>
    <row r="506" spans="1:8" x14ac:dyDescent="0.3">
      <c r="A506" t="s">
        <v>12</v>
      </c>
      <c r="B506" t="s">
        <v>231</v>
      </c>
      <c r="C506" t="s">
        <v>317</v>
      </c>
      <c r="D506">
        <v>94925</v>
      </c>
      <c r="E506">
        <v>8</v>
      </c>
      <c r="F506">
        <f t="shared" si="21"/>
        <v>2024</v>
      </c>
      <c r="G506">
        <f t="shared" si="22"/>
        <v>2</v>
      </c>
      <c r="H506" t="str">
        <f t="shared" si="23"/>
        <v>2024-2</v>
      </c>
    </row>
    <row r="507" spans="1:8" x14ac:dyDescent="0.3">
      <c r="A507" t="s">
        <v>12</v>
      </c>
      <c r="B507" t="s">
        <v>92</v>
      </c>
      <c r="C507" t="s">
        <v>317</v>
      </c>
      <c r="D507">
        <v>99601</v>
      </c>
      <c r="E507">
        <v>3</v>
      </c>
      <c r="F507">
        <f t="shared" si="21"/>
        <v>2024</v>
      </c>
      <c r="G507">
        <f t="shared" si="22"/>
        <v>2</v>
      </c>
      <c r="H507" t="str">
        <f t="shared" si="23"/>
        <v>2024-2</v>
      </c>
    </row>
    <row r="508" spans="1:8" x14ac:dyDescent="0.3">
      <c r="A508" t="s">
        <v>50</v>
      </c>
      <c r="B508" t="s">
        <v>78</v>
      </c>
      <c r="C508" t="s">
        <v>317</v>
      </c>
      <c r="D508">
        <v>68462</v>
      </c>
      <c r="E508">
        <v>4</v>
      </c>
      <c r="F508">
        <f t="shared" si="21"/>
        <v>2024</v>
      </c>
      <c r="G508">
        <f t="shared" si="22"/>
        <v>2</v>
      </c>
      <c r="H508" t="str">
        <f t="shared" si="23"/>
        <v>2024-2</v>
      </c>
    </row>
    <row r="509" spans="1:8" x14ac:dyDescent="0.3">
      <c r="A509" t="s">
        <v>28</v>
      </c>
      <c r="B509" t="s">
        <v>81</v>
      </c>
      <c r="C509" t="s">
        <v>317</v>
      </c>
      <c r="D509">
        <v>52789</v>
      </c>
      <c r="E509">
        <v>7</v>
      </c>
      <c r="F509">
        <f t="shared" si="21"/>
        <v>2024</v>
      </c>
      <c r="G509">
        <f t="shared" si="22"/>
        <v>2</v>
      </c>
      <c r="H509" t="str">
        <f t="shared" si="23"/>
        <v>2024-2</v>
      </c>
    </row>
    <row r="510" spans="1:8" x14ac:dyDescent="0.3">
      <c r="A510" t="s">
        <v>8</v>
      </c>
      <c r="B510" t="s">
        <v>116</v>
      </c>
      <c r="C510" t="s">
        <v>317</v>
      </c>
      <c r="D510">
        <v>14865</v>
      </c>
      <c r="E510">
        <v>2</v>
      </c>
      <c r="F510">
        <f t="shared" si="21"/>
        <v>2024</v>
      </c>
      <c r="G510">
        <f t="shared" si="22"/>
        <v>2</v>
      </c>
      <c r="H510" t="str">
        <f t="shared" si="23"/>
        <v>2024-2</v>
      </c>
    </row>
    <row r="511" spans="1:8" x14ac:dyDescent="0.3">
      <c r="A511" t="s">
        <v>14</v>
      </c>
      <c r="B511" t="s">
        <v>122</v>
      </c>
      <c r="C511" t="s">
        <v>317</v>
      </c>
      <c r="D511">
        <v>13307</v>
      </c>
      <c r="E511">
        <v>9</v>
      </c>
      <c r="F511">
        <f t="shared" si="21"/>
        <v>2024</v>
      </c>
      <c r="G511">
        <f t="shared" si="22"/>
        <v>2</v>
      </c>
      <c r="H511" t="str">
        <f t="shared" si="23"/>
        <v>2024-2</v>
      </c>
    </row>
    <row r="512" spans="1:8" x14ac:dyDescent="0.3">
      <c r="A512" t="s">
        <v>50</v>
      </c>
      <c r="B512" t="s">
        <v>318</v>
      </c>
      <c r="C512" t="s">
        <v>317</v>
      </c>
      <c r="D512">
        <v>19686</v>
      </c>
      <c r="E512">
        <v>4</v>
      </c>
      <c r="F512">
        <f t="shared" si="21"/>
        <v>2024</v>
      </c>
      <c r="G512">
        <f t="shared" si="22"/>
        <v>2</v>
      </c>
      <c r="H512" t="str">
        <f t="shared" si="23"/>
        <v>2024-2</v>
      </c>
    </row>
    <row r="513" spans="1:8" x14ac:dyDescent="0.3">
      <c r="A513" t="s">
        <v>50</v>
      </c>
      <c r="B513" t="s">
        <v>13</v>
      </c>
      <c r="C513" t="s">
        <v>317</v>
      </c>
      <c r="D513">
        <v>89241</v>
      </c>
      <c r="E513">
        <v>9</v>
      </c>
      <c r="F513">
        <f t="shared" si="21"/>
        <v>2024</v>
      </c>
      <c r="G513">
        <f t="shared" si="22"/>
        <v>2</v>
      </c>
      <c r="H513" t="str">
        <f t="shared" si="23"/>
        <v>2024-2</v>
      </c>
    </row>
    <row r="514" spans="1:8" x14ac:dyDescent="0.3">
      <c r="A514" t="s">
        <v>10</v>
      </c>
      <c r="B514" t="s">
        <v>32</v>
      </c>
      <c r="C514" t="s">
        <v>319</v>
      </c>
      <c r="D514">
        <v>56582</v>
      </c>
      <c r="E514">
        <v>8</v>
      </c>
      <c r="F514">
        <f t="shared" si="21"/>
        <v>2024</v>
      </c>
      <c r="G514">
        <f t="shared" si="22"/>
        <v>2</v>
      </c>
      <c r="H514" t="str">
        <f t="shared" si="23"/>
        <v>2024-2</v>
      </c>
    </row>
    <row r="515" spans="1:8" x14ac:dyDescent="0.3">
      <c r="A515" t="s">
        <v>21</v>
      </c>
      <c r="B515" t="s">
        <v>146</v>
      </c>
      <c r="C515" t="s">
        <v>319</v>
      </c>
      <c r="D515">
        <v>22896</v>
      </c>
      <c r="E515">
        <v>7</v>
      </c>
      <c r="F515">
        <f t="shared" ref="F515:F578" si="24">YEAR(C515)</f>
        <v>2024</v>
      </c>
      <c r="G515">
        <f t="shared" ref="G515:G578" si="25">MONTH(C515)</f>
        <v>2</v>
      </c>
      <c r="H515" t="str">
        <f t="shared" ref="H515:H578" si="26">F515&amp;"-"&amp;G515</f>
        <v>2024-2</v>
      </c>
    </row>
    <row r="516" spans="1:8" x14ac:dyDescent="0.3">
      <c r="A516" t="s">
        <v>40</v>
      </c>
      <c r="B516" t="s">
        <v>99</v>
      </c>
      <c r="C516" t="s">
        <v>320</v>
      </c>
      <c r="D516">
        <v>83410</v>
      </c>
      <c r="E516">
        <v>0</v>
      </c>
      <c r="F516">
        <f t="shared" si="24"/>
        <v>2024</v>
      </c>
      <c r="G516">
        <f t="shared" si="25"/>
        <v>2</v>
      </c>
      <c r="H516" t="str">
        <f t="shared" si="26"/>
        <v>2024-2</v>
      </c>
    </row>
    <row r="517" spans="1:8" x14ac:dyDescent="0.3">
      <c r="A517" t="s">
        <v>18</v>
      </c>
      <c r="B517" t="s">
        <v>315</v>
      </c>
      <c r="C517" t="s">
        <v>320</v>
      </c>
      <c r="D517">
        <v>53794</v>
      </c>
      <c r="E517">
        <v>8</v>
      </c>
      <c r="F517">
        <f t="shared" si="24"/>
        <v>2024</v>
      </c>
      <c r="G517">
        <f t="shared" si="25"/>
        <v>2</v>
      </c>
      <c r="H517" t="str">
        <f t="shared" si="26"/>
        <v>2024-2</v>
      </c>
    </row>
    <row r="518" spans="1:8" x14ac:dyDescent="0.3">
      <c r="A518" t="s">
        <v>10</v>
      </c>
      <c r="B518" t="s">
        <v>69</v>
      </c>
      <c r="C518" t="s">
        <v>321</v>
      </c>
      <c r="D518">
        <v>10504</v>
      </c>
      <c r="E518">
        <v>2</v>
      </c>
      <c r="F518">
        <f t="shared" si="24"/>
        <v>2024</v>
      </c>
      <c r="G518">
        <f t="shared" si="25"/>
        <v>2</v>
      </c>
      <c r="H518" t="str">
        <f t="shared" si="26"/>
        <v>2024-2</v>
      </c>
    </row>
    <row r="519" spans="1:8" x14ac:dyDescent="0.3">
      <c r="A519" t="s">
        <v>10</v>
      </c>
      <c r="B519" t="s">
        <v>190</v>
      </c>
      <c r="C519" t="s">
        <v>321</v>
      </c>
      <c r="D519">
        <v>21167</v>
      </c>
      <c r="E519">
        <v>4</v>
      </c>
      <c r="F519">
        <f t="shared" si="24"/>
        <v>2024</v>
      </c>
      <c r="G519">
        <f t="shared" si="25"/>
        <v>2</v>
      </c>
      <c r="H519" t="str">
        <f t="shared" si="26"/>
        <v>2024-2</v>
      </c>
    </row>
    <row r="520" spans="1:8" x14ac:dyDescent="0.3">
      <c r="A520" t="s">
        <v>50</v>
      </c>
      <c r="B520" t="s">
        <v>245</v>
      </c>
      <c r="C520" t="s">
        <v>321</v>
      </c>
      <c r="D520">
        <v>64638</v>
      </c>
      <c r="E520">
        <v>7</v>
      </c>
      <c r="F520">
        <f t="shared" si="24"/>
        <v>2024</v>
      </c>
      <c r="G520">
        <f t="shared" si="25"/>
        <v>2</v>
      </c>
      <c r="H520" t="str">
        <f t="shared" si="26"/>
        <v>2024-2</v>
      </c>
    </row>
    <row r="521" spans="1:8" x14ac:dyDescent="0.3">
      <c r="A521" t="s">
        <v>14</v>
      </c>
      <c r="B521" t="s">
        <v>199</v>
      </c>
      <c r="C521" t="s">
        <v>321</v>
      </c>
      <c r="D521">
        <v>42147</v>
      </c>
      <c r="E521">
        <v>7</v>
      </c>
      <c r="F521">
        <f t="shared" si="24"/>
        <v>2024</v>
      </c>
      <c r="G521">
        <f t="shared" si="25"/>
        <v>2</v>
      </c>
      <c r="H521" t="str">
        <f t="shared" si="26"/>
        <v>2024-2</v>
      </c>
    </row>
    <row r="522" spans="1:8" x14ac:dyDescent="0.3">
      <c r="A522" t="s">
        <v>14</v>
      </c>
      <c r="B522" t="s">
        <v>23</v>
      </c>
      <c r="C522" t="s">
        <v>322</v>
      </c>
      <c r="D522">
        <v>72274</v>
      </c>
      <c r="E522">
        <v>7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3">
      <c r="A523" t="s">
        <v>18</v>
      </c>
      <c r="B523" t="s">
        <v>22</v>
      </c>
      <c r="C523" t="s">
        <v>322</v>
      </c>
      <c r="D523">
        <v>86299</v>
      </c>
      <c r="E523">
        <v>6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x14ac:dyDescent="0.3">
      <c r="A524" t="s">
        <v>40</v>
      </c>
      <c r="B524" t="s">
        <v>323</v>
      </c>
      <c r="C524" t="s">
        <v>322</v>
      </c>
      <c r="D524">
        <v>62670</v>
      </c>
      <c r="E524">
        <v>2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3">
      <c r="A525" t="s">
        <v>8</v>
      </c>
      <c r="B525" t="s">
        <v>217</v>
      </c>
      <c r="C525" t="s">
        <v>322</v>
      </c>
      <c r="D525">
        <v>21111</v>
      </c>
      <c r="E525">
        <v>9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x14ac:dyDescent="0.3">
      <c r="A526" t="s">
        <v>5</v>
      </c>
      <c r="B526" t="s">
        <v>312</v>
      </c>
      <c r="C526" t="s">
        <v>322</v>
      </c>
      <c r="D526">
        <v>29978</v>
      </c>
      <c r="E526">
        <v>6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3">
      <c r="A527" t="s">
        <v>14</v>
      </c>
      <c r="B527" t="s">
        <v>324</v>
      </c>
      <c r="C527" t="s">
        <v>322</v>
      </c>
      <c r="D527">
        <v>50099</v>
      </c>
      <c r="E527">
        <v>8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3">
      <c r="A528" t="s">
        <v>8</v>
      </c>
      <c r="B528" t="s">
        <v>225</v>
      </c>
      <c r="C528" t="s">
        <v>325</v>
      </c>
      <c r="D528">
        <v>30222</v>
      </c>
      <c r="E528">
        <v>9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x14ac:dyDescent="0.3">
      <c r="A529" t="s">
        <v>28</v>
      </c>
      <c r="B529" t="s">
        <v>183</v>
      </c>
      <c r="C529" t="s">
        <v>326</v>
      </c>
      <c r="D529">
        <v>21984</v>
      </c>
      <c r="E529">
        <v>1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x14ac:dyDescent="0.3">
      <c r="A530" t="s">
        <v>18</v>
      </c>
      <c r="B530" t="s">
        <v>55</v>
      </c>
      <c r="C530" t="s">
        <v>326</v>
      </c>
      <c r="D530">
        <v>83025</v>
      </c>
      <c r="E530">
        <v>6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x14ac:dyDescent="0.3">
      <c r="A531" t="s">
        <v>5</v>
      </c>
      <c r="B531" t="s">
        <v>69</v>
      </c>
      <c r="C531" t="s">
        <v>327</v>
      </c>
      <c r="D531">
        <v>66239</v>
      </c>
      <c r="E531">
        <v>6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x14ac:dyDescent="0.3">
      <c r="A532" t="s">
        <v>40</v>
      </c>
      <c r="B532" t="s">
        <v>22</v>
      </c>
      <c r="C532" t="s">
        <v>327</v>
      </c>
      <c r="D532">
        <v>54250</v>
      </c>
      <c r="E532">
        <v>8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x14ac:dyDescent="0.3">
      <c r="A533" t="s">
        <v>14</v>
      </c>
      <c r="B533" t="s">
        <v>168</v>
      </c>
      <c r="C533" t="s">
        <v>327</v>
      </c>
      <c r="D533">
        <v>24414</v>
      </c>
      <c r="E533">
        <v>6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x14ac:dyDescent="0.3">
      <c r="A534" t="s">
        <v>28</v>
      </c>
      <c r="B534" t="s">
        <v>60</v>
      </c>
      <c r="C534" t="s">
        <v>328</v>
      </c>
      <c r="D534">
        <v>62312</v>
      </c>
      <c r="E534">
        <v>9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x14ac:dyDescent="0.3">
      <c r="A535" t="s">
        <v>47</v>
      </c>
      <c r="B535" t="s">
        <v>83</v>
      </c>
      <c r="C535" t="s">
        <v>329</v>
      </c>
      <c r="D535">
        <v>47342</v>
      </c>
      <c r="E535">
        <v>9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x14ac:dyDescent="0.3">
      <c r="A536" t="s">
        <v>14</v>
      </c>
      <c r="B536" t="s">
        <v>20</v>
      </c>
      <c r="C536" t="s">
        <v>329</v>
      </c>
      <c r="D536">
        <v>74464</v>
      </c>
      <c r="E536">
        <v>8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x14ac:dyDescent="0.3">
      <c r="A537" t="s">
        <v>8</v>
      </c>
      <c r="B537" t="s">
        <v>150</v>
      </c>
      <c r="C537" t="s">
        <v>329</v>
      </c>
      <c r="D537">
        <v>30319</v>
      </c>
      <c r="E537">
        <v>9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x14ac:dyDescent="0.3">
      <c r="A538" t="s">
        <v>10</v>
      </c>
      <c r="B538" t="s">
        <v>126</v>
      </c>
      <c r="C538" t="s">
        <v>329</v>
      </c>
      <c r="D538">
        <v>61185</v>
      </c>
      <c r="E538">
        <v>7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x14ac:dyDescent="0.3">
      <c r="A539" t="s">
        <v>47</v>
      </c>
      <c r="B539" t="s">
        <v>232</v>
      </c>
      <c r="C539" t="s">
        <v>329</v>
      </c>
      <c r="D539">
        <v>48746</v>
      </c>
      <c r="E539">
        <v>9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x14ac:dyDescent="0.3">
      <c r="A540" t="s">
        <v>40</v>
      </c>
      <c r="B540" t="s">
        <v>200</v>
      </c>
      <c r="C540" t="s">
        <v>330</v>
      </c>
      <c r="D540">
        <v>55398</v>
      </c>
      <c r="E540">
        <v>2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x14ac:dyDescent="0.3">
      <c r="A541" t="s">
        <v>18</v>
      </c>
      <c r="B541" t="s">
        <v>140</v>
      </c>
      <c r="C541" t="s">
        <v>330</v>
      </c>
      <c r="D541">
        <v>81011</v>
      </c>
      <c r="E541">
        <v>7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x14ac:dyDescent="0.3">
      <c r="A542" t="s">
        <v>12</v>
      </c>
      <c r="B542" t="s">
        <v>141</v>
      </c>
      <c r="C542" t="s">
        <v>330</v>
      </c>
      <c r="D542">
        <v>67613</v>
      </c>
      <c r="E542">
        <v>7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3">
      <c r="A543" t="s">
        <v>28</v>
      </c>
      <c r="B543" t="s">
        <v>49</v>
      </c>
      <c r="C543" t="s">
        <v>331</v>
      </c>
      <c r="D543">
        <v>70855</v>
      </c>
      <c r="E543">
        <v>7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x14ac:dyDescent="0.3">
      <c r="A544" t="s">
        <v>40</v>
      </c>
      <c r="B544" t="s">
        <v>190</v>
      </c>
      <c r="C544" t="s">
        <v>331</v>
      </c>
      <c r="D544">
        <v>28565</v>
      </c>
      <c r="E544">
        <v>3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x14ac:dyDescent="0.3">
      <c r="A545" t="s">
        <v>14</v>
      </c>
      <c r="B545" t="s">
        <v>53</v>
      </c>
      <c r="C545" t="s">
        <v>331</v>
      </c>
      <c r="D545">
        <v>72825</v>
      </c>
      <c r="E545">
        <v>7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x14ac:dyDescent="0.3">
      <c r="A546" t="s">
        <v>45</v>
      </c>
      <c r="B546" t="s">
        <v>332</v>
      </c>
      <c r="C546" t="s">
        <v>331</v>
      </c>
      <c r="D546">
        <v>23256</v>
      </c>
      <c r="E546">
        <v>5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3">
      <c r="A547" t="s">
        <v>50</v>
      </c>
      <c r="B547" t="s">
        <v>191</v>
      </c>
      <c r="C547" t="s">
        <v>331</v>
      </c>
      <c r="D547">
        <v>28331</v>
      </c>
      <c r="E547">
        <v>6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3">
      <c r="A548" t="s">
        <v>40</v>
      </c>
      <c r="B548" t="s">
        <v>100</v>
      </c>
      <c r="C548" t="s">
        <v>331</v>
      </c>
      <c r="D548">
        <v>47784</v>
      </c>
      <c r="E548">
        <v>8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x14ac:dyDescent="0.3">
      <c r="A549" t="s">
        <v>14</v>
      </c>
      <c r="B549" t="s">
        <v>146</v>
      </c>
      <c r="C549" t="s">
        <v>331</v>
      </c>
      <c r="D549">
        <v>61751</v>
      </c>
      <c r="E549">
        <v>6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x14ac:dyDescent="0.3">
      <c r="A550" t="s">
        <v>8</v>
      </c>
      <c r="B550" t="s">
        <v>84</v>
      </c>
      <c r="C550" t="s">
        <v>331</v>
      </c>
      <c r="D550">
        <v>98872</v>
      </c>
      <c r="E550">
        <v>4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x14ac:dyDescent="0.3">
      <c r="A551" t="s">
        <v>18</v>
      </c>
      <c r="B551" t="s">
        <v>48</v>
      </c>
      <c r="C551" t="s">
        <v>331</v>
      </c>
      <c r="D551">
        <v>87067</v>
      </c>
      <c r="E551">
        <v>2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x14ac:dyDescent="0.3">
      <c r="A552" t="s">
        <v>45</v>
      </c>
      <c r="B552" t="s">
        <v>36</v>
      </c>
      <c r="C552" t="s">
        <v>333</v>
      </c>
      <c r="D552">
        <v>39929</v>
      </c>
      <c r="E552">
        <v>6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x14ac:dyDescent="0.3">
      <c r="A553" t="s">
        <v>40</v>
      </c>
      <c r="B553" t="s">
        <v>51</v>
      </c>
      <c r="C553" t="s">
        <v>333</v>
      </c>
      <c r="D553">
        <v>67822</v>
      </c>
      <c r="E553">
        <v>7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3">
      <c r="A554" t="s">
        <v>28</v>
      </c>
      <c r="B554" t="s">
        <v>193</v>
      </c>
      <c r="C554" t="s">
        <v>334</v>
      </c>
      <c r="D554">
        <v>25064</v>
      </c>
      <c r="E554">
        <v>3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3">
      <c r="A555" t="s">
        <v>40</v>
      </c>
      <c r="B555" t="s">
        <v>262</v>
      </c>
      <c r="C555" t="s">
        <v>334</v>
      </c>
      <c r="D555">
        <v>32137</v>
      </c>
      <c r="E555">
        <v>7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x14ac:dyDescent="0.3">
      <c r="A556" t="s">
        <v>47</v>
      </c>
      <c r="B556" t="s">
        <v>200</v>
      </c>
      <c r="C556" t="s">
        <v>335</v>
      </c>
      <c r="D556">
        <v>16022</v>
      </c>
      <c r="E556">
        <v>4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3">
      <c r="A557" t="s">
        <v>8</v>
      </c>
      <c r="B557" t="s">
        <v>166</v>
      </c>
      <c r="C557" t="s">
        <v>335</v>
      </c>
      <c r="D557">
        <v>92033</v>
      </c>
      <c r="E557">
        <v>4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3">
      <c r="A558" t="s">
        <v>8</v>
      </c>
      <c r="B558" t="s">
        <v>258</v>
      </c>
      <c r="C558" t="s">
        <v>335</v>
      </c>
      <c r="D558">
        <v>77716</v>
      </c>
      <c r="E558">
        <v>6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x14ac:dyDescent="0.3">
      <c r="A559" t="s">
        <v>40</v>
      </c>
      <c r="B559" t="s">
        <v>311</v>
      </c>
      <c r="C559" t="s">
        <v>336</v>
      </c>
      <c r="D559">
        <v>41149</v>
      </c>
      <c r="E559">
        <v>8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x14ac:dyDescent="0.3">
      <c r="A560" t="s">
        <v>40</v>
      </c>
      <c r="B560" t="s">
        <v>87</v>
      </c>
      <c r="C560" t="s">
        <v>336</v>
      </c>
      <c r="D560">
        <v>29067</v>
      </c>
      <c r="E560">
        <v>3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x14ac:dyDescent="0.3">
      <c r="A561" t="s">
        <v>8</v>
      </c>
      <c r="B561" t="s">
        <v>147</v>
      </c>
      <c r="C561" t="s">
        <v>337</v>
      </c>
      <c r="D561">
        <v>89255</v>
      </c>
      <c r="E561">
        <v>8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3">
      <c r="A562" t="s">
        <v>14</v>
      </c>
      <c r="B562" t="s">
        <v>176</v>
      </c>
      <c r="C562" t="s">
        <v>337</v>
      </c>
      <c r="D562">
        <v>88231</v>
      </c>
      <c r="E562">
        <v>7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3">
      <c r="A563" t="s">
        <v>10</v>
      </c>
      <c r="B563" t="s">
        <v>17</v>
      </c>
      <c r="C563" t="s">
        <v>337</v>
      </c>
      <c r="D563">
        <v>93902</v>
      </c>
      <c r="E563">
        <v>7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3">
      <c r="A564" t="s">
        <v>18</v>
      </c>
      <c r="B564" t="s">
        <v>35</v>
      </c>
      <c r="C564" t="s">
        <v>337</v>
      </c>
      <c r="D564">
        <v>76849</v>
      </c>
      <c r="E564">
        <v>8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3">
      <c r="A565" t="s">
        <v>14</v>
      </c>
      <c r="B565" t="s">
        <v>136</v>
      </c>
      <c r="C565" t="s">
        <v>337</v>
      </c>
      <c r="D565">
        <v>55967</v>
      </c>
      <c r="E565">
        <v>2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3">
      <c r="A566" t="s">
        <v>50</v>
      </c>
      <c r="B566" t="s">
        <v>338</v>
      </c>
      <c r="C566" t="s">
        <v>337</v>
      </c>
      <c r="D566">
        <v>47995</v>
      </c>
      <c r="E566">
        <v>7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x14ac:dyDescent="0.3">
      <c r="A567" t="s">
        <v>18</v>
      </c>
      <c r="B567" t="s">
        <v>185</v>
      </c>
      <c r="C567" t="s">
        <v>337</v>
      </c>
      <c r="D567">
        <v>12623</v>
      </c>
      <c r="E567">
        <v>7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x14ac:dyDescent="0.3">
      <c r="A568" t="s">
        <v>8</v>
      </c>
      <c r="B568" t="s">
        <v>25</v>
      </c>
      <c r="C568" t="s">
        <v>339</v>
      </c>
      <c r="D568">
        <v>31413</v>
      </c>
      <c r="E568">
        <v>3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x14ac:dyDescent="0.3">
      <c r="A569" t="s">
        <v>28</v>
      </c>
      <c r="B569" t="s">
        <v>312</v>
      </c>
      <c r="C569" t="s">
        <v>339</v>
      </c>
      <c r="D569">
        <v>41282</v>
      </c>
      <c r="E569">
        <v>8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x14ac:dyDescent="0.3">
      <c r="A570" t="s">
        <v>40</v>
      </c>
      <c r="B570" t="s">
        <v>191</v>
      </c>
      <c r="C570" t="s">
        <v>339</v>
      </c>
      <c r="D570">
        <v>95509</v>
      </c>
      <c r="E570">
        <v>3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x14ac:dyDescent="0.3">
      <c r="A571" t="s">
        <v>21</v>
      </c>
      <c r="B571" t="s">
        <v>9</v>
      </c>
      <c r="C571" t="s">
        <v>340</v>
      </c>
      <c r="D571">
        <v>89836</v>
      </c>
      <c r="E571">
        <v>9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x14ac:dyDescent="0.3">
      <c r="A572" t="s">
        <v>5</v>
      </c>
      <c r="B572" t="s">
        <v>178</v>
      </c>
      <c r="C572" t="s">
        <v>341</v>
      </c>
      <c r="D572">
        <v>61450</v>
      </c>
      <c r="E572">
        <v>2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x14ac:dyDescent="0.3">
      <c r="A573" t="s">
        <v>50</v>
      </c>
      <c r="B573" t="s">
        <v>71</v>
      </c>
      <c r="C573" t="s">
        <v>341</v>
      </c>
      <c r="D573">
        <v>64568</v>
      </c>
      <c r="E573">
        <v>9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x14ac:dyDescent="0.3">
      <c r="A574" t="s">
        <v>40</v>
      </c>
      <c r="B574" t="s">
        <v>124</v>
      </c>
      <c r="C574" t="s">
        <v>341</v>
      </c>
      <c r="D574">
        <v>22102</v>
      </c>
      <c r="E574">
        <v>1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x14ac:dyDescent="0.3">
      <c r="A575" t="s">
        <v>45</v>
      </c>
      <c r="B575" t="s">
        <v>227</v>
      </c>
      <c r="C575" t="s">
        <v>341</v>
      </c>
      <c r="D575">
        <v>43362</v>
      </c>
      <c r="E575">
        <v>5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x14ac:dyDescent="0.3">
      <c r="A576" t="s">
        <v>18</v>
      </c>
      <c r="B576" t="s">
        <v>117</v>
      </c>
      <c r="C576" t="s">
        <v>341</v>
      </c>
      <c r="D576">
        <v>26111</v>
      </c>
      <c r="E576">
        <v>0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x14ac:dyDescent="0.3">
      <c r="A577" t="s">
        <v>28</v>
      </c>
      <c r="B577" t="s">
        <v>315</v>
      </c>
      <c r="C577" t="s">
        <v>342</v>
      </c>
      <c r="D577">
        <v>48471</v>
      </c>
      <c r="E577">
        <v>9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x14ac:dyDescent="0.3">
      <c r="A578" t="s">
        <v>18</v>
      </c>
      <c r="B578" t="s">
        <v>270</v>
      </c>
      <c r="C578" t="s">
        <v>343</v>
      </c>
      <c r="D578">
        <v>87472</v>
      </c>
      <c r="E578">
        <v>8</v>
      </c>
      <c r="F578">
        <f t="shared" si="24"/>
        <v>2024</v>
      </c>
      <c r="G578">
        <f t="shared" si="25"/>
        <v>4</v>
      </c>
      <c r="H578" t="str">
        <f t="shared" si="26"/>
        <v>2024-4</v>
      </c>
    </row>
    <row r="579" spans="1:8" x14ac:dyDescent="0.3">
      <c r="A579" t="s">
        <v>10</v>
      </c>
      <c r="B579" t="s">
        <v>208</v>
      </c>
      <c r="C579" t="s">
        <v>343</v>
      </c>
      <c r="D579">
        <v>79088</v>
      </c>
      <c r="E579">
        <v>7</v>
      </c>
      <c r="F579">
        <f t="shared" ref="F579:F642" si="27">YEAR(C579)</f>
        <v>2024</v>
      </c>
      <c r="G579">
        <f t="shared" ref="G579:G642" si="28">MONTH(C579)</f>
        <v>4</v>
      </c>
      <c r="H579" t="str">
        <f t="shared" ref="H579:H642" si="29">F579&amp;"-"&amp;G579</f>
        <v>2024-4</v>
      </c>
    </row>
    <row r="580" spans="1:8" x14ac:dyDescent="0.3">
      <c r="A580" t="s">
        <v>45</v>
      </c>
      <c r="B580" t="s">
        <v>156</v>
      </c>
      <c r="C580" t="s">
        <v>343</v>
      </c>
      <c r="D580">
        <v>95906</v>
      </c>
      <c r="E580">
        <v>8</v>
      </c>
      <c r="F580">
        <f t="shared" si="27"/>
        <v>2024</v>
      </c>
      <c r="G580">
        <f t="shared" si="28"/>
        <v>4</v>
      </c>
      <c r="H580" t="str">
        <f t="shared" si="29"/>
        <v>2024-4</v>
      </c>
    </row>
    <row r="581" spans="1:8" x14ac:dyDescent="0.3">
      <c r="A581" t="s">
        <v>8</v>
      </c>
      <c r="B581" t="s">
        <v>122</v>
      </c>
      <c r="C581" t="s">
        <v>343</v>
      </c>
      <c r="D581">
        <v>67572</v>
      </c>
      <c r="E581">
        <v>5</v>
      </c>
      <c r="F581">
        <f t="shared" si="27"/>
        <v>2024</v>
      </c>
      <c r="G581">
        <f t="shared" si="28"/>
        <v>4</v>
      </c>
      <c r="H581" t="str">
        <f t="shared" si="29"/>
        <v>2024-4</v>
      </c>
    </row>
    <row r="582" spans="1:8" x14ac:dyDescent="0.3">
      <c r="A582" t="s">
        <v>8</v>
      </c>
      <c r="B582" t="s">
        <v>119</v>
      </c>
      <c r="C582" t="s">
        <v>343</v>
      </c>
      <c r="D582">
        <v>61038</v>
      </c>
      <c r="E582">
        <v>7</v>
      </c>
      <c r="F582">
        <f t="shared" si="27"/>
        <v>2024</v>
      </c>
      <c r="G582">
        <f t="shared" si="28"/>
        <v>4</v>
      </c>
      <c r="H582" t="str">
        <f t="shared" si="29"/>
        <v>2024-4</v>
      </c>
    </row>
    <row r="583" spans="1:8" x14ac:dyDescent="0.3">
      <c r="A583" t="s">
        <v>10</v>
      </c>
      <c r="B583" t="s">
        <v>22</v>
      </c>
      <c r="C583" t="s">
        <v>343</v>
      </c>
      <c r="D583">
        <v>46547</v>
      </c>
      <c r="E583">
        <v>6</v>
      </c>
      <c r="F583">
        <f t="shared" si="27"/>
        <v>2024</v>
      </c>
      <c r="G583">
        <f t="shared" si="28"/>
        <v>4</v>
      </c>
      <c r="H583" t="str">
        <f t="shared" si="29"/>
        <v>2024-4</v>
      </c>
    </row>
    <row r="584" spans="1:8" x14ac:dyDescent="0.3">
      <c r="A584" t="s">
        <v>47</v>
      </c>
      <c r="B584" t="s">
        <v>126</v>
      </c>
      <c r="C584" t="s">
        <v>343</v>
      </c>
      <c r="D584">
        <v>42538</v>
      </c>
      <c r="E584">
        <v>3</v>
      </c>
      <c r="F584">
        <f t="shared" si="27"/>
        <v>2024</v>
      </c>
      <c r="G584">
        <f t="shared" si="28"/>
        <v>4</v>
      </c>
      <c r="H584" t="str">
        <f t="shared" si="29"/>
        <v>2024-4</v>
      </c>
    </row>
    <row r="585" spans="1:8" x14ac:dyDescent="0.3">
      <c r="A585" t="s">
        <v>21</v>
      </c>
      <c r="B585" t="s">
        <v>56</v>
      </c>
      <c r="C585" t="s">
        <v>343</v>
      </c>
      <c r="D585">
        <v>89539</v>
      </c>
      <c r="E585">
        <v>4</v>
      </c>
      <c r="F585">
        <f t="shared" si="27"/>
        <v>2024</v>
      </c>
      <c r="G585">
        <f t="shared" si="28"/>
        <v>4</v>
      </c>
      <c r="H585" t="str">
        <f t="shared" si="29"/>
        <v>2024-4</v>
      </c>
    </row>
    <row r="586" spans="1:8" x14ac:dyDescent="0.3">
      <c r="A586" t="s">
        <v>50</v>
      </c>
      <c r="B586" t="s">
        <v>19</v>
      </c>
      <c r="C586" t="s">
        <v>343</v>
      </c>
      <c r="D586">
        <v>56060</v>
      </c>
      <c r="E586">
        <v>6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x14ac:dyDescent="0.3">
      <c r="A587" t="s">
        <v>50</v>
      </c>
      <c r="B587" t="s">
        <v>63</v>
      </c>
      <c r="C587" t="s">
        <v>343</v>
      </c>
      <c r="D587">
        <v>35691</v>
      </c>
      <c r="E587">
        <v>8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x14ac:dyDescent="0.3">
      <c r="A588" t="s">
        <v>10</v>
      </c>
      <c r="B588" t="s">
        <v>174</v>
      </c>
      <c r="C588" t="s">
        <v>343</v>
      </c>
      <c r="D588">
        <v>48772</v>
      </c>
      <c r="E588">
        <v>7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3">
      <c r="A589" t="s">
        <v>21</v>
      </c>
      <c r="B589" t="s">
        <v>85</v>
      </c>
      <c r="C589" t="s">
        <v>344</v>
      </c>
      <c r="D589">
        <v>47029</v>
      </c>
      <c r="E589">
        <v>4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x14ac:dyDescent="0.3">
      <c r="A590" t="s">
        <v>12</v>
      </c>
      <c r="B590" t="s">
        <v>81</v>
      </c>
      <c r="C590" t="s">
        <v>344</v>
      </c>
      <c r="D590">
        <v>59936</v>
      </c>
      <c r="E590">
        <v>7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x14ac:dyDescent="0.3">
      <c r="A591" t="s">
        <v>8</v>
      </c>
      <c r="B591" t="s">
        <v>46</v>
      </c>
      <c r="C591" t="s">
        <v>344</v>
      </c>
      <c r="D591">
        <v>12592</v>
      </c>
      <c r="E591">
        <v>1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3">
      <c r="A592" t="s">
        <v>8</v>
      </c>
      <c r="B592" t="s">
        <v>111</v>
      </c>
      <c r="C592" t="s">
        <v>344</v>
      </c>
      <c r="D592">
        <v>59337</v>
      </c>
      <c r="E592">
        <v>3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x14ac:dyDescent="0.3">
      <c r="A593" t="s">
        <v>12</v>
      </c>
      <c r="B593" t="s">
        <v>83</v>
      </c>
      <c r="C593" t="s">
        <v>345</v>
      </c>
      <c r="D593">
        <v>49633</v>
      </c>
      <c r="E593">
        <v>6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3">
      <c r="A594" t="s">
        <v>45</v>
      </c>
      <c r="B594" t="s">
        <v>169</v>
      </c>
      <c r="C594" t="s">
        <v>345</v>
      </c>
      <c r="D594">
        <v>66389</v>
      </c>
      <c r="E594">
        <v>6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x14ac:dyDescent="0.3">
      <c r="A595" t="s">
        <v>18</v>
      </c>
      <c r="B595" t="s">
        <v>70</v>
      </c>
      <c r="C595" t="s">
        <v>345</v>
      </c>
      <c r="D595">
        <v>64474</v>
      </c>
      <c r="E595">
        <v>6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x14ac:dyDescent="0.3">
      <c r="A596" t="s">
        <v>45</v>
      </c>
      <c r="B596" t="s">
        <v>256</v>
      </c>
      <c r="C596" t="s">
        <v>346</v>
      </c>
      <c r="D596">
        <v>25680</v>
      </c>
      <c r="E596">
        <v>8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x14ac:dyDescent="0.3">
      <c r="A597" t="s">
        <v>14</v>
      </c>
      <c r="B597" t="s">
        <v>39</v>
      </c>
      <c r="C597" t="s">
        <v>347</v>
      </c>
      <c r="D597">
        <v>25014</v>
      </c>
      <c r="E597">
        <v>6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x14ac:dyDescent="0.3">
      <c r="A598" t="s">
        <v>21</v>
      </c>
      <c r="B598" t="s">
        <v>58</v>
      </c>
      <c r="C598" t="s">
        <v>347</v>
      </c>
      <c r="D598">
        <v>42324</v>
      </c>
      <c r="E598">
        <v>6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3">
      <c r="A599" t="s">
        <v>14</v>
      </c>
      <c r="B599" t="s">
        <v>25</v>
      </c>
      <c r="C599" t="s">
        <v>347</v>
      </c>
      <c r="D599">
        <v>47577</v>
      </c>
      <c r="E599">
        <v>2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x14ac:dyDescent="0.3">
      <c r="A600" t="s">
        <v>8</v>
      </c>
      <c r="B600" t="s">
        <v>70</v>
      </c>
      <c r="C600" t="s">
        <v>347</v>
      </c>
      <c r="D600">
        <v>12232</v>
      </c>
      <c r="E600">
        <v>6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3">
      <c r="A601" t="s">
        <v>21</v>
      </c>
      <c r="B601" t="s">
        <v>43</v>
      </c>
      <c r="C601" t="s">
        <v>348</v>
      </c>
      <c r="D601">
        <v>35969</v>
      </c>
      <c r="E601">
        <v>4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x14ac:dyDescent="0.3">
      <c r="A602" t="s">
        <v>47</v>
      </c>
      <c r="B602" t="s">
        <v>17</v>
      </c>
      <c r="C602" t="s">
        <v>348</v>
      </c>
      <c r="D602">
        <v>75582</v>
      </c>
      <c r="E602">
        <v>5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x14ac:dyDescent="0.3">
      <c r="A603" t="s">
        <v>14</v>
      </c>
      <c r="B603" t="s">
        <v>66</v>
      </c>
      <c r="C603" t="s">
        <v>348</v>
      </c>
      <c r="D603">
        <v>22897</v>
      </c>
      <c r="E603">
        <v>6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3">
      <c r="A604" t="s">
        <v>18</v>
      </c>
      <c r="B604" t="s">
        <v>122</v>
      </c>
      <c r="C604" t="s">
        <v>348</v>
      </c>
      <c r="D604">
        <v>63420</v>
      </c>
      <c r="E604">
        <v>3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x14ac:dyDescent="0.3">
      <c r="A605" t="s">
        <v>40</v>
      </c>
      <c r="B605" t="s">
        <v>324</v>
      </c>
      <c r="C605" t="s">
        <v>348</v>
      </c>
      <c r="D605">
        <v>83021</v>
      </c>
      <c r="E605">
        <v>8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3">
      <c r="A606" t="s">
        <v>12</v>
      </c>
      <c r="B606" t="s">
        <v>221</v>
      </c>
      <c r="C606" t="s">
        <v>348</v>
      </c>
      <c r="D606">
        <v>59980</v>
      </c>
      <c r="E606">
        <v>8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3">
      <c r="A607" t="s">
        <v>47</v>
      </c>
      <c r="B607" t="s">
        <v>178</v>
      </c>
      <c r="C607" t="s">
        <v>348</v>
      </c>
      <c r="D607">
        <v>63200</v>
      </c>
      <c r="E607">
        <v>3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x14ac:dyDescent="0.3">
      <c r="A608" t="s">
        <v>10</v>
      </c>
      <c r="B608" t="s">
        <v>312</v>
      </c>
      <c r="C608" t="s">
        <v>348</v>
      </c>
      <c r="D608">
        <v>56312</v>
      </c>
      <c r="E608">
        <v>9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3">
      <c r="A609" t="s">
        <v>8</v>
      </c>
      <c r="B609" t="s">
        <v>61</v>
      </c>
      <c r="C609" t="s">
        <v>348</v>
      </c>
      <c r="D609">
        <v>62079</v>
      </c>
      <c r="E609">
        <v>6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3">
      <c r="A610" t="s">
        <v>45</v>
      </c>
      <c r="B610" t="s">
        <v>258</v>
      </c>
      <c r="C610" t="s">
        <v>349</v>
      </c>
      <c r="D610">
        <v>38895</v>
      </c>
      <c r="E610">
        <v>9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3">
      <c r="A611" t="s">
        <v>10</v>
      </c>
      <c r="B611" t="s">
        <v>251</v>
      </c>
      <c r="C611" t="s">
        <v>349</v>
      </c>
      <c r="D611">
        <v>34093</v>
      </c>
      <c r="E611">
        <v>6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x14ac:dyDescent="0.3">
      <c r="A612" t="s">
        <v>50</v>
      </c>
      <c r="B612" t="s">
        <v>99</v>
      </c>
      <c r="C612" t="s">
        <v>349</v>
      </c>
      <c r="D612">
        <v>21986</v>
      </c>
      <c r="E612">
        <v>8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x14ac:dyDescent="0.3">
      <c r="A613" t="s">
        <v>8</v>
      </c>
      <c r="B613" t="s">
        <v>103</v>
      </c>
      <c r="C613" t="s">
        <v>349</v>
      </c>
      <c r="D613">
        <v>55886</v>
      </c>
      <c r="E613">
        <v>5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x14ac:dyDescent="0.3">
      <c r="A614" t="s">
        <v>47</v>
      </c>
      <c r="B614" t="s">
        <v>92</v>
      </c>
      <c r="C614" t="s">
        <v>350</v>
      </c>
      <c r="D614">
        <v>40208</v>
      </c>
      <c r="E614">
        <v>6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x14ac:dyDescent="0.3">
      <c r="A615" t="s">
        <v>12</v>
      </c>
      <c r="B615" t="s">
        <v>173</v>
      </c>
      <c r="C615" t="s">
        <v>350</v>
      </c>
      <c r="D615">
        <v>58035</v>
      </c>
      <c r="E615">
        <v>6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3">
      <c r="A616" t="s">
        <v>10</v>
      </c>
      <c r="B616" t="s">
        <v>130</v>
      </c>
      <c r="C616" t="s">
        <v>350</v>
      </c>
      <c r="D616">
        <v>90951</v>
      </c>
      <c r="E616">
        <v>9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x14ac:dyDescent="0.3">
      <c r="A617" t="s">
        <v>21</v>
      </c>
      <c r="B617" t="s">
        <v>167</v>
      </c>
      <c r="C617" t="s">
        <v>351</v>
      </c>
      <c r="D617">
        <v>70067</v>
      </c>
      <c r="E617">
        <v>3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3">
      <c r="A618" t="s">
        <v>5</v>
      </c>
      <c r="B618" t="s">
        <v>176</v>
      </c>
      <c r="C618" t="s">
        <v>351</v>
      </c>
      <c r="D618">
        <v>42602</v>
      </c>
      <c r="E618">
        <v>2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x14ac:dyDescent="0.3">
      <c r="A619" t="s">
        <v>18</v>
      </c>
      <c r="B619" t="s">
        <v>147</v>
      </c>
      <c r="C619" t="s">
        <v>352</v>
      </c>
      <c r="D619">
        <v>63188</v>
      </c>
      <c r="E619">
        <v>4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x14ac:dyDescent="0.3">
      <c r="A620" t="s">
        <v>28</v>
      </c>
      <c r="B620" t="s">
        <v>49</v>
      </c>
      <c r="C620" t="s">
        <v>352</v>
      </c>
      <c r="D620">
        <v>92700</v>
      </c>
      <c r="E620">
        <v>0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x14ac:dyDescent="0.3">
      <c r="A621" t="s">
        <v>5</v>
      </c>
      <c r="B621" t="s">
        <v>289</v>
      </c>
      <c r="C621" t="s">
        <v>352</v>
      </c>
      <c r="D621">
        <v>55184</v>
      </c>
      <c r="E621">
        <v>9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x14ac:dyDescent="0.3">
      <c r="A622" t="s">
        <v>50</v>
      </c>
      <c r="B622" t="s">
        <v>92</v>
      </c>
      <c r="C622" t="s">
        <v>352</v>
      </c>
      <c r="D622">
        <v>70727</v>
      </c>
      <c r="E622">
        <v>8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3">
      <c r="A623" t="s">
        <v>28</v>
      </c>
      <c r="B623" t="s">
        <v>100</v>
      </c>
      <c r="C623" t="s">
        <v>352</v>
      </c>
      <c r="D623">
        <v>65723</v>
      </c>
      <c r="E623">
        <v>7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x14ac:dyDescent="0.3">
      <c r="A624" t="s">
        <v>5</v>
      </c>
      <c r="B624" t="s">
        <v>185</v>
      </c>
      <c r="C624" t="s">
        <v>352</v>
      </c>
      <c r="D624">
        <v>67772</v>
      </c>
      <c r="E624">
        <v>0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x14ac:dyDescent="0.3">
      <c r="A625" t="s">
        <v>18</v>
      </c>
      <c r="B625" t="s">
        <v>124</v>
      </c>
      <c r="C625" t="s">
        <v>352</v>
      </c>
      <c r="D625">
        <v>47882</v>
      </c>
      <c r="E625">
        <v>4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x14ac:dyDescent="0.3">
      <c r="A626" t="s">
        <v>18</v>
      </c>
      <c r="B626" t="s">
        <v>174</v>
      </c>
      <c r="C626" t="s">
        <v>352</v>
      </c>
      <c r="D626">
        <v>20896</v>
      </c>
      <c r="E626">
        <v>9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x14ac:dyDescent="0.3">
      <c r="A627" t="s">
        <v>50</v>
      </c>
      <c r="B627" t="s">
        <v>85</v>
      </c>
      <c r="C627" t="s">
        <v>352</v>
      </c>
      <c r="D627">
        <v>40137</v>
      </c>
      <c r="E627">
        <v>8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x14ac:dyDescent="0.3">
      <c r="A628" t="s">
        <v>45</v>
      </c>
      <c r="B628" t="s">
        <v>268</v>
      </c>
      <c r="C628" t="s">
        <v>352</v>
      </c>
      <c r="D628">
        <v>70420</v>
      </c>
      <c r="E628">
        <v>10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x14ac:dyDescent="0.3">
      <c r="A629" t="s">
        <v>45</v>
      </c>
      <c r="B629" t="s">
        <v>126</v>
      </c>
      <c r="C629" t="s">
        <v>352</v>
      </c>
      <c r="D629">
        <v>90657</v>
      </c>
      <c r="E629">
        <v>3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x14ac:dyDescent="0.3">
      <c r="A630" t="s">
        <v>21</v>
      </c>
      <c r="B630" t="s">
        <v>109</v>
      </c>
      <c r="C630" t="s">
        <v>352</v>
      </c>
      <c r="D630">
        <v>68334</v>
      </c>
      <c r="E630">
        <v>6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x14ac:dyDescent="0.3">
      <c r="A631" t="s">
        <v>8</v>
      </c>
      <c r="B631" t="s">
        <v>200</v>
      </c>
      <c r="C631" t="s">
        <v>353</v>
      </c>
      <c r="D631">
        <v>47948</v>
      </c>
      <c r="E631">
        <v>8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x14ac:dyDescent="0.3">
      <c r="A632" t="s">
        <v>50</v>
      </c>
      <c r="B632" t="s">
        <v>205</v>
      </c>
      <c r="C632" t="s">
        <v>353</v>
      </c>
      <c r="D632">
        <v>25292</v>
      </c>
      <c r="E632">
        <v>8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x14ac:dyDescent="0.3">
      <c r="A633" t="s">
        <v>50</v>
      </c>
      <c r="B633" t="s">
        <v>181</v>
      </c>
      <c r="C633" t="s">
        <v>354</v>
      </c>
      <c r="D633">
        <v>65891</v>
      </c>
      <c r="E633">
        <v>6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x14ac:dyDescent="0.3">
      <c r="A634" t="s">
        <v>45</v>
      </c>
      <c r="B634" t="s">
        <v>100</v>
      </c>
      <c r="C634" t="s">
        <v>354</v>
      </c>
      <c r="D634">
        <v>64814</v>
      </c>
      <c r="E634">
        <v>10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3">
      <c r="A635" t="s">
        <v>14</v>
      </c>
      <c r="B635" t="s">
        <v>23</v>
      </c>
      <c r="C635" t="s">
        <v>354</v>
      </c>
      <c r="D635">
        <v>29030</v>
      </c>
      <c r="E635">
        <v>3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x14ac:dyDescent="0.3">
      <c r="A636" t="s">
        <v>14</v>
      </c>
      <c r="B636" t="s">
        <v>37</v>
      </c>
      <c r="C636" t="s">
        <v>354</v>
      </c>
      <c r="D636">
        <v>76644</v>
      </c>
      <c r="E636">
        <v>6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x14ac:dyDescent="0.3">
      <c r="A637" t="s">
        <v>40</v>
      </c>
      <c r="B637" t="s">
        <v>49</v>
      </c>
      <c r="C637" t="s">
        <v>355</v>
      </c>
      <c r="D637">
        <v>17868</v>
      </c>
      <c r="E637">
        <v>8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x14ac:dyDescent="0.3">
      <c r="A638" t="s">
        <v>5</v>
      </c>
      <c r="B638" t="s">
        <v>130</v>
      </c>
      <c r="C638" t="s">
        <v>355</v>
      </c>
      <c r="D638">
        <v>29262</v>
      </c>
      <c r="E638">
        <v>3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x14ac:dyDescent="0.3">
      <c r="A639" t="s">
        <v>5</v>
      </c>
      <c r="B639" t="s">
        <v>77</v>
      </c>
      <c r="C639" t="s">
        <v>356</v>
      </c>
      <c r="D639">
        <v>85918</v>
      </c>
      <c r="E639">
        <v>2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3">
      <c r="A640" t="s">
        <v>28</v>
      </c>
      <c r="B640" t="s">
        <v>80</v>
      </c>
      <c r="C640" t="s">
        <v>357</v>
      </c>
      <c r="D640">
        <v>92206</v>
      </c>
      <c r="E640">
        <v>6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x14ac:dyDescent="0.3">
      <c r="A641" t="s">
        <v>10</v>
      </c>
      <c r="B641" t="s">
        <v>46</v>
      </c>
      <c r="C641" t="s">
        <v>357</v>
      </c>
      <c r="D641">
        <v>97631</v>
      </c>
      <c r="E641">
        <v>3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x14ac:dyDescent="0.3">
      <c r="A642" t="s">
        <v>14</v>
      </c>
      <c r="B642" t="s">
        <v>19</v>
      </c>
      <c r="C642" t="s">
        <v>357</v>
      </c>
      <c r="D642">
        <v>65404</v>
      </c>
      <c r="E642">
        <v>6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x14ac:dyDescent="0.3">
      <c r="A643" t="s">
        <v>50</v>
      </c>
      <c r="B643" t="s">
        <v>190</v>
      </c>
      <c r="C643" t="s">
        <v>357</v>
      </c>
      <c r="D643">
        <v>62231</v>
      </c>
      <c r="E643">
        <v>0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x14ac:dyDescent="0.3">
      <c r="A644" t="s">
        <v>40</v>
      </c>
      <c r="B644" t="s">
        <v>62</v>
      </c>
      <c r="C644" t="s">
        <v>357</v>
      </c>
      <c r="D644">
        <v>39092</v>
      </c>
      <c r="E644">
        <v>9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x14ac:dyDescent="0.3">
      <c r="A645" t="s">
        <v>47</v>
      </c>
      <c r="B645" t="s">
        <v>273</v>
      </c>
      <c r="C645" t="s">
        <v>358</v>
      </c>
      <c r="D645">
        <v>24270</v>
      </c>
      <c r="E645">
        <v>6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x14ac:dyDescent="0.3">
      <c r="A646" t="s">
        <v>21</v>
      </c>
      <c r="B646" t="s">
        <v>176</v>
      </c>
      <c r="C646" t="s">
        <v>358</v>
      </c>
      <c r="D646">
        <v>75351</v>
      </c>
      <c r="E646">
        <v>9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x14ac:dyDescent="0.3">
      <c r="A647" t="s">
        <v>5</v>
      </c>
      <c r="B647" t="s">
        <v>154</v>
      </c>
      <c r="C647" t="s">
        <v>358</v>
      </c>
      <c r="D647">
        <v>83879</v>
      </c>
      <c r="E647">
        <v>4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x14ac:dyDescent="0.3">
      <c r="A648" t="s">
        <v>14</v>
      </c>
      <c r="B648" t="s">
        <v>72</v>
      </c>
      <c r="C648" t="s">
        <v>359</v>
      </c>
      <c r="D648">
        <v>94969</v>
      </c>
      <c r="E648">
        <v>0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x14ac:dyDescent="0.3">
      <c r="A649" t="s">
        <v>21</v>
      </c>
      <c r="B649" t="s">
        <v>360</v>
      </c>
      <c r="C649" t="s">
        <v>359</v>
      </c>
      <c r="D649">
        <v>29399</v>
      </c>
      <c r="E649">
        <v>6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x14ac:dyDescent="0.3">
      <c r="A650" t="s">
        <v>28</v>
      </c>
      <c r="B650" t="s">
        <v>262</v>
      </c>
      <c r="C650" t="s">
        <v>359</v>
      </c>
      <c r="D650">
        <v>43031</v>
      </c>
      <c r="E650">
        <v>7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x14ac:dyDescent="0.3">
      <c r="A651" t="s">
        <v>28</v>
      </c>
      <c r="B651" t="s">
        <v>137</v>
      </c>
      <c r="C651" t="s">
        <v>361</v>
      </c>
      <c r="D651">
        <v>67447</v>
      </c>
      <c r="E651">
        <v>8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x14ac:dyDescent="0.3">
      <c r="A652" t="s">
        <v>40</v>
      </c>
      <c r="B652" t="s">
        <v>77</v>
      </c>
      <c r="C652" t="s">
        <v>361</v>
      </c>
      <c r="D652">
        <v>91927</v>
      </c>
      <c r="E652">
        <v>4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x14ac:dyDescent="0.3">
      <c r="A653" t="s">
        <v>40</v>
      </c>
      <c r="B653" t="s">
        <v>193</v>
      </c>
      <c r="C653" t="s">
        <v>361</v>
      </c>
      <c r="D653">
        <v>31828</v>
      </c>
      <c r="E653">
        <v>3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x14ac:dyDescent="0.3">
      <c r="A654" t="s">
        <v>21</v>
      </c>
      <c r="B654" t="s">
        <v>245</v>
      </c>
      <c r="C654" t="s">
        <v>362</v>
      </c>
      <c r="D654">
        <v>19505</v>
      </c>
      <c r="E654">
        <v>8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x14ac:dyDescent="0.3">
      <c r="A655" t="s">
        <v>28</v>
      </c>
      <c r="B655" t="s">
        <v>94</v>
      </c>
      <c r="C655" t="s">
        <v>362</v>
      </c>
      <c r="D655">
        <v>14270</v>
      </c>
      <c r="E655">
        <v>7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3">
      <c r="A656" t="s">
        <v>21</v>
      </c>
      <c r="B656" t="s">
        <v>180</v>
      </c>
      <c r="C656" t="s">
        <v>363</v>
      </c>
      <c r="D656">
        <v>87229</v>
      </c>
      <c r="E656">
        <v>7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3">
      <c r="A657" t="s">
        <v>14</v>
      </c>
      <c r="B657" t="s">
        <v>364</v>
      </c>
      <c r="C657" t="s">
        <v>363</v>
      </c>
      <c r="D657">
        <v>31925</v>
      </c>
      <c r="E657">
        <v>7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x14ac:dyDescent="0.3">
      <c r="A658" t="s">
        <v>21</v>
      </c>
      <c r="B658" t="s">
        <v>192</v>
      </c>
      <c r="C658" t="s">
        <v>363</v>
      </c>
      <c r="D658">
        <v>34468</v>
      </c>
      <c r="E658">
        <v>6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x14ac:dyDescent="0.3">
      <c r="A659" t="s">
        <v>50</v>
      </c>
      <c r="B659" t="s">
        <v>302</v>
      </c>
      <c r="C659" t="s">
        <v>363</v>
      </c>
      <c r="D659">
        <v>44558</v>
      </c>
      <c r="E659">
        <v>7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3">
      <c r="A660" t="s">
        <v>5</v>
      </c>
      <c r="B660" t="s">
        <v>152</v>
      </c>
      <c r="C660" t="s">
        <v>363</v>
      </c>
      <c r="D660">
        <v>25879</v>
      </c>
      <c r="E660">
        <v>6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3">
      <c r="A661" t="s">
        <v>12</v>
      </c>
      <c r="B661" t="s">
        <v>71</v>
      </c>
      <c r="C661" t="s">
        <v>363</v>
      </c>
      <c r="D661">
        <v>32402</v>
      </c>
      <c r="E661">
        <v>6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3">
      <c r="A662" t="s">
        <v>28</v>
      </c>
      <c r="B662" t="s">
        <v>302</v>
      </c>
      <c r="C662" t="s">
        <v>363</v>
      </c>
      <c r="D662">
        <v>43890</v>
      </c>
      <c r="E662">
        <v>1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3">
      <c r="A663" t="s">
        <v>8</v>
      </c>
      <c r="B663" t="s">
        <v>100</v>
      </c>
      <c r="C663" t="s">
        <v>365</v>
      </c>
      <c r="D663">
        <v>73703</v>
      </c>
      <c r="E663">
        <v>8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x14ac:dyDescent="0.3">
      <c r="A664" t="s">
        <v>8</v>
      </c>
      <c r="B664" t="s">
        <v>112</v>
      </c>
      <c r="C664" t="s">
        <v>365</v>
      </c>
      <c r="D664">
        <v>84876</v>
      </c>
      <c r="E664">
        <v>7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3">
      <c r="A665" t="s">
        <v>21</v>
      </c>
      <c r="B665" t="s">
        <v>116</v>
      </c>
      <c r="C665" t="s">
        <v>365</v>
      </c>
      <c r="D665">
        <v>10151</v>
      </c>
      <c r="E665">
        <v>6</v>
      </c>
      <c r="F665">
        <f t="shared" si="30"/>
        <v>2024</v>
      </c>
      <c r="G665">
        <f t="shared" si="31"/>
        <v>4</v>
      </c>
      <c r="H665" t="str">
        <f t="shared" si="32"/>
        <v>2024-4</v>
      </c>
    </row>
    <row r="666" spans="1:8" x14ac:dyDescent="0.3">
      <c r="A666" t="s">
        <v>21</v>
      </c>
      <c r="B666" t="s">
        <v>9</v>
      </c>
      <c r="C666" t="s">
        <v>366</v>
      </c>
      <c r="D666">
        <v>50473</v>
      </c>
      <c r="E666">
        <v>7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x14ac:dyDescent="0.3">
      <c r="A667" t="s">
        <v>10</v>
      </c>
      <c r="B667" t="s">
        <v>166</v>
      </c>
      <c r="C667" t="s">
        <v>366</v>
      </c>
      <c r="D667">
        <v>53841</v>
      </c>
      <c r="E667">
        <v>9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x14ac:dyDescent="0.3">
      <c r="A668" t="s">
        <v>8</v>
      </c>
      <c r="B668" t="s">
        <v>17</v>
      </c>
      <c r="C668" t="s">
        <v>366</v>
      </c>
      <c r="D668">
        <v>75550</v>
      </c>
      <c r="E668">
        <v>0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x14ac:dyDescent="0.3">
      <c r="A669" t="s">
        <v>47</v>
      </c>
      <c r="B669" t="s">
        <v>77</v>
      </c>
      <c r="C669" t="s">
        <v>366</v>
      </c>
      <c r="D669">
        <v>42724</v>
      </c>
      <c r="E669">
        <v>5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3">
      <c r="A670" t="s">
        <v>47</v>
      </c>
      <c r="B670" t="s">
        <v>51</v>
      </c>
      <c r="C670" t="s">
        <v>366</v>
      </c>
      <c r="D670">
        <v>14969</v>
      </c>
      <c r="E670">
        <v>4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3">
      <c r="A671" t="s">
        <v>47</v>
      </c>
      <c r="B671" t="s">
        <v>81</v>
      </c>
      <c r="C671" t="s">
        <v>367</v>
      </c>
      <c r="D671">
        <v>82152</v>
      </c>
      <c r="E671">
        <v>6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3">
      <c r="A672" t="s">
        <v>18</v>
      </c>
      <c r="B672" t="s">
        <v>144</v>
      </c>
      <c r="C672" t="s">
        <v>367</v>
      </c>
      <c r="D672">
        <v>58310</v>
      </c>
      <c r="E672">
        <v>3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3">
      <c r="A673" t="s">
        <v>28</v>
      </c>
      <c r="B673" t="s">
        <v>131</v>
      </c>
      <c r="C673" t="s">
        <v>367</v>
      </c>
      <c r="D673">
        <v>33177</v>
      </c>
      <c r="E673">
        <v>4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x14ac:dyDescent="0.3">
      <c r="A674" t="s">
        <v>18</v>
      </c>
      <c r="B674" t="s">
        <v>94</v>
      </c>
      <c r="C674" t="s">
        <v>367</v>
      </c>
      <c r="D674">
        <v>54713</v>
      </c>
      <c r="E674">
        <v>2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x14ac:dyDescent="0.3">
      <c r="A675" t="s">
        <v>10</v>
      </c>
      <c r="B675" t="s">
        <v>77</v>
      </c>
      <c r="C675" t="s">
        <v>368</v>
      </c>
      <c r="D675">
        <v>46020</v>
      </c>
      <c r="E675">
        <v>8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x14ac:dyDescent="0.3">
      <c r="A676" t="s">
        <v>14</v>
      </c>
      <c r="B676" t="s">
        <v>49</v>
      </c>
      <c r="C676" t="s">
        <v>368</v>
      </c>
      <c r="D676">
        <v>49580</v>
      </c>
      <c r="E676">
        <v>5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x14ac:dyDescent="0.3">
      <c r="A677" t="s">
        <v>8</v>
      </c>
      <c r="B677" t="s">
        <v>318</v>
      </c>
      <c r="C677" t="s">
        <v>368</v>
      </c>
      <c r="D677">
        <v>93022</v>
      </c>
      <c r="E677">
        <v>2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x14ac:dyDescent="0.3">
      <c r="A678" t="s">
        <v>8</v>
      </c>
      <c r="B678" t="s">
        <v>178</v>
      </c>
      <c r="C678" t="s">
        <v>368</v>
      </c>
      <c r="D678">
        <v>76102</v>
      </c>
      <c r="E678">
        <v>8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x14ac:dyDescent="0.3">
      <c r="A679" t="s">
        <v>5</v>
      </c>
      <c r="B679" t="s">
        <v>58</v>
      </c>
      <c r="C679" t="s">
        <v>368</v>
      </c>
      <c r="D679">
        <v>57796</v>
      </c>
      <c r="E679">
        <v>6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3">
      <c r="A680" t="s">
        <v>5</v>
      </c>
      <c r="B680" t="s">
        <v>42</v>
      </c>
      <c r="C680" t="s">
        <v>368</v>
      </c>
      <c r="D680">
        <v>19360</v>
      </c>
      <c r="E680">
        <v>2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x14ac:dyDescent="0.3">
      <c r="A681" t="s">
        <v>28</v>
      </c>
      <c r="B681" t="s">
        <v>54</v>
      </c>
      <c r="C681" t="s">
        <v>368</v>
      </c>
      <c r="D681">
        <v>78216</v>
      </c>
      <c r="E681">
        <v>5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x14ac:dyDescent="0.3">
      <c r="A682" t="s">
        <v>50</v>
      </c>
      <c r="B682" t="s">
        <v>85</v>
      </c>
      <c r="C682" t="s">
        <v>368</v>
      </c>
      <c r="D682">
        <v>81943</v>
      </c>
      <c r="E682">
        <v>5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3">
      <c r="A683" t="s">
        <v>5</v>
      </c>
      <c r="B683" t="s">
        <v>117</v>
      </c>
      <c r="C683" t="s">
        <v>368</v>
      </c>
      <c r="D683">
        <v>93840</v>
      </c>
      <c r="E683">
        <v>8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3">
      <c r="A684" t="s">
        <v>14</v>
      </c>
      <c r="B684" t="s">
        <v>54</v>
      </c>
      <c r="C684" t="s">
        <v>368</v>
      </c>
      <c r="D684">
        <v>10910</v>
      </c>
      <c r="E684">
        <v>4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3">
      <c r="A685" t="s">
        <v>5</v>
      </c>
      <c r="B685" t="s">
        <v>124</v>
      </c>
      <c r="C685" t="s">
        <v>368</v>
      </c>
      <c r="D685">
        <v>36497</v>
      </c>
      <c r="E685">
        <v>6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x14ac:dyDescent="0.3">
      <c r="A686" t="s">
        <v>21</v>
      </c>
      <c r="B686" t="s">
        <v>163</v>
      </c>
      <c r="C686" t="s">
        <v>368</v>
      </c>
      <c r="D686">
        <v>52003</v>
      </c>
      <c r="E686">
        <v>7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x14ac:dyDescent="0.3">
      <c r="A687" t="s">
        <v>28</v>
      </c>
      <c r="B687" t="s">
        <v>160</v>
      </c>
      <c r="C687" t="s">
        <v>368</v>
      </c>
      <c r="D687">
        <v>93726</v>
      </c>
      <c r="E687">
        <v>9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x14ac:dyDescent="0.3">
      <c r="A688" t="s">
        <v>21</v>
      </c>
      <c r="B688" t="s">
        <v>90</v>
      </c>
      <c r="C688" t="s">
        <v>369</v>
      </c>
      <c r="D688">
        <v>57452</v>
      </c>
      <c r="E688">
        <v>6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x14ac:dyDescent="0.3">
      <c r="A689" t="s">
        <v>12</v>
      </c>
      <c r="B689" t="s">
        <v>190</v>
      </c>
      <c r="C689" t="s">
        <v>369</v>
      </c>
      <c r="D689">
        <v>78404</v>
      </c>
      <c r="E689">
        <v>7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x14ac:dyDescent="0.3">
      <c r="A690" t="s">
        <v>12</v>
      </c>
      <c r="B690" t="s">
        <v>270</v>
      </c>
      <c r="C690" t="s">
        <v>369</v>
      </c>
      <c r="D690">
        <v>31046</v>
      </c>
      <c r="E690">
        <v>7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x14ac:dyDescent="0.3">
      <c r="A691" t="s">
        <v>40</v>
      </c>
      <c r="B691" t="s">
        <v>81</v>
      </c>
      <c r="C691" t="s">
        <v>369</v>
      </c>
      <c r="D691">
        <v>81933</v>
      </c>
      <c r="E691">
        <v>10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x14ac:dyDescent="0.3">
      <c r="A692" t="s">
        <v>18</v>
      </c>
      <c r="B692" t="s">
        <v>92</v>
      </c>
      <c r="C692" t="s">
        <v>370</v>
      </c>
      <c r="D692">
        <v>98003</v>
      </c>
      <c r="E692">
        <v>7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x14ac:dyDescent="0.3">
      <c r="A693" t="s">
        <v>8</v>
      </c>
      <c r="B693" t="s">
        <v>90</v>
      </c>
      <c r="C693" t="s">
        <v>370</v>
      </c>
      <c r="D693">
        <v>38453</v>
      </c>
      <c r="E693">
        <v>5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x14ac:dyDescent="0.3">
      <c r="A694" t="s">
        <v>10</v>
      </c>
      <c r="B694" t="s">
        <v>71</v>
      </c>
      <c r="C694" t="s">
        <v>371</v>
      </c>
      <c r="D694">
        <v>69475</v>
      </c>
      <c r="E694">
        <v>2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x14ac:dyDescent="0.3">
      <c r="A695" t="s">
        <v>18</v>
      </c>
      <c r="B695" t="s">
        <v>29</v>
      </c>
      <c r="C695" t="s">
        <v>371</v>
      </c>
      <c r="D695">
        <v>72603</v>
      </c>
      <c r="E695">
        <v>6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x14ac:dyDescent="0.3">
      <c r="A696" t="s">
        <v>47</v>
      </c>
      <c r="B696" t="s">
        <v>55</v>
      </c>
      <c r="C696" t="s">
        <v>371</v>
      </c>
      <c r="D696">
        <v>64687</v>
      </c>
      <c r="E696">
        <v>6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x14ac:dyDescent="0.3">
      <c r="A697" t="s">
        <v>8</v>
      </c>
      <c r="B697" t="s">
        <v>60</v>
      </c>
      <c r="C697" t="s">
        <v>372</v>
      </c>
      <c r="D697">
        <v>78443</v>
      </c>
      <c r="E697">
        <v>1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x14ac:dyDescent="0.3">
      <c r="A698" t="s">
        <v>45</v>
      </c>
      <c r="B698" t="s">
        <v>19</v>
      </c>
      <c r="C698" t="s">
        <v>373</v>
      </c>
      <c r="D698">
        <v>50784</v>
      </c>
      <c r="E698">
        <v>9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3">
      <c r="A699" t="s">
        <v>14</v>
      </c>
      <c r="B699" t="s">
        <v>225</v>
      </c>
      <c r="C699" t="s">
        <v>373</v>
      </c>
      <c r="D699">
        <v>68467</v>
      </c>
      <c r="E699">
        <v>6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x14ac:dyDescent="0.3">
      <c r="A700" t="s">
        <v>10</v>
      </c>
      <c r="B700" t="s">
        <v>284</v>
      </c>
      <c r="C700" t="s">
        <v>373</v>
      </c>
      <c r="D700">
        <v>24920</v>
      </c>
      <c r="E700">
        <v>7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x14ac:dyDescent="0.3">
      <c r="A701" t="s">
        <v>14</v>
      </c>
      <c r="B701" t="s">
        <v>11</v>
      </c>
      <c r="C701" t="s">
        <v>373</v>
      </c>
      <c r="D701">
        <v>93950</v>
      </c>
      <c r="E701">
        <v>6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x14ac:dyDescent="0.3">
      <c r="A702" t="s">
        <v>18</v>
      </c>
      <c r="B702" t="s">
        <v>192</v>
      </c>
      <c r="C702" t="s">
        <v>373</v>
      </c>
      <c r="D702">
        <v>18899</v>
      </c>
      <c r="E702">
        <v>8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x14ac:dyDescent="0.3">
      <c r="A703" t="s">
        <v>21</v>
      </c>
      <c r="B703" t="s">
        <v>53</v>
      </c>
      <c r="C703" t="s">
        <v>373</v>
      </c>
      <c r="D703">
        <v>47643</v>
      </c>
      <c r="E703">
        <v>6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x14ac:dyDescent="0.3">
      <c r="A704" t="s">
        <v>12</v>
      </c>
      <c r="B704" t="s">
        <v>178</v>
      </c>
      <c r="C704" t="s">
        <v>373</v>
      </c>
      <c r="D704">
        <v>31002</v>
      </c>
      <c r="E704">
        <v>8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3">
      <c r="A705" t="s">
        <v>21</v>
      </c>
      <c r="B705" t="s">
        <v>117</v>
      </c>
      <c r="C705" t="s">
        <v>373</v>
      </c>
      <c r="D705">
        <v>76248</v>
      </c>
      <c r="E705">
        <v>2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x14ac:dyDescent="0.3">
      <c r="A706" t="s">
        <v>28</v>
      </c>
      <c r="B706" t="s">
        <v>67</v>
      </c>
      <c r="C706" t="s">
        <v>373</v>
      </c>
      <c r="D706">
        <v>74643</v>
      </c>
      <c r="E706">
        <v>5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x14ac:dyDescent="0.3">
      <c r="A707" t="s">
        <v>8</v>
      </c>
      <c r="B707" t="s">
        <v>6</v>
      </c>
      <c r="C707" t="s">
        <v>373</v>
      </c>
      <c r="D707">
        <v>77585</v>
      </c>
      <c r="E707">
        <v>9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x14ac:dyDescent="0.3">
      <c r="A708" t="s">
        <v>50</v>
      </c>
      <c r="B708" t="s">
        <v>276</v>
      </c>
      <c r="C708" t="s">
        <v>373</v>
      </c>
      <c r="D708">
        <v>59722</v>
      </c>
      <c r="E708">
        <v>6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x14ac:dyDescent="0.3">
      <c r="A709" t="s">
        <v>14</v>
      </c>
      <c r="B709" t="s">
        <v>115</v>
      </c>
      <c r="C709" t="s">
        <v>373</v>
      </c>
      <c r="D709">
        <v>87931</v>
      </c>
      <c r="E709">
        <v>2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x14ac:dyDescent="0.3">
      <c r="A710" t="s">
        <v>5</v>
      </c>
      <c r="B710" t="s">
        <v>80</v>
      </c>
      <c r="C710" t="s">
        <v>374</v>
      </c>
      <c r="D710">
        <v>52108</v>
      </c>
      <c r="E710">
        <v>5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x14ac:dyDescent="0.3">
      <c r="A711" t="s">
        <v>5</v>
      </c>
      <c r="B711" t="s">
        <v>318</v>
      </c>
      <c r="C711" t="s">
        <v>374</v>
      </c>
      <c r="D711">
        <v>88135</v>
      </c>
      <c r="E711">
        <v>7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x14ac:dyDescent="0.3">
      <c r="A712" t="s">
        <v>10</v>
      </c>
      <c r="B712" t="s">
        <v>112</v>
      </c>
      <c r="C712" t="s">
        <v>374</v>
      </c>
      <c r="D712">
        <v>12759</v>
      </c>
      <c r="E712">
        <v>9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x14ac:dyDescent="0.3">
      <c r="A713" t="s">
        <v>47</v>
      </c>
      <c r="B713" t="s">
        <v>116</v>
      </c>
      <c r="C713" t="s">
        <v>375</v>
      </c>
      <c r="D713">
        <v>18338</v>
      </c>
      <c r="E713">
        <v>7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3">
      <c r="A714" t="s">
        <v>5</v>
      </c>
      <c r="B714" t="s">
        <v>87</v>
      </c>
      <c r="C714" t="s">
        <v>375</v>
      </c>
      <c r="D714">
        <v>67949</v>
      </c>
      <c r="E714">
        <v>9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x14ac:dyDescent="0.3">
      <c r="A715" t="s">
        <v>21</v>
      </c>
      <c r="B715" t="s">
        <v>66</v>
      </c>
      <c r="C715" t="s">
        <v>376</v>
      </c>
      <c r="D715">
        <v>51205</v>
      </c>
      <c r="E715">
        <v>3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x14ac:dyDescent="0.3">
      <c r="A716" t="s">
        <v>10</v>
      </c>
      <c r="B716" t="s">
        <v>41</v>
      </c>
      <c r="C716" t="s">
        <v>376</v>
      </c>
      <c r="D716">
        <v>89012</v>
      </c>
      <c r="E716">
        <v>10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x14ac:dyDescent="0.3">
      <c r="A717" t="s">
        <v>21</v>
      </c>
      <c r="B717" t="s">
        <v>251</v>
      </c>
      <c r="C717" t="s">
        <v>377</v>
      </c>
      <c r="D717">
        <v>24629</v>
      </c>
      <c r="E717">
        <v>8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x14ac:dyDescent="0.3">
      <c r="A718" t="s">
        <v>50</v>
      </c>
      <c r="B718" t="s">
        <v>150</v>
      </c>
      <c r="C718" t="s">
        <v>377</v>
      </c>
      <c r="D718">
        <v>10969</v>
      </c>
      <c r="E718">
        <v>7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3">
      <c r="A719" t="s">
        <v>45</v>
      </c>
      <c r="B719" t="s">
        <v>11</v>
      </c>
      <c r="C719" t="s">
        <v>377</v>
      </c>
      <c r="D719">
        <v>85244</v>
      </c>
      <c r="E719">
        <v>6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x14ac:dyDescent="0.3">
      <c r="A720" t="s">
        <v>21</v>
      </c>
      <c r="B720" t="s">
        <v>83</v>
      </c>
      <c r="C720" t="s">
        <v>378</v>
      </c>
      <c r="D720">
        <v>17454</v>
      </c>
      <c r="E720">
        <v>6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x14ac:dyDescent="0.3">
      <c r="A721" t="s">
        <v>40</v>
      </c>
      <c r="B721" t="s">
        <v>30</v>
      </c>
      <c r="C721" t="s">
        <v>378</v>
      </c>
      <c r="D721">
        <v>34862</v>
      </c>
      <c r="E721">
        <v>5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x14ac:dyDescent="0.3">
      <c r="A722" t="s">
        <v>45</v>
      </c>
      <c r="B722" t="s">
        <v>52</v>
      </c>
      <c r="C722" t="s">
        <v>378</v>
      </c>
      <c r="D722">
        <v>33294</v>
      </c>
      <c r="E722">
        <v>5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x14ac:dyDescent="0.3">
      <c r="A723" t="s">
        <v>5</v>
      </c>
      <c r="B723" t="s">
        <v>94</v>
      </c>
      <c r="C723" t="s">
        <v>378</v>
      </c>
      <c r="D723">
        <v>74239</v>
      </c>
      <c r="E723">
        <v>5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3">
      <c r="A724" t="s">
        <v>21</v>
      </c>
      <c r="B724" t="s">
        <v>289</v>
      </c>
      <c r="C724" t="s">
        <v>378</v>
      </c>
      <c r="D724">
        <v>97614</v>
      </c>
      <c r="E724">
        <v>3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x14ac:dyDescent="0.3">
      <c r="A725" t="s">
        <v>47</v>
      </c>
      <c r="B725" t="s">
        <v>74</v>
      </c>
      <c r="C725" t="s">
        <v>378</v>
      </c>
      <c r="D725">
        <v>42182</v>
      </c>
      <c r="E725">
        <v>6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x14ac:dyDescent="0.3">
      <c r="A726" t="s">
        <v>45</v>
      </c>
      <c r="B726" t="s">
        <v>24</v>
      </c>
      <c r="C726" t="s">
        <v>378</v>
      </c>
      <c r="D726">
        <v>16412</v>
      </c>
      <c r="E726">
        <v>5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x14ac:dyDescent="0.3">
      <c r="A727" t="s">
        <v>10</v>
      </c>
      <c r="B727" t="s">
        <v>180</v>
      </c>
      <c r="C727" t="s">
        <v>378</v>
      </c>
      <c r="D727">
        <v>20089</v>
      </c>
      <c r="E727">
        <v>8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3">
      <c r="A728" t="s">
        <v>10</v>
      </c>
      <c r="B728" t="s">
        <v>52</v>
      </c>
      <c r="C728" t="s">
        <v>378</v>
      </c>
      <c r="D728">
        <v>73232</v>
      </c>
      <c r="E728">
        <v>8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x14ac:dyDescent="0.3">
      <c r="A729" t="s">
        <v>18</v>
      </c>
      <c r="B729" t="s">
        <v>27</v>
      </c>
      <c r="C729" t="s">
        <v>379</v>
      </c>
      <c r="D729">
        <v>40538</v>
      </c>
      <c r="E729">
        <v>7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x14ac:dyDescent="0.3">
      <c r="A730" t="s">
        <v>47</v>
      </c>
      <c r="B730" t="s">
        <v>214</v>
      </c>
      <c r="C730" t="s">
        <v>379</v>
      </c>
      <c r="D730">
        <v>82464</v>
      </c>
      <c r="E730">
        <v>7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x14ac:dyDescent="0.3">
      <c r="A731" t="s">
        <v>18</v>
      </c>
      <c r="B731" t="s">
        <v>69</v>
      </c>
      <c r="C731" t="s">
        <v>379</v>
      </c>
      <c r="D731">
        <v>48266</v>
      </c>
      <c r="E731">
        <v>7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x14ac:dyDescent="0.3">
      <c r="A732" t="s">
        <v>18</v>
      </c>
      <c r="B732" t="s">
        <v>380</v>
      </c>
      <c r="C732" t="s">
        <v>379</v>
      </c>
      <c r="D732">
        <v>94951</v>
      </c>
      <c r="E732">
        <v>6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3">
      <c r="A733" t="s">
        <v>45</v>
      </c>
      <c r="B733" t="s">
        <v>324</v>
      </c>
      <c r="C733" t="s">
        <v>379</v>
      </c>
      <c r="D733">
        <v>71760</v>
      </c>
      <c r="E733">
        <v>10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x14ac:dyDescent="0.3">
      <c r="A734" t="s">
        <v>50</v>
      </c>
      <c r="B734" t="s">
        <v>41</v>
      </c>
      <c r="C734" t="s">
        <v>381</v>
      </c>
      <c r="D734">
        <v>72601</v>
      </c>
      <c r="E734">
        <v>9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x14ac:dyDescent="0.3">
      <c r="A735" t="s">
        <v>21</v>
      </c>
      <c r="B735" t="s">
        <v>63</v>
      </c>
      <c r="C735" t="s">
        <v>382</v>
      </c>
      <c r="D735">
        <v>97422</v>
      </c>
      <c r="E735">
        <v>8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x14ac:dyDescent="0.3">
      <c r="A736" t="s">
        <v>47</v>
      </c>
      <c r="B736" t="s">
        <v>258</v>
      </c>
      <c r="C736" t="s">
        <v>382</v>
      </c>
      <c r="D736">
        <v>12239</v>
      </c>
      <c r="E736">
        <v>1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3">
      <c r="A737" t="s">
        <v>14</v>
      </c>
      <c r="B737" t="s">
        <v>166</v>
      </c>
      <c r="C737" t="s">
        <v>382</v>
      </c>
      <c r="D737">
        <v>23285</v>
      </c>
      <c r="E737">
        <v>5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x14ac:dyDescent="0.3">
      <c r="A738" t="s">
        <v>8</v>
      </c>
      <c r="B738" t="s">
        <v>109</v>
      </c>
      <c r="C738" t="s">
        <v>382</v>
      </c>
      <c r="D738">
        <v>10885</v>
      </c>
      <c r="E738">
        <v>10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3">
      <c r="A739" t="s">
        <v>21</v>
      </c>
      <c r="B739" t="s">
        <v>279</v>
      </c>
      <c r="C739" t="s">
        <v>382</v>
      </c>
      <c r="D739">
        <v>30699</v>
      </c>
      <c r="E739">
        <v>3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x14ac:dyDescent="0.3">
      <c r="A740" t="s">
        <v>28</v>
      </c>
      <c r="B740" t="s">
        <v>205</v>
      </c>
      <c r="C740" t="s">
        <v>383</v>
      </c>
      <c r="D740">
        <v>53964</v>
      </c>
      <c r="E740">
        <v>4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x14ac:dyDescent="0.3">
      <c r="A741" t="s">
        <v>10</v>
      </c>
      <c r="B741" t="s">
        <v>81</v>
      </c>
      <c r="C741" t="s">
        <v>383</v>
      </c>
      <c r="D741">
        <v>18314</v>
      </c>
      <c r="E741">
        <v>10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x14ac:dyDescent="0.3">
      <c r="A742" t="s">
        <v>28</v>
      </c>
      <c r="B742" t="s">
        <v>146</v>
      </c>
      <c r="C742" t="s">
        <v>383</v>
      </c>
      <c r="D742">
        <v>43253</v>
      </c>
      <c r="E742">
        <v>6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spans="1:8" x14ac:dyDescent="0.3">
      <c r="A743" t="s">
        <v>40</v>
      </c>
      <c r="B743" t="s">
        <v>22</v>
      </c>
      <c r="C743" t="s">
        <v>384</v>
      </c>
      <c r="D743">
        <v>23298</v>
      </c>
      <c r="E743">
        <v>6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spans="1:8" x14ac:dyDescent="0.3">
      <c r="A744" t="s">
        <v>50</v>
      </c>
      <c r="B744" t="s">
        <v>110</v>
      </c>
      <c r="C744" t="s">
        <v>384</v>
      </c>
      <c r="D744">
        <v>46581</v>
      </c>
      <c r="E744">
        <v>7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spans="1:8" x14ac:dyDescent="0.3">
      <c r="A745" t="s">
        <v>47</v>
      </c>
      <c r="B745" t="s">
        <v>149</v>
      </c>
      <c r="C745" t="s">
        <v>384</v>
      </c>
      <c r="D745">
        <v>41384</v>
      </c>
      <c r="E745">
        <v>7</v>
      </c>
      <c r="F745">
        <f t="shared" si="33"/>
        <v>2024</v>
      </c>
      <c r="G745">
        <f t="shared" si="34"/>
        <v>5</v>
      </c>
      <c r="H745" t="str">
        <f t="shared" si="35"/>
        <v>2024-5</v>
      </c>
    </row>
    <row r="746" spans="1:8" x14ac:dyDescent="0.3">
      <c r="A746" t="s">
        <v>21</v>
      </c>
      <c r="B746" t="s">
        <v>360</v>
      </c>
      <c r="C746" t="s">
        <v>385</v>
      </c>
      <c r="D746">
        <v>93507</v>
      </c>
      <c r="E746">
        <v>3</v>
      </c>
      <c r="F746">
        <f t="shared" si="33"/>
        <v>2024</v>
      </c>
      <c r="G746">
        <f t="shared" si="34"/>
        <v>5</v>
      </c>
      <c r="H746" t="str">
        <f t="shared" si="35"/>
        <v>2024-5</v>
      </c>
    </row>
    <row r="747" spans="1:8" x14ac:dyDescent="0.3">
      <c r="A747" t="s">
        <v>45</v>
      </c>
      <c r="B747" t="s">
        <v>165</v>
      </c>
      <c r="C747" t="s">
        <v>385</v>
      </c>
      <c r="D747">
        <v>23626</v>
      </c>
      <c r="E747">
        <v>7</v>
      </c>
      <c r="F747">
        <f t="shared" si="33"/>
        <v>2024</v>
      </c>
      <c r="G747">
        <f t="shared" si="34"/>
        <v>5</v>
      </c>
      <c r="H747" t="str">
        <f t="shared" si="35"/>
        <v>2024-5</v>
      </c>
    </row>
    <row r="748" spans="1:8" x14ac:dyDescent="0.3">
      <c r="A748" t="s">
        <v>47</v>
      </c>
      <c r="B748" t="s">
        <v>165</v>
      </c>
      <c r="C748" t="s">
        <v>385</v>
      </c>
      <c r="D748">
        <v>30585</v>
      </c>
      <c r="E748">
        <v>5</v>
      </c>
      <c r="F748">
        <f t="shared" si="33"/>
        <v>2024</v>
      </c>
      <c r="G748">
        <f t="shared" si="34"/>
        <v>5</v>
      </c>
      <c r="H748" t="str">
        <f t="shared" si="35"/>
        <v>2024-5</v>
      </c>
    </row>
    <row r="749" spans="1:8" x14ac:dyDescent="0.3">
      <c r="A749" t="s">
        <v>47</v>
      </c>
      <c r="B749" t="s">
        <v>22</v>
      </c>
      <c r="C749" t="s">
        <v>386</v>
      </c>
      <c r="D749">
        <v>11002</v>
      </c>
      <c r="E749">
        <v>8</v>
      </c>
      <c r="F749">
        <f t="shared" si="33"/>
        <v>2024</v>
      </c>
      <c r="G749">
        <f t="shared" si="34"/>
        <v>5</v>
      </c>
      <c r="H749" t="str">
        <f t="shared" si="35"/>
        <v>2024-5</v>
      </c>
    </row>
    <row r="750" spans="1:8" x14ac:dyDescent="0.3">
      <c r="A750" t="s">
        <v>21</v>
      </c>
      <c r="B750" t="s">
        <v>387</v>
      </c>
      <c r="C750" t="s">
        <v>386</v>
      </c>
      <c r="D750">
        <v>28176</v>
      </c>
      <c r="E750">
        <v>9</v>
      </c>
      <c r="F750">
        <f t="shared" si="33"/>
        <v>2024</v>
      </c>
      <c r="G750">
        <f t="shared" si="34"/>
        <v>5</v>
      </c>
      <c r="H750" t="str">
        <f t="shared" si="35"/>
        <v>2024-5</v>
      </c>
    </row>
    <row r="751" spans="1:8" x14ac:dyDescent="0.3">
      <c r="A751" t="s">
        <v>28</v>
      </c>
      <c r="B751" t="s">
        <v>388</v>
      </c>
      <c r="C751" t="s">
        <v>386</v>
      </c>
      <c r="D751">
        <v>11603</v>
      </c>
      <c r="E751">
        <v>0</v>
      </c>
      <c r="F751">
        <f t="shared" si="33"/>
        <v>2024</v>
      </c>
      <c r="G751">
        <f t="shared" si="34"/>
        <v>5</v>
      </c>
      <c r="H751" t="str">
        <f t="shared" si="35"/>
        <v>2024-5</v>
      </c>
    </row>
    <row r="752" spans="1:8" x14ac:dyDescent="0.3">
      <c r="A752" t="s">
        <v>12</v>
      </c>
      <c r="B752" t="s">
        <v>181</v>
      </c>
      <c r="C752" t="s">
        <v>386</v>
      </c>
      <c r="D752">
        <v>68572</v>
      </c>
      <c r="E752">
        <v>7</v>
      </c>
      <c r="F752">
        <f t="shared" si="33"/>
        <v>2024</v>
      </c>
      <c r="G752">
        <f t="shared" si="34"/>
        <v>5</v>
      </c>
      <c r="H752" t="str">
        <f t="shared" si="35"/>
        <v>2024-5</v>
      </c>
    </row>
    <row r="753" spans="1:8" x14ac:dyDescent="0.3">
      <c r="A753" t="s">
        <v>45</v>
      </c>
      <c r="B753" t="s">
        <v>199</v>
      </c>
      <c r="C753" t="s">
        <v>389</v>
      </c>
      <c r="D753">
        <v>99359</v>
      </c>
      <c r="E753">
        <v>3</v>
      </c>
      <c r="F753">
        <f t="shared" si="33"/>
        <v>2024</v>
      </c>
      <c r="G753">
        <f t="shared" si="34"/>
        <v>5</v>
      </c>
      <c r="H753" t="str">
        <f t="shared" si="35"/>
        <v>2024-5</v>
      </c>
    </row>
    <row r="754" spans="1:8" x14ac:dyDescent="0.3">
      <c r="A754" t="s">
        <v>28</v>
      </c>
      <c r="B754" t="s">
        <v>245</v>
      </c>
      <c r="C754" t="s">
        <v>389</v>
      </c>
      <c r="D754">
        <v>85616</v>
      </c>
      <c r="E754">
        <v>1</v>
      </c>
      <c r="F754">
        <f t="shared" si="33"/>
        <v>2024</v>
      </c>
      <c r="G754">
        <f t="shared" si="34"/>
        <v>5</v>
      </c>
      <c r="H754" t="str">
        <f t="shared" si="35"/>
        <v>2024-5</v>
      </c>
    </row>
    <row r="755" spans="1:8" x14ac:dyDescent="0.3">
      <c r="A755" t="s">
        <v>47</v>
      </c>
      <c r="B755" t="s">
        <v>39</v>
      </c>
      <c r="C755" t="s">
        <v>389</v>
      </c>
      <c r="D755">
        <v>91775</v>
      </c>
      <c r="E755">
        <v>8</v>
      </c>
      <c r="F755">
        <f t="shared" si="33"/>
        <v>2024</v>
      </c>
      <c r="G755">
        <f t="shared" si="34"/>
        <v>5</v>
      </c>
      <c r="H755" t="str">
        <f t="shared" si="35"/>
        <v>2024-5</v>
      </c>
    </row>
    <row r="756" spans="1:8" x14ac:dyDescent="0.3">
      <c r="A756" t="s">
        <v>12</v>
      </c>
      <c r="B756" t="s">
        <v>181</v>
      </c>
      <c r="C756" t="s">
        <v>389</v>
      </c>
      <c r="D756">
        <v>68433</v>
      </c>
      <c r="E756">
        <v>1</v>
      </c>
      <c r="F756">
        <f t="shared" si="33"/>
        <v>2024</v>
      </c>
      <c r="G756">
        <f t="shared" si="34"/>
        <v>5</v>
      </c>
      <c r="H756" t="str">
        <f t="shared" si="35"/>
        <v>2024-5</v>
      </c>
    </row>
    <row r="757" spans="1:8" x14ac:dyDescent="0.3">
      <c r="A757" t="s">
        <v>28</v>
      </c>
      <c r="B757" t="s">
        <v>22</v>
      </c>
      <c r="C757" t="s">
        <v>390</v>
      </c>
      <c r="D757">
        <v>65513</v>
      </c>
      <c r="E757">
        <v>8</v>
      </c>
      <c r="F757">
        <f t="shared" si="33"/>
        <v>2024</v>
      </c>
      <c r="G757">
        <f t="shared" si="34"/>
        <v>5</v>
      </c>
      <c r="H757" t="str">
        <f t="shared" si="35"/>
        <v>2024-5</v>
      </c>
    </row>
    <row r="758" spans="1:8" x14ac:dyDescent="0.3">
      <c r="A758" t="s">
        <v>18</v>
      </c>
      <c r="B758" t="s">
        <v>17</v>
      </c>
      <c r="C758" t="s">
        <v>390</v>
      </c>
      <c r="D758">
        <v>23403</v>
      </c>
      <c r="E758">
        <v>4</v>
      </c>
      <c r="F758">
        <f t="shared" si="33"/>
        <v>2024</v>
      </c>
      <c r="G758">
        <f t="shared" si="34"/>
        <v>5</v>
      </c>
      <c r="H758" t="str">
        <f t="shared" si="35"/>
        <v>2024-5</v>
      </c>
    </row>
    <row r="759" spans="1:8" x14ac:dyDescent="0.3">
      <c r="A759" t="s">
        <v>8</v>
      </c>
      <c r="B759" t="s">
        <v>75</v>
      </c>
      <c r="C759" t="s">
        <v>390</v>
      </c>
      <c r="D759">
        <v>38089</v>
      </c>
      <c r="E759">
        <v>4</v>
      </c>
      <c r="F759">
        <f t="shared" si="33"/>
        <v>2024</v>
      </c>
      <c r="G759">
        <f t="shared" si="34"/>
        <v>5</v>
      </c>
      <c r="H759" t="str">
        <f t="shared" si="35"/>
        <v>2024-5</v>
      </c>
    </row>
    <row r="760" spans="1:8" x14ac:dyDescent="0.3">
      <c r="A760" t="s">
        <v>12</v>
      </c>
      <c r="B760" t="s">
        <v>101</v>
      </c>
      <c r="C760" t="s">
        <v>390</v>
      </c>
      <c r="D760">
        <v>57582</v>
      </c>
      <c r="E760">
        <v>1</v>
      </c>
      <c r="F760">
        <f t="shared" si="33"/>
        <v>2024</v>
      </c>
      <c r="G760">
        <f t="shared" si="34"/>
        <v>5</v>
      </c>
      <c r="H760" t="str">
        <f t="shared" si="35"/>
        <v>2024-5</v>
      </c>
    </row>
    <row r="761" spans="1:8" x14ac:dyDescent="0.3">
      <c r="A761" t="s">
        <v>10</v>
      </c>
      <c r="B761" t="s">
        <v>137</v>
      </c>
      <c r="C761" t="s">
        <v>390</v>
      </c>
      <c r="D761">
        <v>97646</v>
      </c>
      <c r="E761">
        <v>7</v>
      </c>
      <c r="F761">
        <f t="shared" si="33"/>
        <v>2024</v>
      </c>
      <c r="G761">
        <f t="shared" si="34"/>
        <v>5</v>
      </c>
      <c r="H761" t="str">
        <f t="shared" si="35"/>
        <v>2024-5</v>
      </c>
    </row>
    <row r="762" spans="1:8" x14ac:dyDescent="0.3">
      <c r="A762" t="s">
        <v>21</v>
      </c>
      <c r="B762" t="s">
        <v>67</v>
      </c>
      <c r="C762" t="s">
        <v>390</v>
      </c>
      <c r="D762">
        <v>86353</v>
      </c>
      <c r="E762">
        <v>6</v>
      </c>
      <c r="F762">
        <f t="shared" si="33"/>
        <v>2024</v>
      </c>
      <c r="G762">
        <f t="shared" si="34"/>
        <v>5</v>
      </c>
      <c r="H762" t="str">
        <f t="shared" si="35"/>
        <v>2024-5</v>
      </c>
    </row>
    <row r="763" spans="1:8" x14ac:dyDescent="0.3">
      <c r="A763" t="s">
        <v>5</v>
      </c>
      <c r="B763" t="s">
        <v>130</v>
      </c>
      <c r="C763" t="s">
        <v>390</v>
      </c>
      <c r="D763">
        <v>17520</v>
      </c>
      <c r="E763">
        <v>8</v>
      </c>
      <c r="F763">
        <f t="shared" si="33"/>
        <v>2024</v>
      </c>
      <c r="G763">
        <f t="shared" si="34"/>
        <v>5</v>
      </c>
      <c r="H763" t="str">
        <f t="shared" si="35"/>
        <v>2024-5</v>
      </c>
    </row>
    <row r="764" spans="1:8" x14ac:dyDescent="0.3">
      <c r="A764" t="s">
        <v>18</v>
      </c>
      <c r="B764" t="s">
        <v>174</v>
      </c>
      <c r="C764" t="s">
        <v>391</v>
      </c>
      <c r="D764">
        <v>33281</v>
      </c>
      <c r="E764">
        <v>6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x14ac:dyDescent="0.3">
      <c r="A765" t="s">
        <v>10</v>
      </c>
      <c r="B765" t="s">
        <v>116</v>
      </c>
      <c r="C765" t="s">
        <v>391</v>
      </c>
      <c r="D765">
        <v>62217</v>
      </c>
      <c r="E765">
        <v>1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x14ac:dyDescent="0.3">
      <c r="A766" t="s">
        <v>45</v>
      </c>
      <c r="B766" t="s">
        <v>35</v>
      </c>
      <c r="C766" t="s">
        <v>391</v>
      </c>
      <c r="D766">
        <v>65600</v>
      </c>
      <c r="E766">
        <v>5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x14ac:dyDescent="0.3">
      <c r="A767" t="s">
        <v>40</v>
      </c>
      <c r="B767" t="s">
        <v>171</v>
      </c>
      <c r="C767" t="s">
        <v>391</v>
      </c>
      <c r="D767">
        <v>45605</v>
      </c>
      <c r="E767">
        <v>10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x14ac:dyDescent="0.3">
      <c r="A768" t="s">
        <v>40</v>
      </c>
      <c r="B768" t="s">
        <v>324</v>
      </c>
      <c r="C768" t="s">
        <v>391</v>
      </c>
      <c r="D768">
        <v>94421</v>
      </c>
      <c r="E768">
        <v>9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x14ac:dyDescent="0.3">
      <c r="A769" t="s">
        <v>28</v>
      </c>
      <c r="B769" t="s">
        <v>192</v>
      </c>
      <c r="C769" t="s">
        <v>391</v>
      </c>
      <c r="D769">
        <v>42617</v>
      </c>
      <c r="E769">
        <v>9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x14ac:dyDescent="0.3">
      <c r="A770" t="s">
        <v>45</v>
      </c>
      <c r="B770" t="s">
        <v>77</v>
      </c>
      <c r="C770" t="s">
        <v>391</v>
      </c>
      <c r="D770">
        <v>18399</v>
      </c>
      <c r="E770">
        <v>7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x14ac:dyDescent="0.3">
      <c r="A771" t="s">
        <v>47</v>
      </c>
      <c r="B771" t="s">
        <v>315</v>
      </c>
      <c r="C771" t="s">
        <v>392</v>
      </c>
      <c r="D771">
        <v>74854</v>
      </c>
      <c r="E771">
        <v>6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x14ac:dyDescent="0.3">
      <c r="A772" t="s">
        <v>47</v>
      </c>
      <c r="B772" t="s">
        <v>67</v>
      </c>
      <c r="C772" t="s">
        <v>392</v>
      </c>
      <c r="D772">
        <v>49170</v>
      </c>
      <c r="E772">
        <v>5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3">
      <c r="A773" t="s">
        <v>47</v>
      </c>
      <c r="B773" t="s">
        <v>119</v>
      </c>
      <c r="C773" t="s">
        <v>392</v>
      </c>
      <c r="D773">
        <v>48617</v>
      </c>
      <c r="E773">
        <v>7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3">
      <c r="A774" t="s">
        <v>47</v>
      </c>
      <c r="B774" t="s">
        <v>221</v>
      </c>
      <c r="C774" t="s">
        <v>392</v>
      </c>
      <c r="D774">
        <v>41294</v>
      </c>
      <c r="E774">
        <v>10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x14ac:dyDescent="0.3">
      <c r="A775" t="s">
        <v>45</v>
      </c>
      <c r="B775" t="s">
        <v>192</v>
      </c>
      <c r="C775" t="s">
        <v>392</v>
      </c>
      <c r="D775">
        <v>78828</v>
      </c>
      <c r="E775">
        <v>1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x14ac:dyDescent="0.3">
      <c r="A776" t="s">
        <v>47</v>
      </c>
      <c r="B776" t="s">
        <v>105</v>
      </c>
      <c r="C776" t="s">
        <v>393</v>
      </c>
      <c r="D776">
        <v>44817</v>
      </c>
      <c r="E776">
        <v>7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x14ac:dyDescent="0.3">
      <c r="A777" t="s">
        <v>10</v>
      </c>
      <c r="B777" t="s">
        <v>126</v>
      </c>
      <c r="C777" t="s">
        <v>393</v>
      </c>
      <c r="D777">
        <v>95219</v>
      </c>
      <c r="E777">
        <v>8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3">
      <c r="A778" t="s">
        <v>21</v>
      </c>
      <c r="B778" t="s">
        <v>176</v>
      </c>
      <c r="C778" t="s">
        <v>393</v>
      </c>
      <c r="D778">
        <v>73747</v>
      </c>
      <c r="E778">
        <v>8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x14ac:dyDescent="0.3">
      <c r="A779" t="s">
        <v>47</v>
      </c>
      <c r="B779" t="s">
        <v>160</v>
      </c>
      <c r="C779" t="s">
        <v>393</v>
      </c>
      <c r="D779">
        <v>14257</v>
      </c>
      <c r="E779">
        <v>4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3">
      <c r="A780" t="s">
        <v>45</v>
      </c>
      <c r="B780" t="s">
        <v>199</v>
      </c>
      <c r="C780" t="s">
        <v>393</v>
      </c>
      <c r="D780">
        <v>61191</v>
      </c>
      <c r="E780">
        <v>10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x14ac:dyDescent="0.3">
      <c r="A781" t="s">
        <v>8</v>
      </c>
      <c r="B781" t="s">
        <v>394</v>
      </c>
      <c r="C781" t="s">
        <v>393</v>
      </c>
      <c r="D781">
        <v>73643</v>
      </c>
      <c r="E781">
        <v>7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3">
      <c r="A782" t="s">
        <v>47</v>
      </c>
      <c r="B782" t="s">
        <v>6</v>
      </c>
      <c r="C782" t="s">
        <v>395</v>
      </c>
      <c r="D782">
        <v>35777</v>
      </c>
      <c r="E782">
        <v>3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x14ac:dyDescent="0.3">
      <c r="A783" t="s">
        <v>47</v>
      </c>
      <c r="B783" t="s">
        <v>19</v>
      </c>
      <c r="C783" t="s">
        <v>395</v>
      </c>
      <c r="D783">
        <v>68630</v>
      </c>
      <c r="E783">
        <v>8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x14ac:dyDescent="0.3">
      <c r="A784" t="s">
        <v>28</v>
      </c>
      <c r="B784" t="s">
        <v>149</v>
      </c>
      <c r="C784" t="s">
        <v>395</v>
      </c>
      <c r="D784">
        <v>69342</v>
      </c>
      <c r="E784">
        <v>6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x14ac:dyDescent="0.3">
      <c r="A785" t="s">
        <v>47</v>
      </c>
      <c r="B785" t="s">
        <v>231</v>
      </c>
      <c r="C785" t="s">
        <v>396</v>
      </c>
      <c r="D785">
        <v>70862</v>
      </c>
      <c r="E785">
        <v>10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x14ac:dyDescent="0.3">
      <c r="A786" t="s">
        <v>10</v>
      </c>
      <c r="B786" t="s">
        <v>185</v>
      </c>
      <c r="C786" t="s">
        <v>396</v>
      </c>
      <c r="D786">
        <v>61674</v>
      </c>
      <c r="E786">
        <v>1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3">
      <c r="A787" t="s">
        <v>45</v>
      </c>
      <c r="B787" t="s">
        <v>111</v>
      </c>
      <c r="C787" t="s">
        <v>397</v>
      </c>
      <c r="D787">
        <v>94070</v>
      </c>
      <c r="E787">
        <v>6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x14ac:dyDescent="0.3">
      <c r="A788" t="s">
        <v>8</v>
      </c>
      <c r="B788" t="s">
        <v>105</v>
      </c>
      <c r="C788" t="s">
        <v>397</v>
      </c>
      <c r="D788">
        <v>94876</v>
      </c>
      <c r="E788">
        <v>6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3">
      <c r="A789" t="s">
        <v>21</v>
      </c>
      <c r="B789" t="s">
        <v>398</v>
      </c>
      <c r="C789" t="s">
        <v>397</v>
      </c>
      <c r="D789">
        <v>38665</v>
      </c>
      <c r="E789">
        <v>2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3">
      <c r="A790" t="s">
        <v>10</v>
      </c>
      <c r="B790" t="s">
        <v>207</v>
      </c>
      <c r="C790" t="s">
        <v>397</v>
      </c>
      <c r="D790">
        <v>83314</v>
      </c>
      <c r="E790">
        <v>6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x14ac:dyDescent="0.3">
      <c r="A791" t="s">
        <v>50</v>
      </c>
      <c r="B791" t="s">
        <v>149</v>
      </c>
      <c r="C791" t="s">
        <v>397</v>
      </c>
      <c r="D791">
        <v>88147</v>
      </c>
      <c r="E791">
        <v>7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x14ac:dyDescent="0.3">
      <c r="A792" t="s">
        <v>18</v>
      </c>
      <c r="B792" t="s">
        <v>247</v>
      </c>
      <c r="C792" t="s">
        <v>397</v>
      </c>
      <c r="D792">
        <v>90901</v>
      </c>
      <c r="E792">
        <v>5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x14ac:dyDescent="0.3">
      <c r="A793" t="s">
        <v>45</v>
      </c>
      <c r="B793" t="s">
        <v>122</v>
      </c>
      <c r="C793" t="s">
        <v>397</v>
      </c>
      <c r="D793">
        <v>34632</v>
      </c>
      <c r="E793">
        <v>8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x14ac:dyDescent="0.3">
      <c r="A794" t="s">
        <v>18</v>
      </c>
      <c r="B794" t="s">
        <v>144</v>
      </c>
      <c r="C794" t="s">
        <v>397</v>
      </c>
      <c r="D794">
        <v>23480</v>
      </c>
      <c r="E794">
        <v>7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x14ac:dyDescent="0.3">
      <c r="A795" t="s">
        <v>21</v>
      </c>
      <c r="B795" t="s">
        <v>119</v>
      </c>
      <c r="C795" t="s">
        <v>397</v>
      </c>
      <c r="D795">
        <v>94714</v>
      </c>
      <c r="E795">
        <v>8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x14ac:dyDescent="0.3">
      <c r="A796" t="s">
        <v>8</v>
      </c>
      <c r="B796" t="s">
        <v>130</v>
      </c>
      <c r="C796" t="s">
        <v>397</v>
      </c>
      <c r="D796">
        <v>97567</v>
      </c>
      <c r="E796">
        <v>9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3">
      <c r="A797" t="s">
        <v>18</v>
      </c>
      <c r="B797" t="s">
        <v>80</v>
      </c>
      <c r="C797" t="s">
        <v>399</v>
      </c>
      <c r="D797">
        <v>30871</v>
      </c>
      <c r="E797">
        <v>7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x14ac:dyDescent="0.3">
      <c r="A798" t="s">
        <v>14</v>
      </c>
      <c r="B798" t="s">
        <v>89</v>
      </c>
      <c r="C798" t="s">
        <v>399</v>
      </c>
      <c r="D798">
        <v>77340</v>
      </c>
      <c r="E798">
        <v>7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x14ac:dyDescent="0.3">
      <c r="A799" t="s">
        <v>5</v>
      </c>
      <c r="B799" t="s">
        <v>387</v>
      </c>
      <c r="C799" t="s">
        <v>399</v>
      </c>
      <c r="D799">
        <v>41268</v>
      </c>
      <c r="E799">
        <v>9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x14ac:dyDescent="0.3">
      <c r="A800" t="s">
        <v>18</v>
      </c>
      <c r="B800" t="s">
        <v>43</v>
      </c>
      <c r="C800" t="s">
        <v>399</v>
      </c>
      <c r="D800">
        <v>25117</v>
      </c>
      <c r="E800">
        <v>9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3">
      <c r="A801" t="s">
        <v>21</v>
      </c>
      <c r="B801" t="s">
        <v>140</v>
      </c>
      <c r="C801" t="s">
        <v>400</v>
      </c>
      <c r="D801">
        <v>53067</v>
      </c>
      <c r="E801">
        <v>8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x14ac:dyDescent="0.3">
      <c r="A802" t="s">
        <v>45</v>
      </c>
      <c r="B802" t="s">
        <v>54</v>
      </c>
      <c r="C802" t="s">
        <v>401</v>
      </c>
      <c r="D802">
        <v>92196</v>
      </c>
      <c r="E802">
        <v>5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x14ac:dyDescent="0.3">
      <c r="A803" t="s">
        <v>8</v>
      </c>
      <c r="B803" t="s">
        <v>114</v>
      </c>
      <c r="C803" t="s">
        <v>401</v>
      </c>
      <c r="D803">
        <v>74662</v>
      </c>
      <c r="E803">
        <v>3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x14ac:dyDescent="0.3">
      <c r="A804" t="s">
        <v>40</v>
      </c>
      <c r="B804" t="s">
        <v>402</v>
      </c>
      <c r="C804" t="s">
        <v>401</v>
      </c>
      <c r="D804">
        <v>80701</v>
      </c>
      <c r="E804">
        <v>6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x14ac:dyDescent="0.3">
      <c r="A805" t="s">
        <v>40</v>
      </c>
      <c r="B805" t="s">
        <v>69</v>
      </c>
      <c r="C805" t="s">
        <v>403</v>
      </c>
      <c r="D805">
        <v>77575</v>
      </c>
      <c r="E805">
        <v>8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x14ac:dyDescent="0.3">
      <c r="A806" t="s">
        <v>18</v>
      </c>
      <c r="B806" t="s">
        <v>37</v>
      </c>
      <c r="C806" t="s">
        <v>403</v>
      </c>
      <c r="D806">
        <v>72563</v>
      </c>
      <c r="E806">
        <v>4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x14ac:dyDescent="0.3">
      <c r="A807" t="s">
        <v>8</v>
      </c>
      <c r="B807" t="s">
        <v>72</v>
      </c>
      <c r="C807" t="s">
        <v>404</v>
      </c>
      <c r="D807">
        <v>12529</v>
      </c>
      <c r="E807">
        <v>6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x14ac:dyDescent="0.3">
      <c r="A808" t="s">
        <v>50</v>
      </c>
      <c r="B808" t="s">
        <v>156</v>
      </c>
      <c r="C808" t="s">
        <v>404</v>
      </c>
      <c r="D808">
        <v>63208</v>
      </c>
      <c r="E808">
        <v>6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x14ac:dyDescent="0.3">
      <c r="A809" t="s">
        <v>14</v>
      </c>
      <c r="B809" t="s">
        <v>144</v>
      </c>
      <c r="C809" t="s">
        <v>404</v>
      </c>
      <c r="D809">
        <v>33851</v>
      </c>
      <c r="E809">
        <v>6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x14ac:dyDescent="0.3">
      <c r="A810" t="s">
        <v>50</v>
      </c>
      <c r="B810" t="s">
        <v>305</v>
      </c>
      <c r="C810" t="s">
        <v>404</v>
      </c>
      <c r="D810">
        <v>72871</v>
      </c>
      <c r="E810">
        <v>5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x14ac:dyDescent="0.3">
      <c r="A811" t="s">
        <v>14</v>
      </c>
      <c r="B811" t="s">
        <v>107</v>
      </c>
      <c r="C811" t="s">
        <v>404</v>
      </c>
      <c r="D811">
        <v>38403</v>
      </c>
      <c r="E811">
        <v>6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3">
      <c r="A812" t="s">
        <v>50</v>
      </c>
      <c r="B812" t="s">
        <v>105</v>
      </c>
      <c r="C812" t="s">
        <v>404</v>
      </c>
      <c r="D812">
        <v>61534</v>
      </c>
      <c r="E812">
        <v>2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x14ac:dyDescent="0.3">
      <c r="A813" t="s">
        <v>28</v>
      </c>
      <c r="B813" t="s">
        <v>388</v>
      </c>
      <c r="C813" t="s">
        <v>404</v>
      </c>
      <c r="D813">
        <v>75173</v>
      </c>
      <c r="E813">
        <v>7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x14ac:dyDescent="0.3">
      <c r="A814" t="s">
        <v>40</v>
      </c>
      <c r="B814" t="s">
        <v>315</v>
      </c>
      <c r="C814" t="s">
        <v>405</v>
      </c>
      <c r="D814">
        <v>60736</v>
      </c>
      <c r="E814">
        <v>4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spans="1:8" x14ac:dyDescent="0.3">
      <c r="A815" t="s">
        <v>5</v>
      </c>
      <c r="B815" t="s">
        <v>112</v>
      </c>
      <c r="C815" t="s">
        <v>405</v>
      </c>
      <c r="D815">
        <v>12324</v>
      </c>
      <c r="E815">
        <v>3</v>
      </c>
      <c r="F815">
        <f t="shared" si="36"/>
        <v>2024</v>
      </c>
      <c r="G815">
        <f t="shared" si="37"/>
        <v>6</v>
      </c>
      <c r="H815" t="str">
        <f t="shared" si="38"/>
        <v>2024-6</v>
      </c>
    </row>
    <row r="816" spans="1:8" x14ac:dyDescent="0.3">
      <c r="A816" t="s">
        <v>14</v>
      </c>
      <c r="B816" t="s">
        <v>235</v>
      </c>
      <c r="C816" t="s">
        <v>405</v>
      </c>
      <c r="D816">
        <v>37200</v>
      </c>
      <c r="E816">
        <v>1</v>
      </c>
      <c r="F816">
        <f t="shared" si="36"/>
        <v>2024</v>
      </c>
      <c r="G816">
        <f t="shared" si="37"/>
        <v>6</v>
      </c>
      <c r="H816" t="str">
        <f t="shared" si="38"/>
        <v>2024-6</v>
      </c>
    </row>
    <row r="817" spans="1:8" x14ac:dyDescent="0.3">
      <c r="A817" t="s">
        <v>50</v>
      </c>
      <c r="B817" t="s">
        <v>36</v>
      </c>
      <c r="C817" t="s">
        <v>405</v>
      </c>
      <c r="D817">
        <v>81037</v>
      </c>
      <c r="E817">
        <v>6</v>
      </c>
      <c r="F817">
        <f t="shared" si="36"/>
        <v>2024</v>
      </c>
      <c r="G817">
        <f t="shared" si="37"/>
        <v>6</v>
      </c>
      <c r="H817" t="str">
        <f t="shared" si="38"/>
        <v>2024-6</v>
      </c>
    </row>
    <row r="818" spans="1:8" x14ac:dyDescent="0.3">
      <c r="A818" t="s">
        <v>5</v>
      </c>
      <c r="B818" t="s">
        <v>95</v>
      </c>
      <c r="C818" t="s">
        <v>406</v>
      </c>
      <c r="D818">
        <v>68364</v>
      </c>
      <c r="E818">
        <v>10</v>
      </c>
      <c r="F818">
        <f t="shared" si="36"/>
        <v>2024</v>
      </c>
      <c r="G818">
        <f t="shared" si="37"/>
        <v>6</v>
      </c>
      <c r="H818" t="str">
        <f t="shared" si="38"/>
        <v>2024-6</v>
      </c>
    </row>
    <row r="819" spans="1:8" x14ac:dyDescent="0.3">
      <c r="A819" t="s">
        <v>18</v>
      </c>
      <c r="B819" t="s">
        <v>193</v>
      </c>
      <c r="C819" t="s">
        <v>406</v>
      </c>
      <c r="D819">
        <v>51480</v>
      </c>
      <c r="E819">
        <v>7</v>
      </c>
      <c r="F819">
        <f t="shared" si="36"/>
        <v>2024</v>
      </c>
      <c r="G819">
        <f t="shared" si="37"/>
        <v>6</v>
      </c>
      <c r="H819" t="str">
        <f t="shared" si="38"/>
        <v>2024-6</v>
      </c>
    </row>
    <row r="820" spans="1:8" x14ac:dyDescent="0.3">
      <c r="A820" t="s">
        <v>18</v>
      </c>
      <c r="B820" t="s">
        <v>74</v>
      </c>
      <c r="C820" t="s">
        <v>406</v>
      </c>
      <c r="D820">
        <v>42338</v>
      </c>
      <c r="E820">
        <v>10</v>
      </c>
      <c r="F820">
        <f t="shared" si="36"/>
        <v>2024</v>
      </c>
      <c r="G820">
        <f t="shared" si="37"/>
        <v>6</v>
      </c>
      <c r="H820" t="str">
        <f t="shared" si="38"/>
        <v>2024-6</v>
      </c>
    </row>
    <row r="821" spans="1:8" x14ac:dyDescent="0.3">
      <c r="A821" t="s">
        <v>12</v>
      </c>
      <c r="B821" t="s">
        <v>52</v>
      </c>
      <c r="C821" t="s">
        <v>406</v>
      </c>
      <c r="D821">
        <v>99197</v>
      </c>
      <c r="E821">
        <v>6</v>
      </c>
      <c r="F821">
        <f t="shared" si="36"/>
        <v>2024</v>
      </c>
      <c r="G821">
        <f t="shared" si="37"/>
        <v>6</v>
      </c>
      <c r="H821" t="str">
        <f t="shared" si="38"/>
        <v>2024-6</v>
      </c>
    </row>
    <row r="822" spans="1:8" x14ac:dyDescent="0.3">
      <c r="A822" t="s">
        <v>21</v>
      </c>
      <c r="B822" t="s">
        <v>78</v>
      </c>
      <c r="C822" t="s">
        <v>407</v>
      </c>
      <c r="D822">
        <v>11822</v>
      </c>
      <c r="E822">
        <v>7</v>
      </c>
      <c r="F822">
        <f t="shared" si="36"/>
        <v>2024</v>
      </c>
      <c r="G822">
        <f t="shared" si="37"/>
        <v>6</v>
      </c>
      <c r="H822" t="str">
        <f t="shared" si="38"/>
        <v>2024-6</v>
      </c>
    </row>
    <row r="823" spans="1:8" x14ac:dyDescent="0.3">
      <c r="A823" t="s">
        <v>8</v>
      </c>
      <c r="B823" t="s">
        <v>222</v>
      </c>
      <c r="C823" t="s">
        <v>407</v>
      </c>
      <c r="D823">
        <v>53116</v>
      </c>
      <c r="E823">
        <v>6</v>
      </c>
      <c r="F823">
        <f t="shared" si="36"/>
        <v>2024</v>
      </c>
      <c r="G823">
        <f t="shared" si="37"/>
        <v>6</v>
      </c>
      <c r="H823" t="str">
        <f t="shared" si="38"/>
        <v>2024-6</v>
      </c>
    </row>
    <row r="824" spans="1:8" x14ac:dyDescent="0.3">
      <c r="A824" t="s">
        <v>14</v>
      </c>
      <c r="B824" t="s">
        <v>84</v>
      </c>
      <c r="C824" t="s">
        <v>408</v>
      </c>
      <c r="D824">
        <v>25018</v>
      </c>
      <c r="E824">
        <v>8</v>
      </c>
      <c r="F824">
        <f t="shared" si="36"/>
        <v>2024</v>
      </c>
      <c r="G824">
        <f t="shared" si="37"/>
        <v>6</v>
      </c>
      <c r="H824" t="str">
        <f t="shared" si="38"/>
        <v>2024-6</v>
      </c>
    </row>
    <row r="825" spans="1:8" x14ac:dyDescent="0.3">
      <c r="A825" t="s">
        <v>47</v>
      </c>
      <c r="B825" t="s">
        <v>35</v>
      </c>
      <c r="C825" t="s">
        <v>408</v>
      </c>
      <c r="D825">
        <v>44982</v>
      </c>
      <c r="E825">
        <v>3</v>
      </c>
      <c r="F825">
        <f t="shared" si="36"/>
        <v>2024</v>
      </c>
      <c r="G825">
        <f t="shared" si="37"/>
        <v>6</v>
      </c>
      <c r="H825" t="str">
        <f t="shared" si="38"/>
        <v>2024-6</v>
      </c>
    </row>
    <row r="826" spans="1:8" x14ac:dyDescent="0.3">
      <c r="A826" t="s">
        <v>47</v>
      </c>
      <c r="B826" t="s">
        <v>70</v>
      </c>
      <c r="C826" t="s">
        <v>409</v>
      </c>
      <c r="D826">
        <v>60278</v>
      </c>
      <c r="E826">
        <v>7</v>
      </c>
      <c r="F826">
        <f t="shared" si="36"/>
        <v>2024</v>
      </c>
      <c r="G826">
        <f t="shared" si="37"/>
        <v>6</v>
      </c>
      <c r="H826" t="str">
        <f t="shared" si="38"/>
        <v>2024-6</v>
      </c>
    </row>
    <row r="827" spans="1:8" x14ac:dyDescent="0.3">
      <c r="A827" t="s">
        <v>8</v>
      </c>
      <c r="B827" t="s">
        <v>48</v>
      </c>
      <c r="C827" t="s">
        <v>409</v>
      </c>
      <c r="D827">
        <v>23742</v>
      </c>
      <c r="E827">
        <v>2</v>
      </c>
      <c r="F827">
        <f t="shared" si="36"/>
        <v>2024</v>
      </c>
      <c r="G827">
        <f t="shared" si="37"/>
        <v>6</v>
      </c>
      <c r="H827" t="str">
        <f t="shared" si="38"/>
        <v>2024-6</v>
      </c>
    </row>
    <row r="828" spans="1:8" x14ac:dyDescent="0.3">
      <c r="A828" t="s">
        <v>28</v>
      </c>
      <c r="B828" t="s">
        <v>107</v>
      </c>
      <c r="C828" t="s">
        <v>409</v>
      </c>
      <c r="D828">
        <v>42143</v>
      </c>
      <c r="E828">
        <v>6</v>
      </c>
      <c r="F828">
        <f t="shared" si="36"/>
        <v>2024</v>
      </c>
      <c r="G828">
        <f t="shared" si="37"/>
        <v>6</v>
      </c>
      <c r="H828" t="str">
        <f t="shared" si="38"/>
        <v>2024-6</v>
      </c>
    </row>
    <row r="829" spans="1:8" x14ac:dyDescent="0.3">
      <c r="A829" t="s">
        <v>45</v>
      </c>
      <c r="B829" t="s">
        <v>141</v>
      </c>
      <c r="C829" t="s">
        <v>409</v>
      </c>
      <c r="D829">
        <v>82247</v>
      </c>
      <c r="E829">
        <v>8</v>
      </c>
      <c r="F829">
        <f t="shared" si="36"/>
        <v>2024</v>
      </c>
      <c r="G829">
        <f t="shared" si="37"/>
        <v>6</v>
      </c>
      <c r="H829" t="str">
        <f t="shared" si="38"/>
        <v>2024-6</v>
      </c>
    </row>
    <row r="830" spans="1:8" x14ac:dyDescent="0.3">
      <c r="A830" t="s">
        <v>40</v>
      </c>
      <c r="B830" t="s">
        <v>137</v>
      </c>
      <c r="C830" t="s">
        <v>409</v>
      </c>
      <c r="D830">
        <v>97491</v>
      </c>
      <c r="E830">
        <v>7</v>
      </c>
      <c r="F830">
        <f t="shared" si="36"/>
        <v>2024</v>
      </c>
      <c r="G830">
        <f t="shared" si="37"/>
        <v>6</v>
      </c>
      <c r="H830" t="str">
        <f t="shared" si="38"/>
        <v>2024-6</v>
      </c>
    </row>
    <row r="831" spans="1:8" x14ac:dyDescent="0.3">
      <c r="A831" t="s">
        <v>45</v>
      </c>
      <c r="B831" t="s">
        <v>297</v>
      </c>
      <c r="C831" t="s">
        <v>409</v>
      </c>
      <c r="D831">
        <v>53612</v>
      </c>
      <c r="E831">
        <v>6</v>
      </c>
      <c r="F831">
        <f t="shared" si="36"/>
        <v>2024</v>
      </c>
      <c r="G831">
        <f t="shared" si="37"/>
        <v>6</v>
      </c>
      <c r="H831" t="str">
        <f t="shared" si="38"/>
        <v>2024-6</v>
      </c>
    </row>
    <row r="832" spans="1:8" x14ac:dyDescent="0.3">
      <c r="A832" t="s">
        <v>10</v>
      </c>
      <c r="B832" t="s">
        <v>387</v>
      </c>
      <c r="C832" t="s">
        <v>409</v>
      </c>
      <c r="D832">
        <v>17103</v>
      </c>
      <c r="E832">
        <v>7</v>
      </c>
      <c r="F832">
        <f t="shared" si="36"/>
        <v>2024</v>
      </c>
      <c r="G832">
        <f t="shared" si="37"/>
        <v>6</v>
      </c>
      <c r="H832" t="str">
        <f t="shared" si="38"/>
        <v>2024-6</v>
      </c>
    </row>
    <row r="833" spans="1:8" x14ac:dyDescent="0.3">
      <c r="A833" t="s">
        <v>10</v>
      </c>
      <c r="B833" t="s">
        <v>138</v>
      </c>
      <c r="C833" t="s">
        <v>409</v>
      </c>
      <c r="D833">
        <v>61247</v>
      </c>
      <c r="E833">
        <v>5</v>
      </c>
      <c r="F833">
        <f t="shared" si="36"/>
        <v>2024</v>
      </c>
      <c r="G833">
        <f t="shared" si="37"/>
        <v>6</v>
      </c>
      <c r="H833" t="str">
        <f t="shared" si="38"/>
        <v>2024-6</v>
      </c>
    </row>
    <row r="834" spans="1:8" x14ac:dyDescent="0.3">
      <c r="A834" t="s">
        <v>8</v>
      </c>
      <c r="B834" t="s">
        <v>36</v>
      </c>
      <c r="C834" t="s">
        <v>409</v>
      </c>
      <c r="D834">
        <v>97727</v>
      </c>
      <c r="E834">
        <v>0</v>
      </c>
      <c r="F834">
        <f t="shared" si="36"/>
        <v>2024</v>
      </c>
      <c r="G834">
        <f t="shared" si="37"/>
        <v>6</v>
      </c>
      <c r="H834" t="str">
        <f t="shared" si="38"/>
        <v>2024-6</v>
      </c>
    </row>
    <row r="835" spans="1:8" x14ac:dyDescent="0.3">
      <c r="A835" t="s">
        <v>10</v>
      </c>
      <c r="B835" t="s">
        <v>34</v>
      </c>
      <c r="C835" t="s">
        <v>409</v>
      </c>
      <c r="D835">
        <v>83467</v>
      </c>
      <c r="E835">
        <v>3</v>
      </c>
      <c r="F835">
        <f t="shared" ref="F835:F898" si="39">YEAR(C835)</f>
        <v>2024</v>
      </c>
      <c r="G835">
        <f t="shared" ref="G835:G898" si="40">MONTH(C835)</f>
        <v>6</v>
      </c>
      <c r="H835" t="str">
        <f t="shared" ref="H835:H898" si="41">F835&amp;"-"&amp;G835</f>
        <v>2024-6</v>
      </c>
    </row>
    <row r="836" spans="1:8" x14ac:dyDescent="0.3">
      <c r="A836" t="s">
        <v>40</v>
      </c>
      <c r="B836" t="s">
        <v>115</v>
      </c>
      <c r="C836" t="s">
        <v>409</v>
      </c>
      <c r="D836">
        <v>17566</v>
      </c>
      <c r="E836">
        <v>7</v>
      </c>
      <c r="F836">
        <f t="shared" si="39"/>
        <v>2024</v>
      </c>
      <c r="G836">
        <f t="shared" si="40"/>
        <v>6</v>
      </c>
      <c r="H836" t="str">
        <f t="shared" si="41"/>
        <v>2024-6</v>
      </c>
    </row>
    <row r="837" spans="1:8" x14ac:dyDescent="0.3">
      <c r="A837" t="s">
        <v>8</v>
      </c>
      <c r="B837" t="s">
        <v>49</v>
      </c>
      <c r="C837" t="s">
        <v>409</v>
      </c>
      <c r="D837">
        <v>86868</v>
      </c>
      <c r="E837">
        <v>2</v>
      </c>
      <c r="F837">
        <f t="shared" si="39"/>
        <v>2024</v>
      </c>
      <c r="G837">
        <f t="shared" si="40"/>
        <v>6</v>
      </c>
      <c r="H837" t="str">
        <f t="shared" si="41"/>
        <v>2024-6</v>
      </c>
    </row>
    <row r="838" spans="1:8" x14ac:dyDescent="0.3">
      <c r="A838" t="s">
        <v>40</v>
      </c>
      <c r="B838" t="s">
        <v>251</v>
      </c>
      <c r="C838" t="s">
        <v>410</v>
      </c>
      <c r="D838">
        <v>37391</v>
      </c>
      <c r="E838">
        <v>7</v>
      </c>
      <c r="F838">
        <f t="shared" si="39"/>
        <v>2024</v>
      </c>
      <c r="G838">
        <f t="shared" si="40"/>
        <v>6</v>
      </c>
      <c r="H838" t="str">
        <f t="shared" si="41"/>
        <v>2024-6</v>
      </c>
    </row>
    <row r="839" spans="1:8" x14ac:dyDescent="0.3">
      <c r="A839" t="s">
        <v>50</v>
      </c>
      <c r="B839" t="s">
        <v>70</v>
      </c>
      <c r="C839" t="s">
        <v>411</v>
      </c>
      <c r="D839">
        <v>78593</v>
      </c>
      <c r="E839">
        <v>3</v>
      </c>
      <c r="F839">
        <f t="shared" si="39"/>
        <v>2024</v>
      </c>
      <c r="G839">
        <f t="shared" si="40"/>
        <v>6</v>
      </c>
      <c r="H839" t="str">
        <f t="shared" si="41"/>
        <v>2024-6</v>
      </c>
    </row>
    <row r="840" spans="1:8" x14ac:dyDescent="0.3">
      <c r="A840" t="s">
        <v>10</v>
      </c>
      <c r="B840" t="s">
        <v>235</v>
      </c>
      <c r="C840" t="s">
        <v>411</v>
      </c>
      <c r="D840">
        <v>70220</v>
      </c>
      <c r="E840">
        <v>7</v>
      </c>
      <c r="F840">
        <f t="shared" si="39"/>
        <v>2024</v>
      </c>
      <c r="G840">
        <f t="shared" si="40"/>
        <v>6</v>
      </c>
      <c r="H840" t="str">
        <f t="shared" si="41"/>
        <v>2024-6</v>
      </c>
    </row>
    <row r="841" spans="1:8" x14ac:dyDescent="0.3">
      <c r="A841" t="s">
        <v>50</v>
      </c>
      <c r="B841" t="s">
        <v>412</v>
      </c>
      <c r="C841" t="s">
        <v>411</v>
      </c>
      <c r="D841">
        <v>27794</v>
      </c>
      <c r="E841">
        <v>6</v>
      </c>
      <c r="F841">
        <f t="shared" si="39"/>
        <v>2024</v>
      </c>
      <c r="G841">
        <f t="shared" si="40"/>
        <v>6</v>
      </c>
      <c r="H841" t="str">
        <f t="shared" si="41"/>
        <v>2024-6</v>
      </c>
    </row>
    <row r="842" spans="1:8" x14ac:dyDescent="0.3">
      <c r="A842" t="s">
        <v>28</v>
      </c>
      <c r="B842" t="s">
        <v>162</v>
      </c>
      <c r="C842" t="s">
        <v>413</v>
      </c>
      <c r="D842">
        <v>19235</v>
      </c>
      <c r="E842">
        <v>8</v>
      </c>
      <c r="F842">
        <f t="shared" si="39"/>
        <v>2024</v>
      </c>
      <c r="G842">
        <f t="shared" si="40"/>
        <v>6</v>
      </c>
      <c r="H842" t="str">
        <f t="shared" si="41"/>
        <v>2024-6</v>
      </c>
    </row>
    <row r="843" spans="1:8" x14ac:dyDescent="0.3">
      <c r="A843" t="s">
        <v>50</v>
      </c>
      <c r="B843" t="s">
        <v>54</v>
      </c>
      <c r="C843" t="s">
        <v>413</v>
      </c>
      <c r="D843">
        <v>48578</v>
      </c>
      <c r="E843">
        <v>9</v>
      </c>
      <c r="F843">
        <f t="shared" si="39"/>
        <v>2024</v>
      </c>
      <c r="G843">
        <f t="shared" si="40"/>
        <v>6</v>
      </c>
      <c r="H843" t="str">
        <f t="shared" si="41"/>
        <v>2024-6</v>
      </c>
    </row>
    <row r="844" spans="1:8" x14ac:dyDescent="0.3">
      <c r="A844" t="s">
        <v>14</v>
      </c>
      <c r="B844" t="s">
        <v>364</v>
      </c>
      <c r="C844" t="s">
        <v>414</v>
      </c>
      <c r="D844">
        <v>14111</v>
      </c>
      <c r="E844">
        <v>5</v>
      </c>
      <c r="F844">
        <f t="shared" si="39"/>
        <v>2024</v>
      </c>
      <c r="G844">
        <f t="shared" si="40"/>
        <v>6</v>
      </c>
      <c r="H844" t="str">
        <f t="shared" si="41"/>
        <v>2024-6</v>
      </c>
    </row>
    <row r="845" spans="1:8" x14ac:dyDescent="0.3">
      <c r="A845" t="s">
        <v>45</v>
      </c>
      <c r="B845" t="s">
        <v>149</v>
      </c>
      <c r="C845" t="s">
        <v>414</v>
      </c>
      <c r="D845">
        <v>25259</v>
      </c>
      <c r="E845">
        <v>4</v>
      </c>
      <c r="F845">
        <f t="shared" si="39"/>
        <v>2024</v>
      </c>
      <c r="G845">
        <f t="shared" si="40"/>
        <v>6</v>
      </c>
      <c r="H845" t="str">
        <f t="shared" si="41"/>
        <v>2024-6</v>
      </c>
    </row>
    <row r="846" spans="1:8" x14ac:dyDescent="0.3">
      <c r="A846" t="s">
        <v>5</v>
      </c>
      <c r="B846" t="s">
        <v>222</v>
      </c>
      <c r="C846" t="s">
        <v>414</v>
      </c>
      <c r="D846">
        <v>54289</v>
      </c>
      <c r="E846">
        <v>3</v>
      </c>
      <c r="F846">
        <f t="shared" si="39"/>
        <v>2024</v>
      </c>
      <c r="G846">
        <f t="shared" si="40"/>
        <v>6</v>
      </c>
      <c r="H846" t="str">
        <f t="shared" si="41"/>
        <v>2024-6</v>
      </c>
    </row>
    <row r="847" spans="1:8" x14ac:dyDescent="0.3">
      <c r="A847" t="s">
        <v>14</v>
      </c>
      <c r="B847" t="s">
        <v>284</v>
      </c>
      <c r="C847" t="s">
        <v>415</v>
      </c>
      <c r="D847">
        <v>19827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x14ac:dyDescent="0.3">
      <c r="A848" t="s">
        <v>18</v>
      </c>
      <c r="B848" t="s">
        <v>197</v>
      </c>
      <c r="C848" t="s">
        <v>415</v>
      </c>
      <c r="D848">
        <v>68231</v>
      </c>
      <c r="E848">
        <v>7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x14ac:dyDescent="0.3">
      <c r="A849" t="s">
        <v>45</v>
      </c>
      <c r="B849" t="s">
        <v>154</v>
      </c>
      <c r="C849" t="s">
        <v>415</v>
      </c>
      <c r="D849">
        <v>88866</v>
      </c>
      <c r="E849">
        <v>7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x14ac:dyDescent="0.3">
      <c r="A850" t="s">
        <v>45</v>
      </c>
      <c r="B850" t="s">
        <v>194</v>
      </c>
      <c r="C850" t="s">
        <v>415</v>
      </c>
      <c r="D850">
        <v>86038</v>
      </c>
      <c r="E850">
        <v>9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x14ac:dyDescent="0.3">
      <c r="A851" t="s">
        <v>50</v>
      </c>
      <c r="B851" t="s">
        <v>268</v>
      </c>
      <c r="C851" t="s">
        <v>415</v>
      </c>
      <c r="D851">
        <v>64908</v>
      </c>
      <c r="E851">
        <v>5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x14ac:dyDescent="0.3">
      <c r="A852" t="s">
        <v>40</v>
      </c>
      <c r="B852" t="s">
        <v>166</v>
      </c>
      <c r="C852" t="s">
        <v>415</v>
      </c>
      <c r="D852">
        <v>47004</v>
      </c>
      <c r="E852">
        <v>7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x14ac:dyDescent="0.3">
      <c r="A853" t="s">
        <v>8</v>
      </c>
      <c r="B853" t="s">
        <v>247</v>
      </c>
      <c r="C853" t="s">
        <v>415</v>
      </c>
      <c r="D853">
        <v>99434</v>
      </c>
      <c r="E853">
        <v>4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x14ac:dyDescent="0.3">
      <c r="A854" t="s">
        <v>50</v>
      </c>
      <c r="B854" t="s">
        <v>124</v>
      </c>
      <c r="C854" t="s">
        <v>416</v>
      </c>
      <c r="D854">
        <v>69841</v>
      </c>
      <c r="E854">
        <v>8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3">
      <c r="A855" t="s">
        <v>28</v>
      </c>
      <c r="B855" t="s">
        <v>32</v>
      </c>
      <c r="C855" t="s">
        <v>416</v>
      </c>
      <c r="D855">
        <v>47465</v>
      </c>
      <c r="E855">
        <v>5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x14ac:dyDescent="0.3">
      <c r="A856" t="s">
        <v>5</v>
      </c>
      <c r="B856" t="s">
        <v>34</v>
      </c>
      <c r="C856" t="s">
        <v>416</v>
      </c>
      <c r="D856">
        <v>68281</v>
      </c>
      <c r="E856">
        <v>10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x14ac:dyDescent="0.3">
      <c r="A857" t="s">
        <v>5</v>
      </c>
      <c r="B857" t="s">
        <v>169</v>
      </c>
      <c r="C857" t="s">
        <v>417</v>
      </c>
      <c r="D857">
        <v>53868</v>
      </c>
      <c r="E857">
        <v>4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x14ac:dyDescent="0.3">
      <c r="A858" t="s">
        <v>12</v>
      </c>
      <c r="B858" t="s">
        <v>270</v>
      </c>
      <c r="C858" t="s">
        <v>417</v>
      </c>
      <c r="D858">
        <v>40835</v>
      </c>
      <c r="E858">
        <v>1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3">
      <c r="A859" t="s">
        <v>10</v>
      </c>
      <c r="B859" t="s">
        <v>69</v>
      </c>
      <c r="C859" t="s">
        <v>418</v>
      </c>
      <c r="D859">
        <v>87835</v>
      </c>
      <c r="E859">
        <v>9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3">
      <c r="A860" t="s">
        <v>8</v>
      </c>
      <c r="B860" t="s">
        <v>193</v>
      </c>
      <c r="C860" t="s">
        <v>418</v>
      </c>
      <c r="D860">
        <v>70317</v>
      </c>
      <c r="E860">
        <v>10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x14ac:dyDescent="0.3">
      <c r="A861" t="s">
        <v>40</v>
      </c>
      <c r="B861" t="s">
        <v>163</v>
      </c>
      <c r="C861" t="s">
        <v>419</v>
      </c>
      <c r="D861">
        <v>12943</v>
      </c>
      <c r="E861">
        <v>5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x14ac:dyDescent="0.3">
      <c r="A862" t="s">
        <v>40</v>
      </c>
      <c r="B862" t="s">
        <v>152</v>
      </c>
      <c r="C862" t="s">
        <v>419</v>
      </c>
      <c r="D862">
        <v>24566</v>
      </c>
      <c r="E862">
        <v>5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x14ac:dyDescent="0.3">
      <c r="A863" t="s">
        <v>12</v>
      </c>
      <c r="B863" t="s">
        <v>176</v>
      </c>
      <c r="C863" t="s">
        <v>419</v>
      </c>
      <c r="D863">
        <v>96582</v>
      </c>
      <c r="E863">
        <v>7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x14ac:dyDescent="0.3">
      <c r="A864" t="s">
        <v>47</v>
      </c>
      <c r="B864" t="s">
        <v>217</v>
      </c>
      <c r="C864" t="s">
        <v>419</v>
      </c>
      <c r="D864">
        <v>99765</v>
      </c>
      <c r="E864">
        <v>6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x14ac:dyDescent="0.3">
      <c r="A865" t="s">
        <v>10</v>
      </c>
      <c r="B865" t="s">
        <v>251</v>
      </c>
      <c r="C865" t="s">
        <v>419</v>
      </c>
      <c r="D865">
        <v>65631</v>
      </c>
      <c r="E865">
        <v>2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3">
      <c r="A866" t="s">
        <v>50</v>
      </c>
      <c r="B866" t="s">
        <v>199</v>
      </c>
      <c r="C866" t="s">
        <v>419</v>
      </c>
      <c r="D866">
        <v>17497</v>
      </c>
      <c r="E866">
        <v>0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3">
      <c r="A867" t="s">
        <v>14</v>
      </c>
      <c r="B867" t="s">
        <v>178</v>
      </c>
      <c r="C867" t="s">
        <v>420</v>
      </c>
      <c r="D867">
        <v>43358</v>
      </c>
      <c r="E867">
        <v>2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3">
      <c r="A868" t="s">
        <v>28</v>
      </c>
      <c r="B868" t="s">
        <v>96</v>
      </c>
      <c r="C868" t="s">
        <v>420</v>
      </c>
      <c r="D868">
        <v>42619</v>
      </c>
      <c r="E868">
        <v>3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x14ac:dyDescent="0.3">
      <c r="A869" t="s">
        <v>10</v>
      </c>
      <c r="B869" t="s">
        <v>276</v>
      </c>
      <c r="C869" t="s">
        <v>420</v>
      </c>
      <c r="D869">
        <v>45757</v>
      </c>
      <c r="E869">
        <v>7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3">
      <c r="A870" t="s">
        <v>21</v>
      </c>
      <c r="B870" t="s">
        <v>89</v>
      </c>
      <c r="C870" t="s">
        <v>420</v>
      </c>
      <c r="D870">
        <v>88519</v>
      </c>
      <c r="E870">
        <v>9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x14ac:dyDescent="0.3">
      <c r="A871" t="s">
        <v>45</v>
      </c>
      <c r="B871" t="s">
        <v>180</v>
      </c>
      <c r="C871" t="s">
        <v>421</v>
      </c>
      <c r="D871">
        <v>47909</v>
      </c>
      <c r="E871">
        <v>9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x14ac:dyDescent="0.3">
      <c r="A872" t="s">
        <v>28</v>
      </c>
      <c r="B872" t="s">
        <v>154</v>
      </c>
      <c r="C872" t="s">
        <v>421</v>
      </c>
      <c r="D872">
        <v>23077</v>
      </c>
      <c r="E872">
        <v>6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x14ac:dyDescent="0.3">
      <c r="A873" t="s">
        <v>21</v>
      </c>
      <c r="B873" t="s">
        <v>112</v>
      </c>
      <c r="C873" t="s">
        <v>422</v>
      </c>
      <c r="D873">
        <v>87643</v>
      </c>
      <c r="E873">
        <v>4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3">
      <c r="A874" t="s">
        <v>40</v>
      </c>
      <c r="B874" t="s">
        <v>364</v>
      </c>
      <c r="C874" t="s">
        <v>423</v>
      </c>
      <c r="D874">
        <v>51319</v>
      </c>
      <c r="E874">
        <v>9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x14ac:dyDescent="0.3">
      <c r="A875" t="s">
        <v>14</v>
      </c>
      <c r="B875" t="s">
        <v>43</v>
      </c>
      <c r="C875" t="s">
        <v>424</v>
      </c>
      <c r="D875">
        <v>69935</v>
      </c>
      <c r="E875">
        <v>6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x14ac:dyDescent="0.3">
      <c r="A876" t="s">
        <v>5</v>
      </c>
      <c r="B876" t="s">
        <v>23</v>
      </c>
      <c r="C876" t="s">
        <v>424</v>
      </c>
      <c r="D876">
        <v>20669</v>
      </c>
      <c r="E876">
        <v>7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x14ac:dyDescent="0.3">
      <c r="A877" t="s">
        <v>18</v>
      </c>
      <c r="B877" t="s">
        <v>197</v>
      </c>
      <c r="C877" t="s">
        <v>424</v>
      </c>
      <c r="D877">
        <v>94901</v>
      </c>
      <c r="E877">
        <v>8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3">
      <c r="A878" t="s">
        <v>45</v>
      </c>
      <c r="B878" t="s">
        <v>318</v>
      </c>
      <c r="C878" t="s">
        <v>424</v>
      </c>
      <c r="D878">
        <v>30214</v>
      </c>
      <c r="E878">
        <v>6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x14ac:dyDescent="0.3">
      <c r="A879" t="s">
        <v>5</v>
      </c>
      <c r="B879" t="s">
        <v>88</v>
      </c>
      <c r="C879" t="s">
        <v>424</v>
      </c>
      <c r="D879">
        <v>82856</v>
      </c>
      <c r="E879">
        <v>5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x14ac:dyDescent="0.3">
      <c r="A880" t="s">
        <v>21</v>
      </c>
      <c r="B880" t="s">
        <v>166</v>
      </c>
      <c r="C880" t="s">
        <v>424</v>
      </c>
      <c r="D880">
        <v>23841</v>
      </c>
      <c r="E880">
        <v>0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x14ac:dyDescent="0.3">
      <c r="A881" t="s">
        <v>40</v>
      </c>
      <c r="B881" t="s">
        <v>194</v>
      </c>
      <c r="C881" t="s">
        <v>424</v>
      </c>
      <c r="D881">
        <v>56630</v>
      </c>
      <c r="E881">
        <v>6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x14ac:dyDescent="0.3">
      <c r="A882" t="s">
        <v>14</v>
      </c>
      <c r="B882" t="s">
        <v>209</v>
      </c>
      <c r="C882" t="s">
        <v>424</v>
      </c>
      <c r="D882">
        <v>26760</v>
      </c>
      <c r="E882">
        <v>8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x14ac:dyDescent="0.3">
      <c r="A883" t="s">
        <v>8</v>
      </c>
      <c r="B883" t="s">
        <v>20</v>
      </c>
      <c r="C883" t="s">
        <v>424</v>
      </c>
      <c r="D883">
        <v>19460</v>
      </c>
      <c r="E883">
        <v>6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x14ac:dyDescent="0.3">
      <c r="A884" t="s">
        <v>10</v>
      </c>
      <c r="B884" t="s">
        <v>168</v>
      </c>
      <c r="C884" t="s">
        <v>425</v>
      </c>
      <c r="D884">
        <v>74845</v>
      </c>
      <c r="E884">
        <v>6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x14ac:dyDescent="0.3">
      <c r="A885" t="s">
        <v>45</v>
      </c>
      <c r="B885" t="s">
        <v>318</v>
      </c>
      <c r="C885" t="s">
        <v>426</v>
      </c>
      <c r="D885">
        <v>63641</v>
      </c>
      <c r="E885">
        <v>4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x14ac:dyDescent="0.3">
      <c r="A886" t="s">
        <v>14</v>
      </c>
      <c r="B886" t="s">
        <v>122</v>
      </c>
      <c r="C886" t="s">
        <v>426</v>
      </c>
      <c r="D886">
        <v>77926</v>
      </c>
      <c r="E886">
        <v>5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x14ac:dyDescent="0.3">
      <c r="A887" t="s">
        <v>45</v>
      </c>
      <c r="B887" t="s">
        <v>15</v>
      </c>
      <c r="C887" t="s">
        <v>427</v>
      </c>
      <c r="D887">
        <v>68638</v>
      </c>
      <c r="E887">
        <v>10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x14ac:dyDescent="0.3">
      <c r="A888" t="s">
        <v>21</v>
      </c>
      <c r="B888" t="s">
        <v>156</v>
      </c>
      <c r="C888" t="s">
        <v>427</v>
      </c>
      <c r="D888">
        <v>32669</v>
      </c>
      <c r="E888">
        <v>6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x14ac:dyDescent="0.3">
      <c r="A889" t="s">
        <v>21</v>
      </c>
      <c r="B889" t="s">
        <v>66</v>
      </c>
      <c r="C889" t="s">
        <v>427</v>
      </c>
      <c r="D889">
        <v>36397</v>
      </c>
      <c r="E889">
        <v>3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x14ac:dyDescent="0.3">
      <c r="A890" t="s">
        <v>12</v>
      </c>
      <c r="B890" t="s">
        <v>101</v>
      </c>
      <c r="C890" t="s">
        <v>427</v>
      </c>
      <c r="D890">
        <v>95490</v>
      </c>
      <c r="E890">
        <v>9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x14ac:dyDescent="0.3">
      <c r="A891" t="s">
        <v>47</v>
      </c>
      <c r="B891" t="s">
        <v>318</v>
      </c>
      <c r="C891" t="s">
        <v>428</v>
      </c>
      <c r="D891">
        <v>73518</v>
      </c>
      <c r="E891">
        <v>3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x14ac:dyDescent="0.3">
      <c r="A892" t="s">
        <v>50</v>
      </c>
      <c r="B892" t="s">
        <v>77</v>
      </c>
      <c r="C892" t="s">
        <v>429</v>
      </c>
      <c r="D892">
        <v>84549</v>
      </c>
      <c r="E892">
        <v>6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x14ac:dyDescent="0.3">
      <c r="A893" t="s">
        <v>45</v>
      </c>
      <c r="B893" t="s">
        <v>59</v>
      </c>
      <c r="C893" t="s">
        <v>429</v>
      </c>
      <c r="D893">
        <v>31595</v>
      </c>
      <c r="E893">
        <v>7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x14ac:dyDescent="0.3">
      <c r="A894" t="s">
        <v>47</v>
      </c>
      <c r="B894" t="s">
        <v>144</v>
      </c>
      <c r="C894" t="s">
        <v>429</v>
      </c>
      <c r="D894">
        <v>50566</v>
      </c>
      <c r="E894">
        <v>8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x14ac:dyDescent="0.3">
      <c r="A895" t="s">
        <v>18</v>
      </c>
      <c r="B895" t="s">
        <v>315</v>
      </c>
      <c r="C895" t="s">
        <v>429</v>
      </c>
      <c r="D895">
        <v>10305</v>
      </c>
      <c r="E895">
        <v>8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x14ac:dyDescent="0.3">
      <c r="A896" t="s">
        <v>50</v>
      </c>
      <c r="B896" t="s">
        <v>103</v>
      </c>
      <c r="C896" t="s">
        <v>429</v>
      </c>
      <c r="D896">
        <v>25553</v>
      </c>
      <c r="E896">
        <v>4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3">
      <c r="A897" t="s">
        <v>40</v>
      </c>
      <c r="B897" t="s">
        <v>25</v>
      </c>
      <c r="C897" t="s">
        <v>429</v>
      </c>
      <c r="D897">
        <v>62550</v>
      </c>
      <c r="E897">
        <v>7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x14ac:dyDescent="0.3">
      <c r="A898" t="s">
        <v>5</v>
      </c>
      <c r="B898" t="s">
        <v>273</v>
      </c>
      <c r="C898" t="s">
        <v>430</v>
      </c>
      <c r="D898">
        <v>29369</v>
      </c>
      <c r="E898">
        <v>5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x14ac:dyDescent="0.3">
      <c r="A899" t="s">
        <v>18</v>
      </c>
      <c r="B899" t="s">
        <v>147</v>
      </c>
      <c r="C899" t="s">
        <v>430</v>
      </c>
      <c r="D899">
        <v>18597</v>
      </c>
      <c r="E899">
        <v>7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x14ac:dyDescent="0.3">
      <c r="A900" t="s">
        <v>21</v>
      </c>
      <c r="B900" t="s">
        <v>122</v>
      </c>
      <c r="C900" t="s">
        <v>430</v>
      </c>
      <c r="D900">
        <v>95910</v>
      </c>
      <c r="E900">
        <v>4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3">
      <c r="A901" t="s">
        <v>45</v>
      </c>
      <c r="B901" t="s">
        <v>135</v>
      </c>
      <c r="C901" t="s">
        <v>431</v>
      </c>
      <c r="D901">
        <v>81045</v>
      </c>
      <c r="E901">
        <v>8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3">
      <c r="A902" t="s">
        <v>8</v>
      </c>
      <c r="B902" t="s">
        <v>56</v>
      </c>
      <c r="C902" t="s">
        <v>432</v>
      </c>
      <c r="D902">
        <v>96091</v>
      </c>
      <c r="E902">
        <v>4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3">
      <c r="A903" t="s">
        <v>5</v>
      </c>
      <c r="B903" t="s">
        <v>394</v>
      </c>
      <c r="C903" t="s">
        <v>432</v>
      </c>
      <c r="D903">
        <v>58936</v>
      </c>
      <c r="E903">
        <v>7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3">
      <c r="A904" t="s">
        <v>18</v>
      </c>
      <c r="B904" t="s">
        <v>36</v>
      </c>
      <c r="C904" t="s">
        <v>432</v>
      </c>
      <c r="D904">
        <v>64570</v>
      </c>
      <c r="E904">
        <v>10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3">
      <c r="A905" t="s">
        <v>5</v>
      </c>
      <c r="B905" t="s">
        <v>61</v>
      </c>
      <c r="C905" t="s">
        <v>432</v>
      </c>
      <c r="D905">
        <v>84176</v>
      </c>
      <c r="E905">
        <v>7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3">
      <c r="A906" t="s">
        <v>14</v>
      </c>
      <c r="B906" t="s">
        <v>80</v>
      </c>
      <c r="C906" t="s">
        <v>433</v>
      </c>
      <c r="D906">
        <v>31478</v>
      </c>
      <c r="E906">
        <v>3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3">
      <c r="A907" t="s">
        <v>28</v>
      </c>
      <c r="B907" t="s">
        <v>190</v>
      </c>
      <c r="C907" t="s">
        <v>433</v>
      </c>
      <c r="D907">
        <v>78095</v>
      </c>
      <c r="E907">
        <v>6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3">
      <c r="A908" t="s">
        <v>5</v>
      </c>
      <c r="B908" t="s">
        <v>388</v>
      </c>
      <c r="C908" t="s">
        <v>433</v>
      </c>
      <c r="D908">
        <v>77668</v>
      </c>
      <c r="E908">
        <v>8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3">
      <c r="A909" t="s">
        <v>47</v>
      </c>
      <c r="B909" t="s">
        <v>160</v>
      </c>
      <c r="C909" t="s">
        <v>433</v>
      </c>
      <c r="D909">
        <v>55719</v>
      </c>
      <c r="E909">
        <v>2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3">
      <c r="A910" t="s">
        <v>28</v>
      </c>
      <c r="B910" t="s">
        <v>171</v>
      </c>
      <c r="C910" t="s">
        <v>434</v>
      </c>
      <c r="D910">
        <v>44575</v>
      </c>
      <c r="E910">
        <v>4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3">
      <c r="A911" t="s">
        <v>10</v>
      </c>
      <c r="B911" t="s">
        <v>156</v>
      </c>
      <c r="C911" t="s">
        <v>434</v>
      </c>
      <c r="D911">
        <v>94350</v>
      </c>
      <c r="E911">
        <v>8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3">
      <c r="A912" t="s">
        <v>50</v>
      </c>
      <c r="B912" t="s">
        <v>167</v>
      </c>
      <c r="C912" t="s">
        <v>434</v>
      </c>
      <c r="D912">
        <v>95899</v>
      </c>
      <c r="E912">
        <v>6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x14ac:dyDescent="0.3">
      <c r="A913" t="s">
        <v>45</v>
      </c>
      <c r="B913" t="s">
        <v>305</v>
      </c>
      <c r="C913" t="s">
        <v>434</v>
      </c>
      <c r="D913">
        <v>33675</v>
      </c>
      <c r="E913">
        <v>5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x14ac:dyDescent="0.3">
      <c r="A914" t="s">
        <v>14</v>
      </c>
      <c r="B914" t="s">
        <v>48</v>
      </c>
      <c r="C914" t="s">
        <v>434</v>
      </c>
      <c r="D914">
        <v>55617</v>
      </c>
      <c r="E914">
        <v>6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3">
      <c r="A915" t="s">
        <v>18</v>
      </c>
      <c r="B915" t="s">
        <v>258</v>
      </c>
      <c r="C915" t="s">
        <v>435</v>
      </c>
      <c r="D915">
        <v>97832</v>
      </c>
      <c r="E915">
        <v>3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x14ac:dyDescent="0.3">
      <c r="A916" t="s">
        <v>8</v>
      </c>
      <c r="B916" t="s">
        <v>149</v>
      </c>
      <c r="C916" t="s">
        <v>435</v>
      </c>
      <c r="D916">
        <v>27553</v>
      </c>
      <c r="E916">
        <v>3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x14ac:dyDescent="0.3">
      <c r="A917" t="s">
        <v>18</v>
      </c>
      <c r="B917" t="s">
        <v>114</v>
      </c>
      <c r="C917" t="s">
        <v>435</v>
      </c>
      <c r="D917">
        <v>51805</v>
      </c>
      <c r="E917">
        <v>6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x14ac:dyDescent="0.3">
      <c r="A918" t="s">
        <v>10</v>
      </c>
      <c r="B918" t="s">
        <v>178</v>
      </c>
      <c r="C918" t="s">
        <v>436</v>
      </c>
      <c r="D918">
        <v>79397</v>
      </c>
      <c r="E918">
        <v>9</v>
      </c>
      <c r="F918">
        <f t="shared" si="42"/>
        <v>2024</v>
      </c>
      <c r="G918">
        <f t="shared" si="43"/>
        <v>7</v>
      </c>
      <c r="H918" t="str">
        <f t="shared" si="44"/>
        <v>2024-7</v>
      </c>
    </row>
    <row r="919" spans="1:8" x14ac:dyDescent="0.3">
      <c r="A919" t="s">
        <v>14</v>
      </c>
      <c r="B919" t="s">
        <v>124</v>
      </c>
      <c r="C919" t="s">
        <v>436</v>
      </c>
      <c r="D919">
        <v>92198</v>
      </c>
      <c r="E919">
        <v>6</v>
      </c>
      <c r="F919">
        <f t="shared" si="42"/>
        <v>2024</v>
      </c>
      <c r="G919">
        <f t="shared" si="43"/>
        <v>7</v>
      </c>
      <c r="H919" t="str">
        <f t="shared" si="44"/>
        <v>2024-7</v>
      </c>
    </row>
    <row r="920" spans="1:8" x14ac:dyDescent="0.3">
      <c r="A920" t="s">
        <v>21</v>
      </c>
      <c r="B920" t="s">
        <v>251</v>
      </c>
      <c r="C920" t="s">
        <v>437</v>
      </c>
      <c r="D920">
        <v>31175</v>
      </c>
      <c r="E920">
        <v>6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x14ac:dyDescent="0.3">
      <c r="A921" t="s">
        <v>50</v>
      </c>
      <c r="B921" t="s">
        <v>252</v>
      </c>
      <c r="C921" t="s">
        <v>438</v>
      </c>
      <c r="D921">
        <v>89439</v>
      </c>
      <c r="E921">
        <v>8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3">
      <c r="A922" t="s">
        <v>45</v>
      </c>
      <c r="B922" t="s">
        <v>165</v>
      </c>
      <c r="C922" t="s">
        <v>438</v>
      </c>
      <c r="D922">
        <v>13366</v>
      </c>
      <c r="E922">
        <v>8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3">
      <c r="A923" t="s">
        <v>12</v>
      </c>
      <c r="B923" t="s">
        <v>126</v>
      </c>
      <c r="C923" t="s">
        <v>438</v>
      </c>
      <c r="D923">
        <v>55525</v>
      </c>
      <c r="E923">
        <v>8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3">
      <c r="A924" t="s">
        <v>50</v>
      </c>
      <c r="B924" t="s">
        <v>238</v>
      </c>
      <c r="C924" t="s">
        <v>438</v>
      </c>
      <c r="D924">
        <v>53139</v>
      </c>
      <c r="E924">
        <v>9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3">
      <c r="A925" t="s">
        <v>8</v>
      </c>
      <c r="B925" t="s">
        <v>338</v>
      </c>
      <c r="C925" t="s">
        <v>438</v>
      </c>
      <c r="D925">
        <v>84178</v>
      </c>
      <c r="E925">
        <v>4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3">
      <c r="A926" t="s">
        <v>8</v>
      </c>
      <c r="B926" t="s">
        <v>54</v>
      </c>
      <c r="C926" t="s">
        <v>438</v>
      </c>
      <c r="D926">
        <v>14995</v>
      </c>
      <c r="E926">
        <v>10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3">
      <c r="A927" t="s">
        <v>47</v>
      </c>
      <c r="B927" t="s">
        <v>83</v>
      </c>
      <c r="C927" t="s">
        <v>439</v>
      </c>
      <c r="D927">
        <v>84755</v>
      </c>
      <c r="E927">
        <v>8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x14ac:dyDescent="0.3">
      <c r="A928" t="s">
        <v>28</v>
      </c>
      <c r="B928" t="s">
        <v>440</v>
      </c>
      <c r="C928" t="s">
        <v>439</v>
      </c>
      <c r="D928">
        <v>34427</v>
      </c>
      <c r="E928">
        <v>4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x14ac:dyDescent="0.3">
      <c r="A929" t="s">
        <v>28</v>
      </c>
      <c r="B929" t="s">
        <v>150</v>
      </c>
      <c r="C929" t="s">
        <v>439</v>
      </c>
      <c r="D929">
        <v>51328</v>
      </c>
      <c r="E929">
        <v>7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3">
      <c r="A930" t="s">
        <v>8</v>
      </c>
      <c r="B930" t="s">
        <v>256</v>
      </c>
      <c r="C930" t="s">
        <v>439</v>
      </c>
      <c r="D930">
        <v>56972</v>
      </c>
      <c r="E930">
        <v>7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x14ac:dyDescent="0.3">
      <c r="A931" t="s">
        <v>14</v>
      </c>
      <c r="B931" t="s">
        <v>221</v>
      </c>
      <c r="C931" t="s">
        <v>439</v>
      </c>
      <c r="D931">
        <v>75966</v>
      </c>
      <c r="E931">
        <v>7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x14ac:dyDescent="0.3">
      <c r="A932" t="s">
        <v>12</v>
      </c>
      <c r="B932" t="s">
        <v>97</v>
      </c>
      <c r="C932" t="s">
        <v>439</v>
      </c>
      <c r="D932">
        <v>34431</v>
      </c>
      <c r="E932">
        <v>6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x14ac:dyDescent="0.3">
      <c r="A933" t="s">
        <v>12</v>
      </c>
      <c r="B933" t="s">
        <v>35</v>
      </c>
      <c r="C933" t="s">
        <v>439</v>
      </c>
      <c r="D933">
        <v>32825</v>
      </c>
      <c r="E933">
        <v>6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x14ac:dyDescent="0.3">
      <c r="A934" t="s">
        <v>14</v>
      </c>
      <c r="B934" t="s">
        <v>46</v>
      </c>
      <c r="C934" t="s">
        <v>439</v>
      </c>
      <c r="D934">
        <v>25271</v>
      </c>
      <c r="E934">
        <v>9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x14ac:dyDescent="0.3">
      <c r="A935" t="s">
        <v>14</v>
      </c>
      <c r="B935" t="s">
        <v>69</v>
      </c>
      <c r="C935" t="s">
        <v>441</v>
      </c>
      <c r="D935">
        <v>17389</v>
      </c>
      <c r="E935">
        <v>7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x14ac:dyDescent="0.3">
      <c r="A936" t="s">
        <v>47</v>
      </c>
      <c r="B936" t="s">
        <v>199</v>
      </c>
      <c r="C936" t="s">
        <v>441</v>
      </c>
      <c r="D936">
        <v>32060</v>
      </c>
      <c r="E936">
        <v>1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3">
      <c r="A937" t="s">
        <v>14</v>
      </c>
      <c r="B937" t="s">
        <v>123</v>
      </c>
      <c r="C937" t="s">
        <v>442</v>
      </c>
      <c r="D937">
        <v>95697</v>
      </c>
      <c r="E937">
        <v>6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x14ac:dyDescent="0.3">
      <c r="A938" t="s">
        <v>12</v>
      </c>
      <c r="B938" t="s">
        <v>195</v>
      </c>
      <c r="C938" t="s">
        <v>442</v>
      </c>
      <c r="D938">
        <v>92203</v>
      </c>
      <c r="E938">
        <v>7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x14ac:dyDescent="0.3">
      <c r="A939" t="s">
        <v>21</v>
      </c>
      <c r="B939" t="s">
        <v>197</v>
      </c>
      <c r="C939" t="s">
        <v>442</v>
      </c>
      <c r="D939">
        <v>17341</v>
      </c>
      <c r="E939">
        <v>5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x14ac:dyDescent="0.3">
      <c r="A940" t="s">
        <v>5</v>
      </c>
      <c r="B940" t="s">
        <v>25</v>
      </c>
      <c r="C940" t="s">
        <v>442</v>
      </c>
      <c r="D940">
        <v>11478</v>
      </c>
      <c r="E940">
        <v>6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x14ac:dyDescent="0.3">
      <c r="A941" t="s">
        <v>8</v>
      </c>
      <c r="B941" t="s">
        <v>182</v>
      </c>
      <c r="C941" t="s">
        <v>442</v>
      </c>
      <c r="D941">
        <v>13433</v>
      </c>
      <c r="E941">
        <v>7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3">
      <c r="A942" t="s">
        <v>5</v>
      </c>
      <c r="B942" t="s">
        <v>394</v>
      </c>
      <c r="C942" t="s">
        <v>442</v>
      </c>
      <c r="D942">
        <v>32465</v>
      </c>
      <c r="E942">
        <v>5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x14ac:dyDescent="0.3">
      <c r="A943" t="s">
        <v>18</v>
      </c>
      <c r="B943" t="s">
        <v>69</v>
      </c>
      <c r="C943" t="s">
        <v>443</v>
      </c>
      <c r="D943">
        <v>88473</v>
      </c>
      <c r="E943">
        <v>8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x14ac:dyDescent="0.3">
      <c r="A944" t="s">
        <v>28</v>
      </c>
      <c r="B944" t="s">
        <v>258</v>
      </c>
      <c r="C944" t="s">
        <v>444</v>
      </c>
      <c r="D944">
        <v>35915</v>
      </c>
      <c r="E944">
        <v>3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x14ac:dyDescent="0.3">
      <c r="A945" t="s">
        <v>14</v>
      </c>
      <c r="B945" t="s">
        <v>210</v>
      </c>
      <c r="C945" t="s">
        <v>444</v>
      </c>
      <c r="D945">
        <v>39702</v>
      </c>
      <c r="E945">
        <v>2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3">
      <c r="A946" t="s">
        <v>28</v>
      </c>
      <c r="B946" t="s">
        <v>238</v>
      </c>
      <c r="C946" t="s">
        <v>445</v>
      </c>
      <c r="D946">
        <v>24687</v>
      </c>
      <c r="E946">
        <v>6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3">
      <c r="A947" t="s">
        <v>18</v>
      </c>
      <c r="B947" t="s">
        <v>140</v>
      </c>
      <c r="C947" t="s">
        <v>445</v>
      </c>
      <c r="D947">
        <v>26664</v>
      </c>
      <c r="E947">
        <v>9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x14ac:dyDescent="0.3">
      <c r="A948" t="s">
        <v>50</v>
      </c>
      <c r="B948" t="s">
        <v>69</v>
      </c>
      <c r="C948" t="s">
        <v>445</v>
      </c>
      <c r="D948">
        <v>82396</v>
      </c>
      <c r="E948">
        <v>10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x14ac:dyDescent="0.3">
      <c r="A949" t="s">
        <v>40</v>
      </c>
      <c r="B949" t="s">
        <v>75</v>
      </c>
      <c r="C949" t="s">
        <v>445</v>
      </c>
      <c r="D949">
        <v>62807</v>
      </c>
      <c r="E949">
        <v>6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x14ac:dyDescent="0.3">
      <c r="A950" t="s">
        <v>40</v>
      </c>
      <c r="B950" t="s">
        <v>124</v>
      </c>
      <c r="C950" t="s">
        <v>445</v>
      </c>
      <c r="D950">
        <v>50401</v>
      </c>
      <c r="E950">
        <v>7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3">
      <c r="A951" t="s">
        <v>14</v>
      </c>
      <c r="B951" t="s">
        <v>324</v>
      </c>
      <c r="C951" t="s">
        <v>445</v>
      </c>
      <c r="D951">
        <v>27667</v>
      </c>
      <c r="E951">
        <v>10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3">
      <c r="A952" t="s">
        <v>45</v>
      </c>
      <c r="B952" t="s">
        <v>247</v>
      </c>
      <c r="C952" t="s">
        <v>445</v>
      </c>
      <c r="D952">
        <v>11064</v>
      </c>
      <c r="E952">
        <v>3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x14ac:dyDescent="0.3">
      <c r="A953" t="s">
        <v>40</v>
      </c>
      <c r="B953" t="s">
        <v>36</v>
      </c>
      <c r="C953" t="s">
        <v>445</v>
      </c>
      <c r="D953">
        <v>90538</v>
      </c>
      <c r="E953">
        <v>6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x14ac:dyDescent="0.3">
      <c r="A954" t="s">
        <v>14</v>
      </c>
      <c r="B954" t="s">
        <v>202</v>
      </c>
      <c r="C954" t="s">
        <v>445</v>
      </c>
      <c r="D954">
        <v>73658</v>
      </c>
      <c r="E954">
        <v>9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x14ac:dyDescent="0.3">
      <c r="A955" t="s">
        <v>40</v>
      </c>
      <c r="B955" t="s">
        <v>258</v>
      </c>
      <c r="C955" t="s">
        <v>446</v>
      </c>
      <c r="D955">
        <v>43575</v>
      </c>
      <c r="E955">
        <v>6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3">
      <c r="A956" t="s">
        <v>8</v>
      </c>
      <c r="B956" t="s">
        <v>195</v>
      </c>
      <c r="C956" t="s">
        <v>446</v>
      </c>
      <c r="D956">
        <v>52834</v>
      </c>
      <c r="E956">
        <v>6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x14ac:dyDescent="0.3">
      <c r="A957" t="s">
        <v>21</v>
      </c>
      <c r="B957" t="s">
        <v>27</v>
      </c>
      <c r="C957" t="s">
        <v>447</v>
      </c>
      <c r="D957">
        <v>31342</v>
      </c>
      <c r="E957">
        <v>8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x14ac:dyDescent="0.3">
      <c r="A958" t="s">
        <v>12</v>
      </c>
      <c r="B958" t="s">
        <v>209</v>
      </c>
      <c r="C958" t="s">
        <v>447</v>
      </c>
      <c r="D958">
        <v>85089</v>
      </c>
      <c r="E958">
        <v>7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x14ac:dyDescent="0.3">
      <c r="A959" t="s">
        <v>14</v>
      </c>
      <c r="B959" t="s">
        <v>282</v>
      </c>
      <c r="C959" t="s">
        <v>447</v>
      </c>
      <c r="D959">
        <v>37038</v>
      </c>
      <c r="E959">
        <v>6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x14ac:dyDescent="0.3">
      <c r="A960" t="s">
        <v>45</v>
      </c>
      <c r="B960" t="s">
        <v>92</v>
      </c>
      <c r="C960" t="s">
        <v>447</v>
      </c>
      <c r="D960">
        <v>27213</v>
      </c>
      <c r="E960">
        <v>10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x14ac:dyDescent="0.3">
      <c r="A961" t="s">
        <v>5</v>
      </c>
      <c r="B961" t="s">
        <v>252</v>
      </c>
      <c r="C961" t="s">
        <v>447</v>
      </c>
      <c r="D961">
        <v>27746</v>
      </c>
      <c r="E961">
        <v>2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x14ac:dyDescent="0.3">
      <c r="A962" t="s">
        <v>47</v>
      </c>
      <c r="B962" t="s">
        <v>101</v>
      </c>
      <c r="C962" t="s">
        <v>447</v>
      </c>
      <c r="D962">
        <v>91064</v>
      </c>
      <c r="E962">
        <v>8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x14ac:dyDescent="0.3">
      <c r="A963" t="s">
        <v>21</v>
      </c>
      <c r="B963" t="s">
        <v>312</v>
      </c>
      <c r="C963" t="s">
        <v>448</v>
      </c>
      <c r="D963">
        <v>92257</v>
      </c>
      <c r="E963">
        <v>7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x14ac:dyDescent="0.3">
      <c r="A964" t="s">
        <v>8</v>
      </c>
      <c r="B964" t="s">
        <v>59</v>
      </c>
      <c r="C964" t="s">
        <v>448</v>
      </c>
      <c r="D964">
        <v>94318</v>
      </c>
      <c r="E964">
        <v>9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3">
      <c r="A965" t="s">
        <v>10</v>
      </c>
      <c r="B965" t="s">
        <v>69</v>
      </c>
      <c r="C965" t="s">
        <v>448</v>
      </c>
      <c r="D965">
        <v>54519</v>
      </c>
      <c r="E965">
        <v>5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3">
      <c r="A966" t="s">
        <v>8</v>
      </c>
      <c r="B966" t="s">
        <v>69</v>
      </c>
      <c r="C966" t="s">
        <v>448</v>
      </c>
      <c r="D966">
        <v>94963</v>
      </c>
      <c r="E966">
        <v>8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x14ac:dyDescent="0.3">
      <c r="A967" t="s">
        <v>21</v>
      </c>
      <c r="B967" t="s">
        <v>17</v>
      </c>
      <c r="C967" t="s">
        <v>449</v>
      </c>
      <c r="D967">
        <v>84263</v>
      </c>
      <c r="E967">
        <v>8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x14ac:dyDescent="0.3">
      <c r="A968" t="s">
        <v>21</v>
      </c>
      <c r="B968" t="s">
        <v>89</v>
      </c>
      <c r="C968" t="s">
        <v>449</v>
      </c>
      <c r="D968">
        <v>91512</v>
      </c>
      <c r="E968">
        <v>9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x14ac:dyDescent="0.3">
      <c r="A969" t="s">
        <v>50</v>
      </c>
      <c r="B969" t="s">
        <v>13</v>
      </c>
      <c r="C969" t="s">
        <v>449</v>
      </c>
      <c r="D969">
        <v>26145</v>
      </c>
      <c r="E969">
        <v>1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x14ac:dyDescent="0.3">
      <c r="A970" t="s">
        <v>5</v>
      </c>
      <c r="B970" t="s">
        <v>277</v>
      </c>
      <c r="C970" t="s">
        <v>449</v>
      </c>
      <c r="D970">
        <v>48536</v>
      </c>
      <c r="E970">
        <v>7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3">
      <c r="A971" t="s">
        <v>12</v>
      </c>
      <c r="B971" t="s">
        <v>127</v>
      </c>
      <c r="C971" t="s">
        <v>449</v>
      </c>
      <c r="D971">
        <v>97952</v>
      </c>
      <c r="E971">
        <v>10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x14ac:dyDescent="0.3">
      <c r="A972" t="s">
        <v>45</v>
      </c>
      <c r="B972" t="s">
        <v>36</v>
      </c>
      <c r="C972" t="s">
        <v>449</v>
      </c>
      <c r="D972">
        <v>72248</v>
      </c>
      <c r="E972">
        <v>7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x14ac:dyDescent="0.3">
      <c r="A973" t="s">
        <v>21</v>
      </c>
      <c r="B973" t="s">
        <v>276</v>
      </c>
      <c r="C973" t="s">
        <v>450</v>
      </c>
      <c r="D973">
        <v>79261</v>
      </c>
      <c r="E973">
        <v>6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x14ac:dyDescent="0.3">
      <c r="A974" t="s">
        <v>5</v>
      </c>
      <c r="B974" t="s">
        <v>112</v>
      </c>
      <c r="C974" t="s">
        <v>450</v>
      </c>
      <c r="D974">
        <v>98242</v>
      </c>
      <c r="E974">
        <v>6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x14ac:dyDescent="0.3">
      <c r="A975" t="s">
        <v>45</v>
      </c>
      <c r="B975" t="s">
        <v>48</v>
      </c>
      <c r="C975" t="s">
        <v>450</v>
      </c>
      <c r="D975">
        <v>44969</v>
      </c>
      <c r="E975">
        <v>6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3">
      <c r="A976" t="s">
        <v>14</v>
      </c>
      <c r="B976" t="s">
        <v>136</v>
      </c>
      <c r="C976" t="s">
        <v>451</v>
      </c>
      <c r="D976">
        <v>24827</v>
      </c>
      <c r="E976">
        <v>0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x14ac:dyDescent="0.3">
      <c r="A977" t="s">
        <v>5</v>
      </c>
      <c r="B977" t="s">
        <v>76</v>
      </c>
      <c r="C977" t="s">
        <v>451</v>
      </c>
      <c r="D977">
        <v>21289</v>
      </c>
      <c r="E977">
        <v>7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x14ac:dyDescent="0.3">
      <c r="A978" t="s">
        <v>10</v>
      </c>
      <c r="B978" t="s">
        <v>191</v>
      </c>
      <c r="C978" t="s">
        <v>451</v>
      </c>
      <c r="D978">
        <v>10565</v>
      </c>
      <c r="E978">
        <v>9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x14ac:dyDescent="0.3">
      <c r="A979" t="s">
        <v>47</v>
      </c>
      <c r="B979" t="s">
        <v>402</v>
      </c>
      <c r="C979" t="s">
        <v>452</v>
      </c>
      <c r="D979">
        <v>83288</v>
      </c>
      <c r="E979">
        <v>2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x14ac:dyDescent="0.3">
      <c r="A980" t="s">
        <v>47</v>
      </c>
      <c r="B980" t="s">
        <v>88</v>
      </c>
      <c r="C980" t="s">
        <v>453</v>
      </c>
      <c r="D980">
        <v>93065</v>
      </c>
      <c r="E980">
        <v>3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x14ac:dyDescent="0.3">
      <c r="A981" t="s">
        <v>5</v>
      </c>
      <c r="B981" t="s">
        <v>85</v>
      </c>
      <c r="C981" t="s">
        <v>453</v>
      </c>
      <c r="D981">
        <v>83575</v>
      </c>
      <c r="E981">
        <v>6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x14ac:dyDescent="0.3">
      <c r="A982" t="s">
        <v>28</v>
      </c>
      <c r="B982" t="s">
        <v>63</v>
      </c>
      <c r="C982" t="s">
        <v>453</v>
      </c>
      <c r="D982">
        <v>92170</v>
      </c>
      <c r="E982">
        <v>4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x14ac:dyDescent="0.3">
      <c r="A983" t="s">
        <v>14</v>
      </c>
      <c r="B983" t="s">
        <v>289</v>
      </c>
      <c r="C983" t="s">
        <v>453</v>
      </c>
      <c r="D983">
        <v>44049</v>
      </c>
      <c r="E983">
        <v>2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x14ac:dyDescent="0.3">
      <c r="A984" t="s">
        <v>21</v>
      </c>
      <c r="B984" t="s">
        <v>225</v>
      </c>
      <c r="C984" t="s">
        <v>453</v>
      </c>
      <c r="D984">
        <v>15547</v>
      </c>
      <c r="E984">
        <v>8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x14ac:dyDescent="0.3">
      <c r="A985" t="s">
        <v>10</v>
      </c>
      <c r="B985" t="s">
        <v>394</v>
      </c>
      <c r="C985" t="s">
        <v>453</v>
      </c>
      <c r="D985">
        <v>79621</v>
      </c>
      <c r="E985">
        <v>5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x14ac:dyDescent="0.3">
      <c r="A986" t="s">
        <v>14</v>
      </c>
      <c r="B986" t="s">
        <v>141</v>
      </c>
      <c r="C986" t="s">
        <v>453</v>
      </c>
      <c r="D986">
        <v>50670</v>
      </c>
      <c r="E986">
        <v>9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x14ac:dyDescent="0.3">
      <c r="A987" t="s">
        <v>50</v>
      </c>
      <c r="B987" t="s">
        <v>74</v>
      </c>
      <c r="C987" t="s">
        <v>454</v>
      </c>
      <c r="D987">
        <v>29651</v>
      </c>
      <c r="E987">
        <v>5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3">
      <c r="A988" t="s">
        <v>28</v>
      </c>
      <c r="B988" t="s">
        <v>277</v>
      </c>
      <c r="C988" t="s">
        <v>454</v>
      </c>
      <c r="D988">
        <v>15328</v>
      </c>
      <c r="E988">
        <v>2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x14ac:dyDescent="0.3">
      <c r="A989" t="s">
        <v>8</v>
      </c>
      <c r="B989" t="s">
        <v>124</v>
      </c>
      <c r="C989" t="s">
        <v>455</v>
      </c>
      <c r="D989">
        <v>70952</v>
      </c>
      <c r="E989">
        <v>8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x14ac:dyDescent="0.3">
      <c r="A990" t="s">
        <v>18</v>
      </c>
      <c r="B990" t="s">
        <v>195</v>
      </c>
      <c r="C990" t="s">
        <v>455</v>
      </c>
      <c r="D990">
        <v>72674</v>
      </c>
      <c r="E990">
        <v>8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x14ac:dyDescent="0.3">
      <c r="A991" t="s">
        <v>18</v>
      </c>
      <c r="B991" t="s">
        <v>116</v>
      </c>
      <c r="C991" t="s">
        <v>456</v>
      </c>
      <c r="D991">
        <v>70903</v>
      </c>
      <c r="E991">
        <v>7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3">
      <c r="A992" t="s">
        <v>45</v>
      </c>
      <c r="B992" t="s">
        <v>380</v>
      </c>
      <c r="C992" t="s">
        <v>456</v>
      </c>
      <c r="D992">
        <v>66354</v>
      </c>
      <c r="E992">
        <v>7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3">
      <c r="A993" t="s">
        <v>5</v>
      </c>
      <c r="B993" t="s">
        <v>56</v>
      </c>
      <c r="C993" t="s">
        <v>456</v>
      </c>
      <c r="D993">
        <v>35034</v>
      </c>
      <c r="E993">
        <v>7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3">
      <c r="A994" t="s">
        <v>40</v>
      </c>
      <c r="B994" t="s">
        <v>180</v>
      </c>
      <c r="C994" t="s">
        <v>456</v>
      </c>
      <c r="D994">
        <v>21147</v>
      </c>
      <c r="E994">
        <v>10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3">
      <c r="A995" t="s">
        <v>5</v>
      </c>
      <c r="B995" t="s">
        <v>312</v>
      </c>
      <c r="C995" t="s">
        <v>456</v>
      </c>
      <c r="D995">
        <v>75478</v>
      </c>
      <c r="E995">
        <v>10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3">
      <c r="A996" t="s">
        <v>40</v>
      </c>
      <c r="B996" t="s">
        <v>78</v>
      </c>
      <c r="C996" t="s">
        <v>457</v>
      </c>
      <c r="D996">
        <v>83542</v>
      </c>
      <c r="E996">
        <v>9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3">
      <c r="A997" t="s">
        <v>21</v>
      </c>
      <c r="B997" t="s">
        <v>85</v>
      </c>
      <c r="C997" t="s">
        <v>457</v>
      </c>
      <c r="D997">
        <v>82691</v>
      </c>
      <c r="E997">
        <v>7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x14ac:dyDescent="0.3">
      <c r="A998" t="s">
        <v>12</v>
      </c>
      <c r="B998" t="s">
        <v>176</v>
      </c>
      <c r="C998" t="s">
        <v>457</v>
      </c>
      <c r="D998">
        <v>45870</v>
      </c>
      <c r="E998">
        <v>10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x14ac:dyDescent="0.3">
      <c r="A999" t="s">
        <v>28</v>
      </c>
      <c r="B999" t="s">
        <v>181</v>
      </c>
      <c r="C999" t="s">
        <v>458</v>
      </c>
      <c r="D999">
        <v>73916</v>
      </c>
      <c r="E999">
        <v>7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x14ac:dyDescent="0.3">
      <c r="A1000" t="s">
        <v>12</v>
      </c>
      <c r="B1000" t="s">
        <v>183</v>
      </c>
      <c r="C1000" t="s">
        <v>458</v>
      </c>
      <c r="D1000">
        <v>96488</v>
      </c>
      <c r="E1000">
        <v>4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x14ac:dyDescent="0.3">
      <c r="A1001" t="s">
        <v>5</v>
      </c>
      <c r="B1001" t="s">
        <v>412</v>
      </c>
      <c r="C1001" t="s">
        <v>458</v>
      </c>
      <c r="D1001">
        <v>49150</v>
      </c>
      <c r="E1001">
        <v>8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2769-5EEB-4CA3-B635-444ECF0C28C2}">
  <dimension ref="A1:X1001"/>
  <sheetViews>
    <sheetView topLeftCell="A28" workbookViewId="0">
      <selection activeCell="I45" sqref="I45"/>
    </sheetView>
  </sheetViews>
  <sheetFormatPr defaultRowHeight="14.4" x14ac:dyDescent="0.3"/>
  <cols>
    <col min="1" max="1" width="36.109375" customWidth="1"/>
    <col min="2" max="2" width="9.5546875" bestFit="1" customWidth="1"/>
    <col min="3" max="14" width="9.44140625" bestFit="1" customWidth="1"/>
    <col min="17" max="18" width="33" customWidth="1"/>
    <col min="19" max="19" width="12" customWidth="1"/>
    <col min="20" max="20" width="15" customWidth="1"/>
    <col min="21" max="21" width="5" customWidth="1"/>
  </cols>
  <sheetData>
    <row r="1" spans="1:24" x14ac:dyDescent="0.3">
      <c r="B1" s="11" t="s">
        <v>492</v>
      </c>
      <c r="C1" s="11" t="s">
        <v>493</v>
      </c>
      <c r="D1" s="11" t="s">
        <v>494</v>
      </c>
      <c r="E1" s="11" t="s">
        <v>495</v>
      </c>
      <c r="F1" s="11" t="s">
        <v>496</v>
      </c>
      <c r="G1" s="11" t="s">
        <v>497</v>
      </c>
      <c r="H1" s="11" t="s">
        <v>498</v>
      </c>
      <c r="I1" s="11" t="s">
        <v>499</v>
      </c>
      <c r="J1" s="11" t="s">
        <v>500</v>
      </c>
      <c r="K1" s="11" t="s">
        <v>501</v>
      </c>
      <c r="L1" s="11" t="s">
        <v>502</v>
      </c>
      <c r="M1" s="11" t="s">
        <v>503</v>
      </c>
      <c r="N1" s="11" t="s">
        <v>504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27" t="s">
        <v>513</v>
      </c>
      <c r="W1" s="27" t="s">
        <v>514</v>
      </c>
      <c r="X1" s="27" t="s">
        <v>513</v>
      </c>
    </row>
    <row r="2" spans="1:24" x14ac:dyDescent="0.3">
      <c r="A2" s="11" t="s">
        <v>21</v>
      </c>
      <c r="B2" s="11">
        <f>COUNTIFS($Q:$Q,$A2,$X:$X,B$1)</f>
        <v>7</v>
      </c>
      <c r="C2" s="11">
        <f>COUNTIFS($Q:$Q,$A2,$X:$X,C$1)</f>
        <v>5</v>
      </c>
      <c r="D2" s="11">
        <f t="shared" ref="D2:N13" si="0">COUNTIFS($Q:$Q,$A2,$X:$X,D$1)</f>
        <v>8</v>
      </c>
      <c r="E2" s="11">
        <f t="shared" si="0"/>
        <v>5</v>
      </c>
      <c r="F2" s="11">
        <f t="shared" si="0"/>
        <v>11</v>
      </c>
      <c r="G2" s="11">
        <f t="shared" si="0"/>
        <v>8</v>
      </c>
      <c r="H2" s="11">
        <f t="shared" si="0"/>
        <v>1</v>
      </c>
      <c r="I2" s="11">
        <f t="shared" si="0"/>
        <v>12</v>
      </c>
      <c r="J2" s="11">
        <f t="shared" si="0"/>
        <v>14</v>
      </c>
      <c r="K2" s="11">
        <f t="shared" si="0"/>
        <v>5</v>
      </c>
      <c r="L2" s="11">
        <f t="shared" si="0"/>
        <v>6</v>
      </c>
      <c r="M2" s="11">
        <f t="shared" si="0"/>
        <v>9</v>
      </c>
      <c r="N2" s="11">
        <f t="shared" si="0"/>
        <v>0</v>
      </c>
      <c r="Q2" t="s">
        <v>5</v>
      </c>
      <c r="R2" t="s">
        <v>6</v>
      </c>
      <c r="S2" t="s">
        <v>7</v>
      </c>
      <c r="T2">
        <v>31810</v>
      </c>
      <c r="U2">
        <v>5</v>
      </c>
      <c r="V2">
        <f>YEAR(S2)</f>
        <v>2023</v>
      </c>
      <c r="W2">
        <f>MONTH(S2)</f>
        <v>9</v>
      </c>
      <c r="X2" t="str">
        <f>V2&amp;"-"&amp;W2</f>
        <v>2023-9</v>
      </c>
    </row>
    <row r="3" spans="1:24" x14ac:dyDescent="0.3">
      <c r="A3" s="11" t="s">
        <v>14</v>
      </c>
      <c r="B3" s="11">
        <f t="shared" ref="B3:C13" si="1">COUNTIFS($Q:$Q,$A3,$X:$X,B$1)</f>
        <v>7</v>
      </c>
      <c r="C3" s="11">
        <f t="shared" si="1"/>
        <v>4</v>
      </c>
      <c r="D3" s="11">
        <f t="shared" si="0"/>
        <v>10</v>
      </c>
      <c r="E3" s="11">
        <f t="shared" si="0"/>
        <v>6</v>
      </c>
      <c r="F3" s="11">
        <f t="shared" si="0"/>
        <v>14</v>
      </c>
      <c r="G3" s="11">
        <f t="shared" si="0"/>
        <v>5</v>
      </c>
      <c r="H3" s="11">
        <f t="shared" si="0"/>
        <v>8</v>
      </c>
      <c r="I3" s="11">
        <f t="shared" si="0"/>
        <v>8</v>
      </c>
      <c r="J3" s="11">
        <f t="shared" si="0"/>
        <v>6</v>
      </c>
      <c r="K3" s="11">
        <f t="shared" si="0"/>
        <v>6</v>
      </c>
      <c r="L3" s="11">
        <f t="shared" si="0"/>
        <v>8</v>
      </c>
      <c r="M3" s="11">
        <f t="shared" si="0"/>
        <v>11</v>
      </c>
      <c r="N3" s="11">
        <f t="shared" si="0"/>
        <v>0</v>
      </c>
      <c r="Q3" t="s">
        <v>8</v>
      </c>
      <c r="R3" t="s">
        <v>9</v>
      </c>
      <c r="S3" t="s">
        <v>7</v>
      </c>
      <c r="T3">
        <v>79983</v>
      </c>
      <c r="U3">
        <v>8</v>
      </c>
      <c r="V3">
        <f t="shared" ref="V3:V66" si="2">YEAR(S3)</f>
        <v>2023</v>
      </c>
      <c r="W3">
        <f t="shared" ref="W3:W66" si="3">MONTH(S3)</f>
        <v>9</v>
      </c>
      <c r="X3" t="str">
        <f t="shared" ref="X3:X66" si="4">V3&amp;"-"&amp;W3</f>
        <v>2023-9</v>
      </c>
    </row>
    <row r="4" spans="1:24" x14ac:dyDescent="0.3">
      <c r="A4" s="11" t="s">
        <v>28</v>
      </c>
      <c r="B4" s="11">
        <f t="shared" si="1"/>
        <v>10</v>
      </c>
      <c r="C4" s="11">
        <f t="shared" si="1"/>
        <v>5</v>
      </c>
      <c r="D4" s="11">
        <f t="shared" si="0"/>
        <v>6</v>
      </c>
      <c r="E4" s="11">
        <f t="shared" si="0"/>
        <v>3</v>
      </c>
      <c r="F4" s="11">
        <f t="shared" si="0"/>
        <v>4</v>
      </c>
      <c r="G4" s="11">
        <f t="shared" si="0"/>
        <v>6</v>
      </c>
      <c r="H4" s="11">
        <f t="shared" si="0"/>
        <v>6</v>
      </c>
      <c r="I4" s="11">
        <f t="shared" si="0"/>
        <v>7</v>
      </c>
      <c r="J4" s="11">
        <f t="shared" si="0"/>
        <v>9</v>
      </c>
      <c r="K4" s="11">
        <f t="shared" si="0"/>
        <v>5</v>
      </c>
      <c r="L4" s="11">
        <f t="shared" si="0"/>
        <v>5</v>
      </c>
      <c r="M4" s="11">
        <f t="shared" si="0"/>
        <v>6</v>
      </c>
      <c r="N4" s="11">
        <f t="shared" si="0"/>
        <v>1</v>
      </c>
      <c r="Q4" t="s">
        <v>10</v>
      </c>
      <c r="R4" t="s">
        <v>11</v>
      </c>
      <c r="S4" t="s">
        <v>7</v>
      </c>
      <c r="T4">
        <v>65103</v>
      </c>
      <c r="U4">
        <v>7</v>
      </c>
      <c r="V4">
        <f t="shared" si="2"/>
        <v>2023</v>
      </c>
      <c r="W4">
        <f t="shared" si="3"/>
        <v>9</v>
      </c>
      <c r="X4" t="str">
        <f t="shared" si="4"/>
        <v>2023-9</v>
      </c>
    </row>
    <row r="5" spans="1:24" x14ac:dyDescent="0.3">
      <c r="A5" s="11" t="s">
        <v>10</v>
      </c>
      <c r="B5" s="11">
        <f t="shared" si="1"/>
        <v>5</v>
      </c>
      <c r="C5" s="11">
        <f t="shared" si="1"/>
        <v>7</v>
      </c>
      <c r="D5" s="11">
        <f t="shared" si="0"/>
        <v>6</v>
      </c>
      <c r="E5" s="11">
        <f t="shared" si="0"/>
        <v>9</v>
      </c>
      <c r="F5" s="11">
        <f t="shared" si="0"/>
        <v>5</v>
      </c>
      <c r="G5" s="11">
        <f t="shared" si="0"/>
        <v>12</v>
      </c>
      <c r="H5" s="11">
        <f t="shared" si="0"/>
        <v>2</v>
      </c>
      <c r="I5" s="11">
        <f t="shared" si="0"/>
        <v>7</v>
      </c>
      <c r="J5" s="11">
        <f t="shared" si="0"/>
        <v>10</v>
      </c>
      <c r="K5" s="11">
        <f t="shared" si="0"/>
        <v>8</v>
      </c>
      <c r="L5" s="11">
        <f t="shared" si="0"/>
        <v>6</v>
      </c>
      <c r="M5" s="11">
        <f t="shared" si="0"/>
        <v>3</v>
      </c>
      <c r="N5" s="11">
        <f t="shared" si="0"/>
        <v>0</v>
      </c>
      <c r="Q5" t="s">
        <v>12</v>
      </c>
      <c r="R5" t="s">
        <v>13</v>
      </c>
      <c r="S5" t="s">
        <v>7</v>
      </c>
      <c r="T5">
        <v>45916</v>
      </c>
      <c r="U5">
        <v>8</v>
      </c>
      <c r="V5">
        <f t="shared" si="2"/>
        <v>2023</v>
      </c>
      <c r="W5">
        <f t="shared" si="3"/>
        <v>9</v>
      </c>
      <c r="X5" t="str">
        <f t="shared" si="4"/>
        <v>2023-9</v>
      </c>
    </row>
    <row r="6" spans="1:24" x14ac:dyDescent="0.3">
      <c r="A6" s="11" t="s">
        <v>47</v>
      </c>
      <c r="B6" s="11">
        <f t="shared" si="1"/>
        <v>9</v>
      </c>
      <c r="C6" s="11">
        <f t="shared" si="1"/>
        <v>13</v>
      </c>
      <c r="D6" s="11">
        <f t="shared" si="0"/>
        <v>6</v>
      </c>
      <c r="E6" s="11">
        <f t="shared" si="0"/>
        <v>6</v>
      </c>
      <c r="F6" s="11">
        <f t="shared" si="0"/>
        <v>7</v>
      </c>
      <c r="G6" s="11">
        <f t="shared" si="0"/>
        <v>9</v>
      </c>
      <c r="H6" s="11">
        <f t="shared" si="0"/>
        <v>3</v>
      </c>
      <c r="I6" s="11">
        <f t="shared" si="0"/>
        <v>5</v>
      </c>
      <c r="J6" s="11">
        <f t="shared" si="0"/>
        <v>12</v>
      </c>
      <c r="K6" s="11">
        <f t="shared" si="0"/>
        <v>11</v>
      </c>
      <c r="L6" s="11">
        <f t="shared" si="0"/>
        <v>4</v>
      </c>
      <c r="M6" s="11">
        <f t="shared" si="0"/>
        <v>5</v>
      </c>
      <c r="N6" s="11">
        <f t="shared" si="0"/>
        <v>0</v>
      </c>
      <c r="Q6" t="s">
        <v>14</v>
      </c>
      <c r="R6" t="s">
        <v>15</v>
      </c>
      <c r="S6" t="s">
        <v>16</v>
      </c>
      <c r="T6">
        <v>26479</v>
      </c>
      <c r="U6">
        <v>7</v>
      </c>
      <c r="V6">
        <f t="shared" si="2"/>
        <v>2023</v>
      </c>
      <c r="W6">
        <f t="shared" si="3"/>
        <v>9</v>
      </c>
      <c r="X6" t="str">
        <f t="shared" si="4"/>
        <v>2023-9</v>
      </c>
    </row>
    <row r="7" spans="1:24" x14ac:dyDescent="0.3">
      <c r="A7" s="11" t="s">
        <v>45</v>
      </c>
      <c r="B7" s="11">
        <f t="shared" si="1"/>
        <v>7</v>
      </c>
      <c r="C7" s="11">
        <f t="shared" si="1"/>
        <v>10</v>
      </c>
      <c r="D7" s="11">
        <f t="shared" si="0"/>
        <v>8</v>
      </c>
      <c r="E7" s="11">
        <f t="shared" si="0"/>
        <v>9</v>
      </c>
      <c r="F7" s="11">
        <f t="shared" si="0"/>
        <v>7</v>
      </c>
      <c r="G7" s="11">
        <f t="shared" si="0"/>
        <v>4</v>
      </c>
      <c r="H7" s="11">
        <f t="shared" si="0"/>
        <v>3</v>
      </c>
      <c r="I7" s="11">
        <f t="shared" si="0"/>
        <v>7</v>
      </c>
      <c r="J7" s="11">
        <f t="shared" si="0"/>
        <v>7</v>
      </c>
      <c r="K7" s="11">
        <f t="shared" si="0"/>
        <v>10</v>
      </c>
      <c r="L7" s="11">
        <f t="shared" si="0"/>
        <v>9</v>
      </c>
      <c r="M7" s="11">
        <f t="shared" si="0"/>
        <v>6</v>
      </c>
      <c r="N7" s="11">
        <f t="shared" si="0"/>
        <v>0</v>
      </c>
      <c r="Q7" t="s">
        <v>8</v>
      </c>
      <c r="R7" t="s">
        <v>17</v>
      </c>
      <c r="S7" t="s">
        <v>16</v>
      </c>
      <c r="T7">
        <v>65924</v>
      </c>
      <c r="U7">
        <v>8</v>
      </c>
      <c r="V7">
        <f t="shared" si="2"/>
        <v>2023</v>
      </c>
      <c r="W7">
        <f t="shared" si="3"/>
        <v>9</v>
      </c>
      <c r="X7" t="str">
        <f t="shared" si="4"/>
        <v>2023-9</v>
      </c>
    </row>
    <row r="8" spans="1:24" x14ac:dyDescent="0.3">
      <c r="A8" s="11" t="s">
        <v>50</v>
      </c>
      <c r="B8" s="11">
        <f t="shared" si="1"/>
        <v>6</v>
      </c>
      <c r="C8" s="11">
        <f t="shared" si="1"/>
        <v>5</v>
      </c>
      <c r="D8" s="11">
        <f t="shared" si="0"/>
        <v>10</v>
      </c>
      <c r="E8" s="11">
        <f t="shared" si="0"/>
        <v>7</v>
      </c>
      <c r="F8" s="11">
        <f t="shared" si="0"/>
        <v>10</v>
      </c>
      <c r="G8" s="11">
        <f t="shared" si="0"/>
        <v>10</v>
      </c>
      <c r="H8" s="11">
        <f t="shared" si="0"/>
        <v>3</v>
      </c>
      <c r="I8" s="11">
        <f t="shared" si="0"/>
        <v>9</v>
      </c>
      <c r="J8" s="11">
        <f t="shared" si="0"/>
        <v>5</v>
      </c>
      <c r="K8" s="11">
        <f t="shared" si="0"/>
        <v>8</v>
      </c>
      <c r="L8" s="11">
        <f t="shared" si="0"/>
        <v>6</v>
      </c>
      <c r="M8" s="11">
        <f t="shared" si="0"/>
        <v>5</v>
      </c>
      <c r="N8" s="11">
        <f t="shared" si="0"/>
        <v>0</v>
      </c>
      <c r="Q8" t="s">
        <v>18</v>
      </c>
      <c r="R8" t="s">
        <v>19</v>
      </c>
      <c r="S8" t="s">
        <v>16</v>
      </c>
      <c r="T8">
        <v>84442</v>
      </c>
      <c r="U8">
        <v>5</v>
      </c>
      <c r="V8">
        <f t="shared" si="2"/>
        <v>2023</v>
      </c>
      <c r="W8">
        <f t="shared" si="3"/>
        <v>9</v>
      </c>
      <c r="X8" t="str">
        <f t="shared" si="4"/>
        <v>2023-9</v>
      </c>
    </row>
    <row r="9" spans="1:24" x14ac:dyDescent="0.3">
      <c r="A9" s="11" t="s">
        <v>12</v>
      </c>
      <c r="B9" s="11">
        <f t="shared" si="1"/>
        <v>6</v>
      </c>
      <c r="C9" s="11">
        <f t="shared" si="1"/>
        <v>5</v>
      </c>
      <c r="D9" s="11">
        <f t="shared" si="0"/>
        <v>6</v>
      </c>
      <c r="E9" s="11">
        <f t="shared" si="0"/>
        <v>5</v>
      </c>
      <c r="F9" s="11">
        <f t="shared" si="0"/>
        <v>8</v>
      </c>
      <c r="G9" s="11">
        <f t="shared" si="0"/>
        <v>8</v>
      </c>
      <c r="H9" s="11">
        <f t="shared" si="0"/>
        <v>1</v>
      </c>
      <c r="I9" s="11">
        <f t="shared" si="0"/>
        <v>5</v>
      </c>
      <c r="J9" s="11">
        <f t="shared" si="0"/>
        <v>6</v>
      </c>
      <c r="K9" s="11">
        <f t="shared" si="0"/>
        <v>1</v>
      </c>
      <c r="L9" s="11">
        <f t="shared" si="0"/>
        <v>3</v>
      </c>
      <c r="M9" s="11">
        <f t="shared" si="0"/>
        <v>7</v>
      </c>
      <c r="N9" s="11">
        <f t="shared" si="0"/>
        <v>1</v>
      </c>
      <c r="Q9" t="s">
        <v>8</v>
      </c>
      <c r="R9" t="s">
        <v>20</v>
      </c>
      <c r="S9" t="s">
        <v>16</v>
      </c>
      <c r="T9">
        <v>36848</v>
      </c>
      <c r="U9">
        <v>6</v>
      </c>
      <c r="V9">
        <f t="shared" si="2"/>
        <v>2023</v>
      </c>
      <c r="W9">
        <f t="shared" si="3"/>
        <v>9</v>
      </c>
      <c r="X9" t="str">
        <f t="shared" si="4"/>
        <v>2023-9</v>
      </c>
    </row>
    <row r="10" spans="1:24" x14ac:dyDescent="0.3">
      <c r="A10" s="11" t="s">
        <v>18</v>
      </c>
      <c r="B10" s="11">
        <f t="shared" si="1"/>
        <v>11</v>
      </c>
      <c r="C10" s="11">
        <f t="shared" si="1"/>
        <v>7</v>
      </c>
      <c r="D10" s="11">
        <f t="shared" si="0"/>
        <v>6</v>
      </c>
      <c r="E10" s="11">
        <f t="shared" si="0"/>
        <v>1</v>
      </c>
      <c r="F10" s="11">
        <f t="shared" si="0"/>
        <v>11</v>
      </c>
      <c r="G10" s="11">
        <f t="shared" si="0"/>
        <v>7</v>
      </c>
      <c r="H10" s="11">
        <f t="shared" si="0"/>
        <v>7</v>
      </c>
      <c r="I10" s="11">
        <f t="shared" si="0"/>
        <v>6</v>
      </c>
      <c r="J10" s="11">
        <f t="shared" si="0"/>
        <v>9</v>
      </c>
      <c r="K10" s="11">
        <f t="shared" si="0"/>
        <v>8</v>
      </c>
      <c r="L10" s="11">
        <f t="shared" si="0"/>
        <v>7</v>
      </c>
      <c r="M10" s="11">
        <f t="shared" si="0"/>
        <v>4</v>
      </c>
      <c r="N10" s="11">
        <f t="shared" si="0"/>
        <v>0</v>
      </c>
      <c r="Q10" t="s">
        <v>21</v>
      </c>
      <c r="R10" t="s">
        <v>22</v>
      </c>
      <c r="S10" t="s">
        <v>16</v>
      </c>
      <c r="T10">
        <v>27991</v>
      </c>
      <c r="U10">
        <v>7</v>
      </c>
      <c r="V10">
        <f t="shared" si="2"/>
        <v>2023</v>
      </c>
      <c r="W10">
        <f t="shared" si="3"/>
        <v>9</v>
      </c>
      <c r="X10" t="str">
        <f t="shared" si="4"/>
        <v>2023-9</v>
      </c>
    </row>
    <row r="11" spans="1:24" x14ac:dyDescent="0.3">
      <c r="A11" s="11" t="s">
        <v>5</v>
      </c>
      <c r="B11" s="11">
        <f t="shared" si="1"/>
        <v>4</v>
      </c>
      <c r="C11" s="11">
        <f t="shared" si="1"/>
        <v>11</v>
      </c>
      <c r="D11" s="11">
        <f t="shared" si="0"/>
        <v>9</v>
      </c>
      <c r="E11" s="11">
        <f t="shared" si="0"/>
        <v>5</v>
      </c>
      <c r="F11" s="11">
        <f t="shared" si="0"/>
        <v>6</v>
      </c>
      <c r="G11" s="11">
        <f t="shared" si="0"/>
        <v>2</v>
      </c>
      <c r="H11" s="11">
        <f t="shared" si="0"/>
        <v>3</v>
      </c>
      <c r="I11" s="11">
        <f t="shared" si="0"/>
        <v>7</v>
      </c>
      <c r="J11" s="11">
        <f t="shared" si="0"/>
        <v>9</v>
      </c>
      <c r="K11" s="11">
        <f t="shared" si="0"/>
        <v>4</v>
      </c>
      <c r="L11" s="11">
        <f t="shared" si="0"/>
        <v>8</v>
      </c>
      <c r="M11" s="11">
        <f t="shared" si="0"/>
        <v>9</v>
      </c>
      <c r="N11" s="11">
        <f t="shared" si="0"/>
        <v>1</v>
      </c>
      <c r="Q11" t="s">
        <v>14</v>
      </c>
      <c r="R11" t="s">
        <v>23</v>
      </c>
      <c r="S11" t="s">
        <v>16</v>
      </c>
      <c r="T11">
        <v>21080</v>
      </c>
      <c r="U11">
        <v>9</v>
      </c>
      <c r="V11">
        <f t="shared" si="2"/>
        <v>2023</v>
      </c>
      <c r="W11">
        <f t="shared" si="3"/>
        <v>9</v>
      </c>
      <c r="X11" t="str">
        <f t="shared" si="4"/>
        <v>2023-9</v>
      </c>
    </row>
    <row r="12" spans="1:24" x14ac:dyDescent="0.3">
      <c r="A12" s="11" t="s">
        <v>40</v>
      </c>
      <c r="B12" s="11">
        <f t="shared" si="1"/>
        <v>8</v>
      </c>
      <c r="C12" s="11">
        <f t="shared" si="1"/>
        <v>9</v>
      </c>
      <c r="D12" s="11">
        <f t="shared" si="0"/>
        <v>6</v>
      </c>
      <c r="E12" s="11">
        <f t="shared" si="0"/>
        <v>3</v>
      </c>
      <c r="F12" s="11">
        <f t="shared" si="0"/>
        <v>5</v>
      </c>
      <c r="G12" s="11">
        <f t="shared" si="0"/>
        <v>9</v>
      </c>
      <c r="H12" s="11">
        <f t="shared" si="0"/>
        <v>11</v>
      </c>
      <c r="I12" s="11">
        <f t="shared" si="0"/>
        <v>5</v>
      </c>
      <c r="J12" s="11">
        <f t="shared" si="0"/>
        <v>3</v>
      </c>
      <c r="K12" s="11">
        <f t="shared" si="0"/>
        <v>8</v>
      </c>
      <c r="L12" s="11">
        <f t="shared" si="0"/>
        <v>6</v>
      </c>
      <c r="M12" s="11">
        <f t="shared" si="0"/>
        <v>6</v>
      </c>
      <c r="N12" s="11">
        <f t="shared" si="0"/>
        <v>0</v>
      </c>
      <c r="Q12" t="s">
        <v>8</v>
      </c>
      <c r="R12" t="s">
        <v>24</v>
      </c>
      <c r="S12" t="s">
        <v>16</v>
      </c>
      <c r="T12">
        <v>13650</v>
      </c>
      <c r="U12">
        <v>4</v>
      </c>
      <c r="V12">
        <f t="shared" si="2"/>
        <v>2023</v>
      </c>
      <c r="W12">
        <f t="shared" si="3"/>
        <v>9</v>
      </c>
      <c r="X12" t="str">
        <f t="shared" si="4"/>
        <v>2023-9</v>
      </c>
    </row>
    <row r="13" spans="1:24" x14ac:dyDescent="0.3">
      <c r="A13" s="11" t="s">
        <v>8</v>
      </c>
      <c r="B13" s="11">
        <f t="shared" si="1"/>
        <v>13</v>
      </c>
      <c r="C13" s="11">
        <f t="shared" si="1"/>
        <v>7</v>
      </c>
      <c r="D13" s="11">
        <f t="shared" si="0"/>
        <v>5</v>
      </c>
      <c r="E13" s="11">
        <f t="shared" si="0"/>
        <v>12</v>
      </c>
      <c r="F13" s="11">
        <f t="shared" si="0"/>
        <v>10</v>
      </c>
      <c r="G13" s="11">
        <f t="shared" si="0"/>
        <v>4</v>
      </c>
      <c r="H13" s="11">
        <f t="shared" si="0"/>
        <v>8</v>
      </c>
      <c r="I13" s="11">
        <f t="shared" si="0"/>
        <v>10</v>
      </c>
      <c r="J13" s="11">
        <f t="shared" si="0"/>
        <v>8</v>
      </c>
      <c r="K13" s="11">
        <f t="shared" si="0"/>
        <v>9</v>
      </c>
      <c r="L13" s="11">
        <f t="shared" si="0"/>
        <v>5</v>
      </c>
      <c r="M13" s="11">
        <f t="shared" si="0"/>
        <v>8</v>
      </c>
      <c r="N13" s="11">
        <f t="shared" si="0"/>
        <v>0</v>
      </c>
      <c r="Q13" t="s">
        <v>18</v>
      </c>
      <c r="R13" t="s">
        <v>25</v>
      </c>
      <c r="S13" t="s">
        <v>26</v>
      </c>
      <c r="T13">
        <v>36816</v>
      </c>
      <c r="U13">
        <v>2</v>
      </c>
      <c r="V13">
        <f t="shared" si="2"/>
        <v>2023</v>
      </c>
      <c r="W13">
        <f t="shared" si="3"/>
        <v>9</v>
      </c>
      <c r="X13" t="str">
        <f t="shared" si="4"/>
        <v>2023-9</v>
      </c>
    </row>
    <row r="14" spans="1:24" x14ac:dyDescent="0.3">
      <c r="Q14" t="s">
        <v>18</v>
      </c>
      <c r="R14" t="s">
        <v>27</v>
      </c>
      <c r="S14" t="s">
        <v>26</v>
      </c>
      <c r="T14">
        <v>17474</v>
      </c>
      <c r="U14">
        <v>2</v>
      </c>
      <c r="V14">
        <f t="shared" si="2"/>
        <v>2023</v>
      </c>
      <c r="W14">
        <f t="shared" si="3"/>
        <v>9</v>
      </c>
      <c r="X14" t="str">
        <f t="shared" si="4"/>
        <v>2023-9</v>
      </c>
    </row>
    <row r="15" spans="1:24" x14ac:dyDescent="0.3">
      <c r="Q15" t="s">
        <v>28</v>
      </c>
      <c r="R15" t="s">
        <v>29</v>
      </c>
      <c r="S15" t="s">
        <v>26</v>
      </c>
      <c r="T15">
        <v>30692</v>
      </c>
      <c r="U15">
        <v>5</v>
      </c>
      <c r="V15">
        <f t="shared" si="2"/>
        <v>2023</v>
      </c>
      <c r="W15">
        <f t="shared" si="3"/>
        <v>9</v>
      </c>
      <c r="X15" t="str">
        <f t="shared" si="4"/>
        <v>2023-9</v>
      </c>
    </row>
    <row r="16" spans="1:24" x14ac:dyDescent="0.3">
      <c r="Q16" t="s">
        <v>12</v>
      </c>
      <c r="R16" t="s">
        <v>30</v>
      </c>
      <c r="S16" t="s">
        <v>31</v>
      </c>
      <c r="T16">
        <v>44283</v>
      </c>
      <c r="U16">
        <v>6</v>
      </c>
      <c r="V16">
        <f t="shared" si="2"/>
        <v>2023</v>
      </c>
      <c r="W16">
        <f t="shared" si="3"/>
        <v>9</v>
      </c>
      <c r="X16" t="str">
        <f t="shared" si="4"/>
        <v>2023-9</v>
      </c>
    </row>
    <row r="17" spans="1:24" x14ac:dyDescent="0.3">
      <c r="B17" s="11" t="s">
        <v>492</v>
      </c>
      <c r="C17" s="11" t="s">
        <v>493</v>
      </c>
      <c r="D17" s="11" t="s">
        <v>494</v>
      </c>
      <c r="E17" s="11" t="s">
        <v>495</v>
      </c>
      <c r="F17" s="11" t="s">
        <v>496</v>
      </c>
      <c r="G17" s="11" t="s">
        <v>497</v>
      </c>
      <c r="H17" s="11" t="s">
        <v>498</v>
      </c>
      <c r="I17" s="11" t="s">
        <v>499</v>
      </c>
      <c r="J17" s="11" t="s">
        <v>500</v>
      </c>
      <c r="K17" s="11" t="s">
        <v>501</v>
      </c>
      <c r="L17" s="11" t="s">
        <v>502</v>
      </c>
      <c r="M17" s="11" t="s">
        <v>503</v>
      </c>
      <c r="N17" s="11" t="s">
        <v>504</v>
      </c>
      <c r="Q17" t="s">
        <v>12</v>
      </c>
      <c r="R17" t="s">
        <v>32</v>
      </c>
      <c r="S17" t="s">
        <v>33</v>
      </c>
      <c r="T17">
        <v>54765</v>
      </c>
      <c r="U17">
        <v>8</v>
      </c>
      <c r="V17">
        <f t="shared" si="2"/>
        <v>2023</v>
      </c>
      <c r="W17">
        <f t="shared" si="3"/>
        <v>9</v>
      </c>
      <c r="X17" t="str">
        <f t="shared" si="4"/>
        <v>2023-9</v>
      </c>
    </row>
    <row r="18" spans="1:24" x14ac:dyDescent="0.3">
      <c r="A18" s="11" t="s">
        <v>21</v>
      </c>
      <c r="B18" s="28">
        <f>IFERROR((COUNTIFS($Q:$Q,$A18,$X:$X,B$17,$U:$U,"&gt;=9") - COUNTIFS($Q:$Q,$A18,$X:$X,B$17,$U:$U,"&lt;=6"))/COUNTIFS($Q:$Q,$A18,$X:$X,B$17,$U:$U,"&gt;=0"),"")</f>
        <v>-0.14285714285714285</v>
      </c>
      <c r="C18" s="28">
        <f t="shared" ref="C18:N29" si="5">IFERROR((COUNTIFS($Q:$Q,$A18,$X:$X,C$17,$U:$U,"&gt;=9") - COUNTIFS($Q:$Q,$A18,$X:$X,C$17,$U:$U,"&lt;=6"))/COUNTIFS($Q:$Q,$A18,$X:$X,C$17,$U:$U,"&gt;=0"),"")</f>
        <v>0</v>
      </c>
      <c r="D18" s="28">
        <f t="shared" si="5"/>
        <v>-0.25</v>
      </c>
      <c r="E18" s="28">
        <f t="shared" si="5"/>
        <v>-0.6</v>
      </c>
      <c r="F18" s="28">
        <f t="shared" si="5"/>
        <v>-0.18181818181818182</v>
      </c>
      <c r="G18" s="28">
        <f t="shared" si="5"/>
        <v>-0.25</v>
      </c>
      <c r="H18" s="28">
        <f t="shared" si="5"/>
        <v>1</v>
      </c>
      <c r="I18" s="28">
        <f t="shared" si="5"/>
        <v>-0.66666666666666663</v>
      </c>
      <c r="J18" s="28">
        <f t="shared" si="5"/>
        <v>-0.5714285714285714</v>
      </c>
      <c r="K18" s="28">
        <f t="shared" si="5"/>
        <v>-0.2</v>
      </c>
      <c r="L18" s="28">
        <f t="shared" si="5"/>
        <v>-0.66666666666666663</v>
      </c>
      <c r="M18" s="28">
        <f t="shared" si="5"/>
        <v>-0.22222222222222221</v>
      </c>
      <c r="N18" s="28" t="str">
        <f t="shared" si="5"/>
        <v/>
      </c>
      <c r="Q18" t="s">
        <v>28</v>
      </c>
      <c r="R18" t="s">
        <v>34</v>
      </c>
      <c r="S18" t="s">
        <v>33</v>
      </c>
      <c r="T18">
        <v>74884</v>
      </c>
      <c r="U18">
        <v>1</v>
      </c>
      <c r="V18">
        <f t="shared" si="2"/>
        <v>2023</v>
      </c>
      <c r="W18">
        <f t="shared" si="3"/>
        <v>9</v>
      </c>
      <c r="X18" t="str">
        <f t="shared" si="4"/>
        <v>2023-9</v>
      </c>
    </row>
    <row r="19" spans="1:24" x14ac:dyDescent="0.3">
      <c r="A19" s="11" t="s">
        <v>14</v>
      </c>
      <c r="B19" s="28">
        <f t="shared" ref="B19:B29" si="6">IFERROR((COUNTIFS($Q:$Q,$A19,$X:$X,B$17,$U:$U,"&gt;=9") - COUNTIFS($Q:$Q,$A19,$X:$X,B$17,$U:$U,"&lt;=6"))/COUNTIFS($Q:$Q,$A19,$X:$X,B$17,$U:$U,"&gt;=0"),"")</f>
        <v>-0.2857142857142857</v>
      </c>
      <c r="C19" s="28">
        <f t="shared" si="5"/>
        <v>-0.5</v>
      </c>
      <c r="D19" s="28">
        <f t="shared" si="5"/>
        <v>-0.6</v>
      </c>
      <c r="E19" s="28">
        <f t="shared" si="5"/>
        <v>-0.33333333333333331</v>
      </c>
      <c r="F19" s="28">
        <f t="shared" si="5"/>
        <v>-0.35714285714285715</v>
      </c>
      <c r="G19" s="28">
        <f t="shared" si="5"/>
        <v>0.4</v>
      </c>
      <c r="H19" s="28">
        <f t="shared" si="5"/>
        <v>-0.375</v>
      </c>
      <c r="I19" s="28">
        <f t="shared" si="5"/>
        <v>-0.875</v>
      </c>
      <c r="J19" s="28">
        <f t="shared" si="5"/>
        <v>-1</v>
      </c>
      <c r="K19" s="28">
        <f t="shared" si="5"/>
        <v>-0.66666666666666663</v>
      </c>
      <c r="L19" s="28">
        <f t="shared" si="5"/>
        <v>-0.75</v>
      </c>
      <c r="M19" s="28">
        <f t="shared" si="5"/>
        <v>-9.0909090909090912E-2</v>
      </c>
      <c r="N19" s="28" t="str">
        <f t="shared" si="5"/>
        <v/>
      </c>
      <c r="Q19" t="s">
        <v>14</v>
      </c>
      <c r="R19" t="s">
        <v>34</v>
      </c>
      <c r="S19" t="s">
        <v>33</v>
      </c>
      <c r="T19">
        <v>91344</v>
      </c>
      <c r="U19">
        <v>4</v>
      </c>
      <c r="V19">
        <f t="shared" si="2"/>
        <v>2023</v>
      </c>
      <c r="W19">
        <f t="shared" si="3"/>
        <v>9</v>
      </c>
      <c r="X19" t="str">
        <f t="shared" si="4"/>
        <v>2023-9</v>
      </c>
    </row>
    <row r="20" spans="1:24" x14ac:dyDescent="0.3">
      <c r="A20" s="11" t="s">
        <v>28</v>
      </c>
      <c r="B20" s="28">
        <f t="shared" si="6"/>
        <v>-0.2</v>
      </c>
      <c r="C20" s="28">
        <f t="shared" si="5"/>
        <v>0</v>
      </c>
      <c r="D20" s="28">
        <f t="shared" si="5"/>
        <v>-0.33333333333333331</v>
      </c>
      <c r="E20" s="28">
        <f t="shared" si="5"/>
        <v>-0.66666666666666663</v>
      </c>
      <c r="F20" s="28">
        <f t="shared" si="5"/>
        <v>0.25</v>
      </c>
      <c r="G20" s="28">
        <f t="shared" si="5"/>
        <v>-0.33333333333333331</v>
      </c>
      <c r="H20" s="28">
        <f t="shared" si="5"/>
        <v>0</v>
      </c>
      <c r="I20" s="28">
        <f t="shared" si="5"/>
        <v>-0.42857142857142855</v>
      </c>
      <c r="J20" s="28">
        <f t="shared" si="5"/>
        <v>-0.66666666666666663</v>
      </c>
      <c r="K20" s="28">
        <f t="shared" si="5"/>
        <v>-0.2</v>
      </c>
      <c r="L20" s="28">
        <f t="shared" si="5"/>
        <v>-1</v>
      </c>
      <c r="M20" s="28">
        <f t="shared" si="5"/>
        <v>-0.83333333333333337</v>
      </c>
      <c r="N20" s="28">
        <f t="shared" si="5"/>
        <v>0</v>
      </c>
      <c r="Q20" t="s">
        <v>5</v>
      </c>
      <c r="R20" t="s">
        <v>35</v>
      </c>
      <c r="S20" t="s">
        <v>33</v>
      </c>
      <c r="T20">
        <v>25225</v>
      </c>
      <c r="U20">
        <v>7</v>
      </c>
      <c r="V20">
        <f t="shared" si="2"/>
        <v>2023</v>
      </c>
      <c r="W20">
        <f t="shared" si="3"/>
        <v>9</v>
      </c>
      <c r="X20" t="str">
        <f t="shared" si="4"/>
        <v>2023-9</v>
      </c>
    </row>
    <row r="21" spans="1:24" x14ac:dyDescent="0.3">
      <c r="A21" s="11" t="s">
        <v>10</v>
      </c>
      <c r="B21" s="28">
        <f t="shared" si="6"/>
        <v>-0.6</v>
      </c>
      <c r="C21" s="28">
        <f t="shared" si="5"/>
        <v>-0.7142857142857143</v>
      </c>
      <c r="D21" s="28">
        <f t="shared" si="5"/>
        <v>-0.83333333333333337</v>
      </c>
      <c r="E21" s="28">
        <f t="shared" si="5"/>
        <v>-0.33333333333333331</v>
      </c>
      <c r="F21" s="28">
        <f t="shared" si="5"/>
        <v>-0.6</v>
      </c>
      <c r="G21" s="28">
        <f t="shared" si="5"/>
        <v>-0.5</v>
      </c>
      <c r="H21" s="28">
        <f t="shared" si="5"/>
        <v>0</v>
      </c>
      <c r="I21" s="28">
        <f t="shared" si="5"/>
        <v>-0.14285714285714285</v>
      </c>
      <c r="J21" s="28">
        <f t="shared" si="5"/>
        <v>0.3</v>
      </c>
      <c r="K21" s="28">
        <f t="shared" si="5"/>
        <v>-0.625</v>
      </c>
      <c r="L21" s="28">
        <f t="shared" si="5"/>
        <v>0</v>
      </c>
      <c r="M21" s="28">
        <f t="shared" si="5"/>
        <v>-0.33333333333333331</v>
      </c>
      <c r="N21" s="28" t="str">
        <f t="shared" si="5"/>
        <v/>
      </c>
      <c r="Q21" t="s">
        <v>14</v>
      </c>
      <c r="R21" t="s">
        <v>36</v>
      </c>
      <c r="S21" t="s">
        <v>33</v>
      </c>
      <c r="T21">
        <v>46372</v>
      </c>
      <c r="U21">
        <v>7</v>
      </c>
      <c r="V21">
        <f t="shared" si="2"/>
        <v>2023</v>
      </c>
      <c r="W21">
        <f t="shared" si="3"/>
        <v>9</v>
      </c>
      <c r="X21" t="str">
        <f t="shared" si="4"/>
        <v>2023-9</v>
      </c>
    </row>
    <row r="22" spans="1:24" x14ac:dyDescent="0.3">
      <c r="A22" s="11" t="s">
        <v>47</v>
      </c>
      <c r="B22" s="28">
        <f t="shared" si="6"/>
        <v>-0.44444444444444442</v>
      </c>
      <c r="C22" s="28">
        <f t="shared" si="5"/>
        <v>-0.30769230769230771</v>
      </c>
      <c r="D22" s="28">
        <f t="shared" si="5"/>
        <v>-0.5</v>
      </c>
      <c r="E22" s="28">
        <f t="shared" si="5"/>
        <v>-0.66666666666666663</v>
      </c>
      <c r="F22" s="28">
        <f t="shared" si="5"/>
        <v>0</v>
      </c>
      <c r="G22" s="28">
        <f t="shared" si="5"/>
        <v>-0.33333333333333331</v>
      </c>
      <c r="H22" s="28">
        <f t="shared" si="5"/>
        <v>0.33333333333333331</v>
      </c>
      <c r="I22" s="28">
        <f t="shared" si="5"/>
        <v>-1</v>
      </c>
      <c r="J22" s="28">
        <f t="shared" si="5"/>
        <v>-0.58333333333333337</v>
      </c>
      <c r="K22" s="28">
        <f t="shared" si="5"/>
        <v>-0.27272727272727271</v>
      </c>
      <c r="L22" s="28">
        <f t="shared" si="5"/>
        <v>-0.75</v>
      </c>
      <c r="M22" s="28">
        <f t="shared" si="5"/>
        <v>-0.6</v>
      </c>
      <c r="N22" s="28" t="str">
        <f t="shared" si="5"/>
        <v/>
      </c>
      <c r="Q22" t="s">
        <v>14</v>
      </c>
      <c r="R22" t="s">
        <v>37</v>
      </c>
      <c r="S22" t="s">
        <v>38</v>
      </c>
      <c r="T22">
        <v>11951</v>
      </c>
      <c r="U22">
        <v>3</v>
      </c>
      <c r="V22">
        <f t="shared" si="2"/>
        <v>2023</v>
      </c>
      <c r="W22">
        <f t="shared" si="3"/>
        <v>9</v>
      </c>
      <c r="X22" t="str">
        <f t="shared" si="4"/>
        <v>2023-9</v>
      </c>
    </row>
    <row r="23" spans="1:24" x14ac:dyDescent="0.3">
      <c r="A23" s="11" t="s">
        <v>45</v>
      </c>
      <c r="B23" s="28">
        <f t="shared" si="6"/>
        <v>-0.42857142857142855</v>
      </c>
      <c r="C23" s="28">
        <f t="shared" si="5"/>
        <v>-0.3</v>
      </c>
      <c r="D23" s="28">
        <f t="shared" si="5"/>
        <v>-0.375</v>
      </c>
      <c r="E23" s="28">
        <f t="shared" si="5"/>
        <v>-0.77777777777777779</v>
      </c>
      <c r="F23" s="28">
        <f t="shared" si="5"/>
        <v>-0.2857142857142857</v>
      </c>
      <c r="G23" s="28">
        <f t="shared" si="5"/>
        <v>0</v>
      </c>
      <c r="H23" s="28">
        <f t="shared" si="5"/>
        <v>-1</v>
      </c>
      <c r="I23" s="28">
        <f t="shared" si="5"/>
        <v>0.14285714285714285</v>
      </c>
      <c r="J23" s="28">
        <f t="shared" si="5"/>
        <v>-0.2857142857142857</v>
      </c>
      <c r="K23" s="28">
        <f t="shared" si="5"/>
        <v>-0.5</v>
      </c>
      <c r="L23" s="28">
        <f t="shared" si="5"/>
        <v>0</v>
      </c>
      <c r="M23" s="28">
        <f t="shared" si="5"/>
        <v>-0.16666666666666666</v>
      </c>
      <c r="N23" s="28" t="str">
        <f t="shared" si="5"/>
        <v/>
      </c>
      <c r="Q23" t="s">
        <v>10</v>
      </c>
      <c r="R23" t="s">
        <v>39</v>
      </c>
      <c r="S23" t="s">
        <v>38</v>
      </c>
      <c r="T23">
        <v>52185</v>
      </c>
      <c r="U23">
        <v>4</v>
      </c>
      <c r="V23">
        <f t="shared" si="2"/>
        <v>2023</v>
      </c>
      <c r="W23">
        <f t="shared" si="3"/>
        <v>9</v>
      </c>
      <c r="X23" t="str">
        <f t="shared" si="4"/>
        <v>2023-9</v>
      </c>
    </row>
    <row r="24" spans="1:24" x14ac:dyDescent="0.3">
      <c r="A24" s="11" t="s">
        <v>50</v>
      </c>
      <c r="B24" s="28">
        <f t="shared" si="6"/>
        <v>0</v>
      </c>
      <c r="C24" s="28">
        <f t="shared" si="5"/>
        <v>-0.6</v>
      </c>
      <c r="D24" s="28">
        <f t="shared" si="5"/>
        <v>-0.2</v>
      </c>
      <c r="E24" s="28">
        <f t="shared" si="5"/>
        <v>-0.42857142857142855</v>
      </c>
      <c r="F24" s="28">
        <f t="shared" si="5"/>
        <v>-0.5</v>
      </c>
      <c r="G24" s="28">
        <f t="shared" si="5"/>
        <v>-0.4</v>
      </c>
      <c r="H24" s="28">
        <f t="shared" si="5"/>
        <v>0</v>
      </c>
      <c r="I24" s="28">
        <f t="shared" si="5"/>
        <v>-0.33333333333333331</v>
      </c>
      <c r="J24" s="28">
        <f t="shared" si="5"/>
        <v>-0.2</v>
      </c>
      <c r="K24" s="28">
        <f t="shared" si="5"/>
        <v>-0.625</v>
      </c>
      <c r="L24" s="28">
        <f t="shared" si="5"/>
        <v>-0.83333333333333337</v>
      </c>
      <c r="M24" s="28">
        <f t="shared" si="5"/>
        <v>0</v>
      </c>
      <c r="N24" s="28" t="str">
        <f t="shared" si="5"/>
        <v/>
      </c>
      <c r="Q24" t="s">
        <v>40</v>
      </c>
      <c r="R24" t="s">
        <v>41</v>
      </c>
      <c r="S24" t="s">
        <v>38</v>
      </c>
      <c r="T24">
        <v>15458</v>
      </c>
      <c r="U24">
        <v>7</v>
      </c>
      <c r="V24">
        <f t="shared" si="2"/>
        <v>2023</v>
      </c>
      <c r="W24">
        <f t="shared" si="3"/>
        <v>9</v>
      </c>
      <c r="X24" t="str">
        <f t="shared" si="4"/>
        <v>2023-9</v>
      </c>
    </row>
    <row r="25" spans="1:24" x14ac:dyDescent="0.3">
      <c r="A25" s="11" t="s">
        <v>12</v>
      </c>
      <c r="B25" s="28">
        <f t="shared" si="6"/>
        <v>-0.5</v>
      </c>
      <c r="C25" s="28">
        <f t="shared" si="5"/>
        <v>-0.6</v>
      </c>
      <c r="D25" s="28">
        <f t="shared" si="5"/>
        <v>-0.33333333333333331</v>
      </c>
      <c r="E25" s="28">
        <f t="shared" si="5"/>
        <v>0</v>
      </c>
      <c r="F25" s="28">
        <f t="shared" si="5"/>
        <v>-0.625</v>
      </c>
      <c r="G25" s="28">
        <f t="shared" si="5"/>
        <v>-0.5</v>
      </c>
      <c r="H25" s="28">
        <f t="shared" si="5"/>
        <v>0</v>
      </c>
      <c r="I25" s="28">
        <f t="shared" si="5"/>
        <v>-0.6</v>
      </c>
      <c r="J25" s="28">
        <f t="shared" si="5"/>
        <v>-0.33333333333333331</v>
      </c>
      <c r="K25" s="28">
        <f t="shared" si="5"/>
        <v>-1</v>
      </c>
      <c r="L25" s="28">
        <f t="shared" si="5"/>
        <v>0</v>
      </c>
      <c r="M25" s="28">
        <f t="shared" si="5"/>
        <v>0</v>
      </c>
      <c r="N25" s="28">
        <f t="shared" si="5"/>
        <v>-1</v>
      </c>
      <c r="Q25" t="s">
        <v>10</v>
      </c>
      <c r="R25" t="s">
        <v>42</v>
      </c>
      <c r="S25" t="s">
        <v>38</v>
      </c>
      <c r="T25">
        <v>37625</v>
      </c>
      <c r="U25">
        <v>8</v>
      </c>
      <c r="V25">
        <f t="shared" si="2"/>
        <v>2023</v>
      </c>
      <c r="W25">
        <f t="shared" si="3"/>
        <v>9</v>
      </c>
      <c r="X25" t="str">
        <f t="shared" si="4"/>
        <v>2023-9</v>
      </c>
    </row>
    <row r="26" spans="1:24" x14ac:dyDescent="0.3">
      <c r="A26" s="11" t="s">
        <v>18</v>
      </c>
      <c r="B26" s="28">
        <f t="shared" si="6"/>
        <v>-0.72727272727272729</v>
      </c>
      <c r="C26" s="28">
        <f t="shared" si="5"/>
        <v>-0.2857142857142857</v>
      </c>
      <c r="D26" s="28">
        <f t="shared" si="5"/>
        <v>-0.33333333333333331</v>
      </c>
      <c r="E26" s="28">
        <f t="shared" si="5"/>
        <v>-1</v>
      </c>
      <c r="F26" s="28">
        <f t="shared" si="5"/>
        <v>-9.0909090909090912E-2</v>
      </c>
      <c r="G26" s="28">
        <f t="shared" si="5"/>
        <v>0</v>
      </c>
      <c r="H26" s="28">
        <f t="shared" si="5"/>
        <v>-0.5714285714285714</v>
      </c>
      <c r="I26" s="28">
        <f t="shared" si="5"/>
        <v>-0.5</v>
      </c>
      <c r="J26" s="28">
        <f t="shared" si="5"/>
        <v>-0.55555555555555558</v>
      </c>
      <c r="K26" s="28">
        <f t="shared" si="5"/>
        <v>-0.125</v>
      </c>
      <c r="L26" s="28">
        <f t="shared" si="5"/>
        <v>-0.14285714285714285</v>
      </c>
      <c r="M26" s="28">
        <f t="shared" si="5"/>
        <v>0.25</v>
      </c>
      <c r="N26" s="28" t="str">
        <f t="shared" si="5"/>
        <v/>
      </c>
      <c r="Q26" t="s">
        <v>40</v>
      </c>
      <c r="R26" t="s">
        <v>43</v>
      </c>
      <c r="S26" t="s">
        <v>44</v>
      </c>
      <c r="T26">
        <v>20131</v>
      </c>
      <c r="U26">
        <v>10</v>
      </c>
      <c r="V26">
        <f t="shared" si="2"/>
        <v>2023</v>
      </c>
      <c r="W26">
        <f t="shared" si="3"/>
        <v>9</v>
      </c>
      <c r="X26" t="str">
        <f t="shared" si="4"/>
        <v>2023-9</v>
      </c>
    </row>
    <row r="27" spans="1:24" x14ac:dyDescent="0.3">
      <c r="A27" s="11" t="s">
        <v>5</v>
      </c>
      <c r="B27" s="28">
        <f t="shared" si="6"/>
        <v>-0.75</v>
      </c>
      <c r="C27" s="28">
        <f t="shared" si="5"/>
        <v>-9.0909090909090912E-2</v>
      </c>
      <c r="D27" s="28">
        <f t="shared" si="5"/>
        <v>-0.77777777777777779</v>
      </c>
      <c r="E27" s="28">
        <f t="shared" si="5"/>
        <v>-0.4</v>
      </c>
      <c r="F27" s="28">
        <f t="shared" si="5"/>
        <v>-0.83333333333333337</v>
      </c>
      <c r="G27" s="28">
        <f t="shared" si="5"/>
        <v>-1</v>
      </c>
      <c r="H27" s="28">
        <f t="shared" si="5"/>
        <v>-1</v>
      </c>
      <c r="I27" s="28">
        <f t="shared" si="5"/>
        <v>-0.7142857142857143</v>
      </c>
      <c r="J27" s="28">
        <f t="shared" si="5"/>
        <v>-0.44444444444444442</v>
      </c>
      <c r="K27" s="28">
        <f t="shared" si="5"/>
        <v>0</v>
      </c>
      <c r="L27" s="28">
        <f t="shared" si="5"/>
        <v>-0.25</v>
      </c>
      <c r="M27" s="28">
        <f t="shared" si="5"/>
        <v>-0.44444444444444442</v>
      </c>
      <c r="N27" s="28">
        <f t="shared" si="5"/>
        <v>0</v>
      </c>
      <c r="Q27" t="s">
        <v>45</v>
      </c>
      <c r="R27" t="s">
        <v>46</v>
      </c>
      <c r="S27" t="s">
        <v>44</v>
      </c>
      <c r="T27">
        <v>15365</v>
      </c>
      <c r="U27">
        <v>5</v>
      </c>
      <c r="V27">
        <f t="shared" si="2"/>
        <v>2023</v>
      </c>
      <c r="W27">
        <f t="shared" si="3"/>
        <v>9</v>
      </c>
      <c r="X27" t="str">
        <f t="shared" si="4"/>
        <v>2023-9</v>
      </c>
    </row>
    <row r="28" spans="1:24" x14ac:dyDescent="0.3">
      <c r="A28" s="11" t="s">
        <v>40</v>
      </c>
      <c r="B28" s="28">
        <f t="shared" si="6"/>
        <v>0.375</v>
      </c>
      <c r="C28" s="28">
        <f t="shared" si="5"/>
        <v>-0.44444444444444442</v>
      </c>
      <c r="D28" s="28">
        <f t="shared" si="5"/>
        <v>-0.16666666666666666</v>
      </c>
      <c r="E28" s="28">
        <f t="shared" si="5"/>
        <v>-0.66666666666666663</v>
      </c>
      <c r="F28" s="28">
        <f t="shared" si="5"/>
        <v>-0.2</v>
      </c>
      <c r="G28" s="28">
        <f t="shared" si="5"/>
        <v>-0.55555555555555558</v>
      </c>
      <c r="H28" s="28">
        <f t="shared" si="5"/>
        <v>-0.54545454545454541</v>
      </c>
      <c r="I28" s="28">
        <f t="shared" si="5"/>
        <v>-0.2</v>
      </c>
      <c r="J28" s="28">
        <f t="shared" si="5"/>
        <v>-0.33333333333333331</v>
      </c>
      <c r="K28" s="28">
        <f t="shared" si="5"/>
        <v>0</v>
      </c>
      <c r="L28" s="28">
        <f t="shared" si="5"/>
        <v>-0.33333333333333331</v>
      </c>
      <c r="M28" s="28">
        <f t="shared" si="5"/>
        <v>-0.16666666666666666</v>
      </c>
      <c r="N28" s="28" t="str">
        <f t="shared" si="5"/>
        <v/>
      </c>
      <c r="Q28" t="s">
        <v>47</v>
      </c>
      <c r="R28" t="s">
        <v>48</v>
      </c>
      <c r="S28" t="s">
        <v>44</v>
      </c>
      <c r="T28">
        <v>65716</v>
      </c>
      <c r="U28">
        <v>6</v>
      </c>
      <c r="V28">
        <f t="shared" si="2"/>
        <v>2023</v>
      </c>
      <c r="W28">
        <f t="shared" si="3"/>
        <v>9</v>
      </c>
      <c r="X28" t="str">
        <f t="shared" si="4"/>
        <v>2023-9</v>
      </c>
    </row>
    <row r="29" spans="1:24" x14ac:dyDescent="0.3">
      <c r="A29" s="11" t="s">
        <v>8</v>
      </c>
      <c r="B29" s="28">
        <f t="shared" si="6"/>
        <v>-0.46153846153846156</v>
      </c>
      <c r="C29" s="28">
        <f t="shared" si="5"/>
        <v>-0.42857142857142855</v>
      </c>
      <c r="D29" s="28">
        <f t="shared" si="5"/>
        <v>0</v>
      </c>
      <c r="E29" s="28">
        <f t="shared" si="5"/>
        <v>-0.5</v>
      </c>
      <c r="F29" s="28">
        <f t="shared" si="5"/>
        <v>-0.5</v>
      </c>
      <c r="G29" s="28">
        <f t="shared" si="5"/>
        <v>-1</v>
      </c>
      <c r="H29" s="28">
        <f t="shared" si="5"/>
        <v>-0.125</v>
      </c>
      <c r="I29" s="28">
        <f t="shared" si="5"/>
        <v>-0.6</v>
      </c>
      <c r="J29" s="28">
        <f t="shared" si="5"/>
        <v>-0.375</v>
      </c>
      <c r="K29" s="28">
        <f t="shared" si="5"/>
        <v>-0.66666666666666663</v>
      </c>
      <c r="L29" s="28">
        <f t="shared" si="5"/>
        <v>-0.6</v>
      </c>
      <c r="M29" s="28">
        <f t="shared" si="5"/>
        <v>0</v>
      </c>
      <c r="N29" s="28" t="str">
        <f t="shared" si="5"/>
        <v/>
      </c>
      <c r="Q29" t="s">
        <v>8</v>
      </c>
      <c r="R29" t="s">
        <v>49</v>
      </c>
      <c r="S29" t="s">
        <v>44</v>
      </c>
      <c r="T29">
        <v>98163</v>
      </c>
      <c r="U29">
        <v>8</v>
      </c>
      <c r="V29">
        <f t="shared" si="2"/>
        <v>2023</v>
      </c>
      <c r="W29">
        <f t="shared" si="3"/>
        <v>9</v>
      </c>
      <c r="X29" t="str">
        <f t="shared" si="4"/>
        <v>2023-9</v>
      </c>
    </row>
    <row r="30" spans="1:24" x14ac:dyDescent="0.3">
      <c r="Q30" t="s">
        <v>40</v>
      </c>
      <c r="R30" t="s">
        <v>32</v>
      </c>
      <c r="S30" t="s">
        <v>44</v>
      </c>
      <c r="T30">
        <v>11301</v>
      </c>
      <c r="U30">
        <v>9</v>
      </c>
      <c r="V30">
        <f t="shared" si="2"/>
        <v>2023</v>
      </c>
      <c r="W30">
        <f t="shared" si="3"/>
        <v>9</v>
      </c>
      <c r="X30" t="str">
        <f t="shared" si="4"/>
        <v>2023-9</v>
      </c>
    </row>
    <row r="31" spans="1:24" x14ac:dyDescent="0.3">
      <c r="Q31" t="s">
        <v>50</v>
      </c>
      <c r="R31" t="s">
        <v>51</v>
      </c>
      <c r="S31" t="s">
        <v>44</v>
      </c>
      <c r="T31">
        <v>16140</v>
      </c>
      <c r="U31">
        <v>1</v>
      </c>
      <c r="V31">
        <f t="shared" si="2"/>
        <v>2023</v>
      </c>
      <c r="W31">
        <f t="shared" si="3"/>
        <v>9</v>
      </c>
      <c r="X31" t="str">
        <f t="shared" si="4"/>
        <v>2023-9</v>
      </c>
    </row>
    <row r="32" spans="1:24" x14ac:dyDescent="0.3">
      <c r="B32" s="11" t="s">
        <v>492</v>
      </c>
      <c r="C32" s="11" t="s">
        <v>493</v>
      </c>
      <c r="D32" s="11" t="s">
        <v>494</v>
      </c>
      <c r="E32" s="11" t="s">
        <v>495</v>
      </c>
      <c r="F32" s="11" t="s">
        <v>496</v>
      </c>
      <c r="G32" s="11" t="s">
        <v>497</v>
      </c>
      <c r="H32" s="11" t="s">
        <v>498</v>
      </c>
      <c r="I32" s="11" t="s">
        <v>499</v>
      </c>
      <c r="J32" s="11" t="s">
        <v>500</v>
      </c>
      <c r="K32" s="11" t="s">
        <v>501</v>
      </c>
      <c r="L32" s="11" t="s">
        <v>502</v>
      </c>
      <c r="M32" s="11" t="s">
        <v>503</v>
      </c>
      <c r="N32" s="11" t="s">
        <v>504</v>
      </c>
      <c r="Q32" t="s">
        <v>40</v>
      </c>
      <c r="R32" t="s">
        <v>52</v>
      </c>
      <c r="S32" t="s">
        <v>44</v>
      </c>
      <c r="T32">
        <v>97934</v>
      </c>
      <c r="U32">
        <v>6</v>
      </c>
      <c r="V32">
        <f t="shared" si="2"/>
        <v>2023</v>
      </c>
      <c r="W32">
        <f t="shared" si="3"/>
        <v>9</v>
      </c>
      <c r="X32" t="str">
        <f t="shared" si="4"/>
        <v>2023-9</v>
      </c>
    </row>
    <row r="33" spans="1:24" x14ac:dyDescent="0.3">
      <c r="A33" s="11" t="s">
        <v>21</v>
      </c>
      <c r="B33" s="29">
        <f>IFERROR(AVERAGEIFS($T:$T,$Q:$Q,$A33,$X:$X,B$32),"")</f>
        <v>44198.142857142855</v>
      </c>
      <c r="C33" s="29">
        <f t="shared" ref="C33:N33" si="7">IFERROR(AVERAGEIFS($T:$T,$Q:$Q,$A33,$X:$X,C$32),"")</f>
        <v>64761.8</v>
      </c>
      <c r="D33" s="29">
        <f t="shared" si="7"/>
        <v>55382</v>
      </c>
      <c r="E33" s="29">
        <f t="shared" si="7"/>
        <v>55137.2</v>
      </c>
      <c r="F33" s="29">
        <f t="shared" si="7"/>
        <v>54766.272727272728</v>
      </c>
      <c r="G33" s="29">
        <f t="shared" si="7"/>
        <v>48445.125</v>
      </c>
      <c r="H33" s="29">
        <f t="shared" si="7"/>
        <v>89836</v>
      </c>
      <c r="I33" s="29">
        <f t="shared" si="7"/>
        <v>50780.416666666664</v>
      </c>
      <c r="J33" s="29">
        <f t="shared" si="7"/>
        <v>57919.857142857145</v>
      </c>
      <c r="K33" s="29">
        <f t="shared" si="7"/>
        <v>54403</v>
      </c>
      <c r="L33" s="29">
        <f t="shared" si="7"/>
        <v>60829.833333333336</v>
      </c>
      <c r="M33" s="29">
        <f t="shared" si="7"/>
        <v>58376.555555555555</v>
      </c>
      <c r="N33" s="29" t="str">
        <f t="shared" si="7"/>
        <v/>
      </c>
      <c r="Q33" t="s">
        <v>47</v>
      </c>
      <c r="R33" t="s">
        <v>53</v>
      </c>
      <c r="S33" t="s">
        <v>44</v>
      </c>
      <c r="T33">
        <v>40642</v>
      </c>
      <c r="U33">
        <v>3</v>
      </c>
      <c r="V33">
        <f t="shared" si="2"/>
        <v>2023</v>
      </c>
      <c r="W33">
        <f t="shared" si="3"/>
        <v>9</v>
      </c>
      <c r="X33" t="str">
        <f t="shared" si="4"/>
        <v>2023-9</v>
      </c>
    </row>
    <row r="34" spans="1:24" x14ac:dyDescent="0.3">
      <c r="A34" s="11" t="s">
        <v>14</v>
      </c>
      <c r="B34" s="29">
        <f t="shared" ref="B34:B44" si="8">IFERROR(AVERAGEIFS($T:$T,$Q:$Q,$A34,$X:$X,B$32),"")</f>
        <v>51723</v>
      </c>
      <c r="C34" s="29">
        <f t="shared" ref="C33:N44" si="9">IFERROR(AVERAGEIFS($T:$T,$Q:$Q,$A34,$X:$X,C$32),"")</f>
        <v>57156.75</v>
      </c>
      <c r="D34" s="29">
        <f t="shared" si="9"/>
        <v>60994.8</v>
      </c>
      <c r="E34" s="29">
        <f t="shared" si="9"/>
        <v>68428.166666666672</v>
      </c>
      <c r="F34" s="29">
        <f t="shared" si="9"/>
        <v>64446.285714285717</v>
      </c>
      <c r="G34" s="29">
        <f t="shared" si="9"/>
        <v>44363.4</v>
      </c>
      <c r="H34" s="29">
        <f t="shared" si="9"/>
        <v>62503.125</v>
      </c>
      <c r="I34" s="29">
        <f t="shared" si="9"/>
        <v>49182.5</v>
      </c>
      <c r="J34" s="29">
        <f t="shared" si="9"/>
        <v>55687.166666666664</v>
      </c>
      <c r="K34" s="29">
        <f t="shared" si="9"/>
        <v>37653.833333333336</v>
      </c>
      <c r="L34" s="29">
        <f t="shared" si="9"/>
        <v>52137.375</v>
      </c>
      <c r="M34" s="29">
        <f t="shared" si="9"/>
        <v>46539.454545454544</v>
      </c>
      <c r="N34" s="29" t="str">
        <f t="shared" si="9"/>
        <v/>
      </c>
      <c r="Q34" t="s">
        <v>18</v>
      </c>
      <c r="R34" t="s">
        <v>54</v>
      </c>
      <c r="S34" t="s">
        <v>44</v>
      </c>
      <c r="T34">
        <v>38005</v>
      </c>
      <c r="U34">
        <v>6</v>
      </c>
      <c r="V34">
        <f t="shared" si="2"/>
        <v>2023</v>
      </c>
      <c r="W34">
        <f t="shared" si="3"/>
        <v>9</v>
      </c>
      <c r="X34" t="str">
        <f t="shared" si="4"/>
        <v>2023-9</v>
      </c>
    </row>
    <row r="35" spans="1:24" x14ac:dyDescent="0.3">
      <c r="A35" s="11" t="s">
        <v>28</v>
      </c>
      <c r="B35" s="29">
        <f t="shared" si="8"/>
        <v>51770.9</v>
      </c>
      <c r="C35" s="29">
        <f t="shared" si="9"/>
        <v>65455.4</v>
      </c>
      <c r="D35" s="29">
        <f t="shared" si="9"/>
        <v>68378.666666666672</v>
      </c>
      <c r="E35" s="29">
        <f t="shared" si="9"/>
        <v>67235.333333333328</v>
      </c>
      <c r="F35" s="29">
        <f t="shared" si="9"/>
        <v>38204.25</v>
      </c>
      <c r="G35" s="29">
        <f t="shared" si="9"/>
        <v>45538.333333333336</v>
      </c>
      <c r="H35" s="29">
        <f t="shared" si="9"/>
        <v>44994.666666666664</v>
      </c>
      <c r="I35" s="29">
        <f t="shared" si="9"/>
        <v>59895.285714285717</v>
      </c>
      <c r="J35" s="29">
        <f t="shared" si="9"/>
        <v>59967.888888888891</v>
      </c>
      <c r="K35" s="29">
        <f t="shared" si="9"/>
        <v>49702</v>
      </c>
      <c r="L35" s="29">
        <f t="shared" si="9"/>
        <v>47166.2</v>
      </c>
      <c r="M35" s="29">
        <f t="shared" si="9"/>
        <v>42309.166666666664</v>
      </c>
      <c r="N35" s="29">
        <f t="shared" si="9"/>
        <v>73916</v>
      </c>
      <c r="Q35" t="s">
        <v>8</v>
      </c>
      <c r="R35" t="s">
        <v>55</v>
      </c>
      <c r="S35" t="s">
        <v>44</v>
      </c>
      <c r="T35">
        <v>36138</v>
      </c>
      <c r="U35">
        <v>7</v>
      </c>
      <c r="V35">
        <f t="shared" si="2"/>
        <v>2023</v>
      </c>
      <c r="W35">
        <f t="shared" si="3"/>
        <v>9</v>
      </c>
      <c r="X35" t="str">
        <f t="shared" si="4"/>
        <v>2023-9</v>
      </c>
    </row>
    <row r="36" spans="1:24" x14ac:dyDescent="0.3">
      <c r="A36" s="11" t="s">
        <v>10</v>
      </c>
      <c r="B36" s="29">
        <f t="shared" si="8"/>
        <v>52896.2</v>
      </c>
      <c r="C36" s="29">
        <f t="shared" si="9"/>
        <v>66310.142857142855</v>
      </c>
      <c r="D36" s="29">
        <f t="shared" si="9"/>
        <v>69639.5</v>
      </c>
      <c r="E36" s="29">
        <f t="shared" si="9"/>
        <v>71042.222222222219</v>
      </c>
      <c r="F36" s="29">
        <f t="shared" si="9"/>
        <v>46954.8</v>
      </c>
      <c r="G36" s="29">
        <f t="shared" si="9"/>
        <v>40627</v>
      </c>
      <c r="H36" s="29">
        <f t="shared" si="9"/>
        <v>77543.5</v>
      </c>
      <c r="I36" s="29">
        <f t="shared" si="9"/>
        <v>64770.571428571428</v>
      </c>
      <c r="J36" s="29">
        <f t="shared" si="9"/>
        <v>50530.8</v>
      </c>
      <c r="K36" s="29">
        <f t="shared" si="9"/>
        <v>66807.625</v>
      </c>
      <c r="L36" s="29">
        <f t="shared" si="9"/>
        <v>74635.833333333328</v>
      </c>
      <c r="M36" s="29">
        <f t="shared" si="9"/>
        <v>48235</v>
      </c>
      <c r="N36" s="29" t="str">
        <f t="shared" si="9"/>
        <v/>
      </c>
      <c r="Q36" t="s">
        <v>28</v>
      </c>
      <c r="R36" t="s">
        <v>56</v>
      </c>
      <c r="S36" t="s">
        <v>57</v>
      </c>
      <c r="T36">
        <v>46656</v>
      </c>
      <c r="U36">
        <v>9</v>
      </c>
      <c r="V36">
        <f t="shared" si="2"/>
        <v>2023</v>
      </c>
      <c r="W36">
        <f t="shared" si="3"/>
        <v>9</v>
      </c>
      <c r="X36" t="str">
        <f t="shared" si="4"/>
        <v>2023-9</v>
      </c>
    </row>
    <row r="37" spans="1:24" x14ac:dyDescent="0.3">
      <c r="A37" s="11" t="s">
        <v>47</v>
      </c>
      <c r="B37" s="29">
        <f t="shared" si="8"/>
        <v>53552.555555555555</v>
      </c>
      <c r="C37" s="29">
        <f t="shared" si="9"/>
        <v>54084.153846153844</v>
      </c>
      <c r="D37" s="29">
        <f t="shared" si="9"/>
        <v>53866.833333333336</v>
      </c>
      <c r="E37" s="29">
        <f t="shared" si="9"/>
        <v>62303.833333333336</v>
      </c>
      <c r="F37" s="29">
        <f t="shared" si="9"/>
        <v>55200.285714285717</v>
      </c>
      <c r="G37" s="29">
        <f t="shared" si="9"/>
        <v>62587.333333333336</v>
      </c>
      <c r="H37" s="29">
        <f t="shared" si="9"/>
        <v>37370</v>
      </c>
      <c r="I37" s="29">
        <f t="shared" si="9"/>
        <v>49159.6</v>
      </c>
      <c r="J37" s="29">
        <f t="shared" si="9"/>
        <v>44541.75</v>
      </c>
      <c r="K37" s="29">
        <f t="shared" si="9"/>
        <v>50321.63636363636</v>
      </c>
      <c r="L37" s="29">
        <f t="shared" si="9"/>
        <v>69892</v>
      </c>
      <c r="M37" s="29">
        <f t="shared" si="9"/>
        <v>76846.399999999994</v>
      </c>
      <c r="N37" s="29" t="str">
        <f t="shared" si="9"/>
        <v/>
      </c>
      <c r="Q37" t="s">
        <v>8</v>
      </c>
      <c r="R37" t="s">
        <v>58</v>
      </c>
      <c r="S37" t="s">
        <v>57</v>
      </c>
      <c r="T37">
        <v>82879</v>
      </c>
      <c r="U37">
        <v>3</v>
      </c>
      <c r="V37">
        <f t="shared" si="2"/>
        <v>2023</v>
      </c>
      <c r="W37">
        <f t="shared" si="3"/>
        <v>9</v>
      </c>
      <c r="X37" t="str">
        <f t="shared" si="4"/>
        <v>2023-9</v>
      </c>
    </row>
    <row r="38" spans="1:24" x14ac:dyDescent="0.3">
      <c r="A38" s="11" t="s">
        <v>45</v>
      </c>
      <c r="B38" s="29">
        <f t="shared" si="8"/>
        <v>42800.428571428572</v>
      </c>
      <c r="C38" s="29">
        <f t="shared" si="9"/>
        <v>63963.6</v>
      </c>
      <c r="D38" s="29">
        <f t="shared" si="9"/>
        <v>47786</v>
      </c>
      <c r="E38" s="29">
        <f t="shared" si="9"/>
        <v>43298.111111111109</v>
      </c>
      <c r="F38" s="29">
        <f t="shared" si="9"/>
        <v>52770.571428571428</v>
      </c>
      <c r="G38" s="29">
        <f t="shared" si="9"/>
        <v>30652.5</v>
      </c>
      <c r="H38" s="29">
        <f t="shared" si="9"/>
        <v>35515.666666666664</v>
      </c>
      <c r="I38" s="29">
        <f t="shared" si="9"/>
        <v>64680.142857142855</v>
      </c>
      <c r="J38" s="29">
        <f t="shared" si="9"/>
        <v>54354.142857142855</v>
      </c>
      <c r="K38" s="29">
        <f t="shared" si="9"/>
        <v>60603.4</v>
      </c>
      <c r="L38" s="29">
        <f t="shared" si="9"/>
        <v>59069</v>
      </c>
      <c r="M38" s="29">
        <f t="shared" si="9"/>
        <v>39202.333333333336</v>
      </c>
      <c r="N38" s="29" t="str">
        <f t="shared" si="9"/>
        <v/>
      </c>
      <c r="Q38" t="s">
        <v>14</v>
      </c>
      <c r="R38" t="s">
        <v>59</v>
      </c>
      <c r="S38" t="s">
        <v>57</v>
      </c>
      <c r="T38">
        <v>76375</v>
      </c>
      <c r="U38">
        <v>5</v>
      </c>
      <c r="V38">
        <f t="shared" si="2"/>
        <v>2023</v>
      </c>
      <c r="W38">
        <f t="shared" si="3"/>
        <v>9</v>
      </c>
      <c r="X38" t="str">
        <f t="shared" si="4"/>
        <v>2023-9</v>
      </c>
    </row>
    <row r="39" spans="1:24" x14ac:dyDescent="0.3">
      <c r="A39" s="11" t="s">
        <v>50</v>
      </c>
      <c r="B39" s="29">
        <f t="shared" si="8"/>
        <v>61875</v>
      </c>
      <c r="C39" s="29">
        <f t="shared" si="9"/>
        <v>63303</v>
      </c>
      <c r="D39" s="29">
        <f t="shared" si="9"/>
        <v>68735.7</v>
      </c>
      <c r="E39" s="29">
        <f t="shared" si="9"/>
        <v>55562.142857142855</v>
      </c>
      <c r="F39" s="29">
        <f t="shared" si="9"/>
        <v>55565.7</v>
      </c>
      <c r="G39" s="29">
        <f t="shared" si="9"/>
        <v>75523.899999999994</v>
      </c>
      <c r="H39" s="29">
        <f t="shared" si="9"/>
        <v>46964.666666666664</v>
      </c>
      <c r="I39" s="29">
        <f t="shared" si="9"/>
        <v>46952.555555555555</v>
      </c>
      <c r="J39" s="29">
        <f t="shared" si="9"/>
        <v>54363.199999999997</v>
      </c>
      <c r="K39" s="29">
        <f t="shared" si="9"/>
        <v>65220.25</v>
      </c>
      <c r="L39" s="29">
        <f t="shared" si="9"/>
        <v>59707.833333333336</v>
      </c>
      <c r="M39" s="29">
        <f t="shared" si="9"/>
        <v>56154</v>
      </c>
      <c r="N39" s="29" t="str">
        <f t="shared" si="9"/>
        <v/>
      </c>
      <c r="Q39" t="s">
        <v>45</v>
      </c>
      <c r="R39" t="s">
        <v>60</v>
      </c>
      <c r="S39" t="s">
        <v>57</v>
      </c>
      <c r="T39">
        <v>79759</v>
      </c>
      <c r="U39">
        <v>9</v>
      </c>
      <c r="V39">
        <f t="shared" si="2"/>
        <v>2023</v>
      </c>
      <c r="W39">
        <f t="shared" si="3"/>
        <v>9</v>
      </c>
      <c r="X39" t="str">
        <f t="shared" si="4"/>
        <v>2023-9</v>
      </c>
    </row>
    <row r="40" spans="1:24" x14ac:dyDescent="0.3">
      <c r="A40" s="11" t="s">
        <v>12</v>
      </c>
      <c r="B40" s="29">
        <f t="shared" si="8"/>
        <v>40299.166666666664</v>
      </c>
      <c r="C40" s="29">
        <f t="shared" si="9"/>
        <v>57859.199999999997</v>
      </c>
      <c r="D40" s="29">
        <f t="shared" si="9"/>
        <v>76573.666666666672</v>
      </c>
      <c r="E40" s="29">
        <f t="shared" si="9"/>
        <v>46008.6</v>
      </c>
      <c r="F40" s="29">
        <f t="shared" si="9"/>
        <v>71184.5</v>
      </c>
      <c r="G40" s="29">
        <f t="shared" si="9"/>
        <v>66874</v>
      </c>
      <c r="H40" s="29">
        <f t="shared" si="9"/>
        <v>67613</v>
      </c>
      <c r="I40" s="29">
        <f t="shared" si="9"/>
        <v>51997.2</v>
      </c>
      <c r="J40" s="29">
        <f t="shared" si="9"/>
        <v>55839.833333333336</v>
      </c>
      <c r="K40" s="29">
        <f t="shared" si="9"/>
        <v>99197</v>
      </c>
      <c r="L40" s="29">
        <f t="shared" si="9"/>
        <v>77635.666666666672</v>
      </c>
      <c r="M40" s="29">
        <f t="shared" si="9"/>
        <v>63413.571428571428</v>
      </c>
      <c r="N40" s="29">
        <f t="shared" si="9"/>
        <v>96488</v>
      </c>
      <c r="Q40" t="s">
        <v>40</v>
      </c>
      <c r="R40" t="s">
        <v>61</v>
      </c>
      <c r="S40" t="s">
        <v>57</v>
      </c>
      <c r="T40">
        <v>74925</v>
      </c>
      <c r="U40">
        <v>9</v>
      </c>
      <c r="V40">
        <f t="shared" si="2"/>
        <v>2023</v>
      </c>
      <c r="W40">
        <f t="shared" si="3"/>
        <v>9</v>
      </c>
      <c r="X40" t="str">
        <f t="shared" si="4"/>
        <v>2023-9</v>
      </c>
    </row>
    <row r="41" spans="1:24" x14ac:dyDescent="0.3">
      <c r="A41" s="11" t="s">
        <v>18</v>
      </c>
      <c r="B41" s="29">
        <f t="shared" si="8"/>
        <v>39284.090909090912</v>
      </c>
      <c r="C41" s="29">
        <f t="shared" si="9"/>
        <v>46276.285714285717</v>
      </c>
      <c r="D41" s="29">
        <f t="shared" si="9"/>
        <v>72567.333333333328</v>
      </c>
      <c r="E41" s="29">
        <f t="shared" si="9"/>
        <v>15986</v>
      </c>
      <c r="F41" s="29">
        <f t="shared" si="9"/>
        <v>52228.63636363636</v>
      </c>
      <c r="G41" s="29">
        <f t="shared" si="9"/>
        <v>40258.285714285717</v>
      </c>
      <c r="H41" s="29">
        <f t="shared" si="9"/>
        <v>64712.142857142855</v>
      </c>
      <c r="I41" s="29">
        <f t="shared" si="9"/>
        <v>57888.666666666664</v>
      </c>
      <c r="J41" s="29">
        <f t="shared" si="9"/>
        <v>56631.777777777781</v>
      </c>
      <c r="K41" s="29">
        <f t="shared" si="9"/>
        <v>46253.875</v>
      </c>
      <c r="L41" s="29">
        <f t="shared" si="9"/>
        <v>58034.428571428572</v>
      </c>
      <c r="M41" s="29">
        <f t="shared" si="9"/>
        <v>64678.5</v>
      </c>
      <c r="N41" s="29" t="str">
        <f t="shared" si="9"/>
        <v/>
      </c>
      <c r="Q41" t="s">
        <v>21</v>
      </c>
      <c r="R41" t="s">
        <v>62</v>
      </c>
      <c r="S41" t="s">
        <v>57</v>
      </c>
      <c r="T41">
        <v>17187</v>
      </c>
      <c r="U41">
        <v>9</v>
      </c>
      <c r="V41">
        <f t="shared" si="2"/>
        <v>2023</v>
      </c>
      <c r="W41">
        <f t="shared" si="3"/>
        <v>9</v>
      </c>
      <c r="X41" t="str">
        <f t="shared" si="4"/>
        <v>2023-9</v>
      </c>
    </row>
    <row r="42" spans="1:24" x14ac:dyDescent="0.3">
      <c r="A42" s="11" t="s">
        <v>5</v>
      </c>
      <c r="B42" s="29">
        <f t="shared" si="8"/>
        <v>50745.75</v>
      </c>
      <c r="C42" s="29">
        <f t="shared" si="9"/>
        <v>63341.727272727272</v>
      </c>
      <c r="D42" s="29">
        <f t="shared" si="9"/>
        <v>58493.222222222219</v>
      </c>
      <c r="E42" s="29">
        <f t="shared" si="9"/>
        <v>62789.8</v>
      </c>
      <c r="F42" s="29">
        <f t="shared" si="9"/>
        <v>67893.833333333328</v>
      </c>
      <c r="G42" s="29">
        <f t="shared" si="9"/>
        <v>82213.5</v>
      </c>
      <c r="H42" s="29">
        <f t="shared" si="9"/>
        <v>52555.666666666664</v>
      </c>
      <c r="I42" s="29">
        <f t="shared" si="9"/>
        <v>55785.142857142855</v>
      </c>
      <c r="J42" s="29">
        <f t="shared" si="9"/>
        <v>56382.666666666664</v>
      </c>
      <c r="K42" s="29">
        <f t="shared" si="9"/>
        <v>44061.25</v>
      </c>
      <c r="L42" s="29">
        <f t="shared" si="9"/>
        <v>59477.875</v>
      </c>
      <c r="M42" s="29">
        <f t="shared" si="9"/>
        <v>48204.777777777781</v>
      </c>
      <c r="N42" s="29">
        <f t="shared" si="9"/>
        <v>49150</v>
      </c>
      <c r="Q42" t="s">
        <v>8</v>
      </c>
      <c r="R42" t="s">
        <v>63</v>
      </c>
      <c r="S42" t="s">
        <v>64</v>
      </c>
      <c r="T42">
        <v>59754</v>
      </c>
      <c r="U42">
        <v>7</v>
      </c>
      <c r="V42">
        <f t="shared" si="2"/>
        <v>2023</v>
      </c>
      <c r="W42">
        <f t="shared" si="3"/>
        <v>9</v>
      </c>
      <c r="X42" t="str">
        <f t="shared" si="4"/>
        <v>2023-9</v>
      </c>
    </row>
    <row r="43" spans="1:24" x14ac:dyDescent="0.3">
      <c r="A43" s="11" t="s">
        <v>40</v>
      </c>
      <c r="B43" s="29">
        <f t="shared" si="8"/>
        <v>48171.25</v>
      </c>
      <c r="C43" s="29">
        <f t="shared" si="9"/>
        <v>55300.555555555555</v>
      </c>
      <c r="D43" s="29">
        <f t="shared" si="9"/>
        <v>55440.666666666664</v>
      </c>
      <c r="E43" s="29">
        <f t="shared" si="9"/>
        <v>46414</v>
      </c>
      <c r="F43" s="29">
        <f t="shared" si="9"/>
        <v>48077.8</v>
      </c>
      <c r="G43" s="29">
        <f t="shared" si="9"/>
        <v>71454.555555555562</v>
      </c>
      <c r="H43" s="29">
        <f t="shared" si="9"/>
        <v>48768.454545454544</v>
      </c>
      <c r="I43" s="29">
        <f t="shared" si="9"/>
        <v>52747.199999999997</v>
      </c>
      <c r="J43" s="29">
        <f t="shared" si="9"/>
        <v>46697.666666666664</v>
      </c>
      <c r="K43" s="29">
        <f t="shared" si="9"/>
        <v>63935.75</v>
      </c>
      <c r="L43" s="29">
        <f t="shared" si="9"/>
        <v>42502</v>
      </c>
      <c r="M43" s="29">
        <f t="shared" si="9"/>
        <v>58668.333333333336</v>
      </c>
      <c r="N43" s="29" t="str">
        <f t="shared" si="9"/>
        <v/>
      </c>
      <c r="Q43" t="s">
        <v>12</v>
      </c>
      <c r="R43" t="s">
        <v>65</v>
      </c>
      <c r="S43" t="s">
        <v>64</v>
      </c>
      <c r="T43">
        <v>12140</v>
      </c>
      <c r="U43">
        <v>5</v>
      </c>
      <c r="V43">
        <f t="shared" si="2"/>
        <v>2023</v>
      </c>
      <c r="W43">
        <f t="shared" si="3"/>
        <v>9</v>
      </c>
      <c r="X43" t="str">
        <f t="shared" si="4"/>
        <v>2023-9</v>
      </c>
    </row>
    <row r="44" spans="1:24" x14ac:dyDescent="0.3">
      <c r="A44" s="11" t="s">
        <v>8</v>
      </c>
      <c r="B44" s="29">
        <f t="shared" si="8"/>
        <v>49469.307692307695</v>
      </c>
      <c r="C44" s="29">
        <f t="shared" si="9"/>
        <v>31825.142857142859</v>
      </c>
      <c r="D44" s="29">
        <f t="shared" si="9"/>
        <v>54131.6</v>
      </c>
      <c r="E44" s="29">
        <f t="shared" si="9"/>
        <v>47363</v>
      </c>
      <c r="F44" s="29">
        <f t="shared" si="9"/>
        <v>56997.5</v>
      </c>
      <c r="G44" s="29">
        <f t="shared" si="9"/>
        <v>28155.5</v>
      </c>
      <c r="H44" s="29">
        <f t="shared" si="9"/>
        <v>58867.625</v>
      </c>
      <c r="I44" s="29">
        <f t="shared" si="9"/>
        <v>53726.3</v>
      </c>
      <c r="J44" s="29">
        <f t="shared" si="9"/>
        <v>61016.125</v>
      </c>
      <c r="K44" s="29">
        <f t="shared" si="9"/>
        <v>68303.333333333328</v>
      </c>
      <c r="L44" s="29">
        <f t="shared" si="9"/>
        <v>62571</v>
      </c>
      <c r="M44" s="29">
        <f t="shared" si="9"/>
        <v>60330.625</v>
      </c>
      <c r="N44" s="29" t="str">
        <f t="shared" si="9"/>
        <v/>
      </c>
      <c r="Q44" t="s">
        <v>21</v>
      </c>
      <c r="R44" t="s">
        <v>66</v>
      </c>
      <c r="S44" t="s">
        <v>64</v>
      </c>
      <c r="T44">
        <v>75131</v>
      </c>
      <c r="U44">
        <v>6</v>
      </c>
      <c r="V44">
        <f t="shared" si="2"/>
        <v>2023</v>
      </c>
      <c r="W44">
        <f t="shared" si="3"/>
        <v>9</v>
      </c>
      <c r="X44" t="str">
        <f t="shared" si="4"/>
        <v>2023-9</v>
      </c>
    </row>
    <row r="45" spans="1:24" x14ac:dyDescent="0.3">
      <c r="Q45" t="s">
        <v>8</v>
      </c>
      <c r="R45" t="s">
        <v>67</v>
      </c>
      <c r="S45" t="s">
        <v>68</v>
      </c>
      <c r="T45">
        <v>15221</v>
      </c>
      <c r="U45">
        <v>5</v>
      </c>
      <c r="V45">
        <f t="shared" si="2"/>
        <v>2023</v>
      </c>
      <c r="W45">
        <f t="shared" si="3"/>
        <v>9</v>
      </c>
      <c r="X45" t="str">
        <f t="shared" si="4"/>
        <v>2023-9</v>
      </c>
    </row>
    <row r="46" spans="1:24" x14ac:dyDescent="0.3">
      <c r="Q46" t="s">
        <v>28</v>
      </c>
      <c r="R46" t="s">
        <v>69</v>
      </c>
      <c r="S46" t="s">
        <v>68</v>
      </c>
      <c r="T46">
        <v>56233</v>
      </c>
      <c r="U46">
        <v>9</v>
      </c>
      <c r="V46">
        <f t="shared" si="2"/>
        <v>2023</v>
      </c>
      <c r="W46">
        <f t="shared" si="3"/>
        <v>9</v>
      </c>
      <c r="X46" t="str">
        <f t="shared" si="4"/>
        <v>2023-9</v>
      </c>
    </row>
    <row r="47" spans="1:24" x14ac:dyDescent="0.3">
      <c r="Q47" t="s">
        <v>50</v>
      </c>
      <c r="R47" t="s">
        <v>70</v>
      </c>
      <c r="S47" t="s">
        <v>68</v>
      </c>
      <c r="T47">
        <v>67192</v>
      </c>
      <c r="U47">
        <v>5</v>
      </c>
      <c r="V47">
        <f t="shared" si="2"/>
        <v>2023</v>
      </c>
      <c r="W47">
        <f t="shared" si="3"/>
        <v>9</v>
      </c>
      <c r="X47" t="str">
        <f t="shared" si="4"/>
        <v>2023-9</v>
      </c>
    </row>
    <row r="48" spans="1:24" x14ac:dyDescent="0.3">
      <c r="Q48" t="s">
        <v>21</v>
      </c>
      <c r="R48" t="s">
        <v>71</v>
      </c>
      <c r="S48" t="s">
        <v>68</v>
      </c>
      <c r="T48">
        <v>41739</v>
      </c>
      <c r="U48">
        <v>6</v>
      </c>
      <c r="V48">
        <f t="shared" si="2"/>
        <v>2023</v>
      </c>
      <c r="W48">
        <f t="shared" si="3"/>
        <v>9</v>
      </c>
      <c r="X48" t="str">
        <f t="shared" si="4"/>
        <v>2023-9</v>
      </c>
    </row>
    <row r="49" spans="17:24" x14ac:dyDescent="0.3">
      <c r="Q49" t="s">
        <v>28</v>
      </c>
      <c r="R49" t="s">
        <v>72</v>
      </c>
      <c r="S49" t="s">
        <v>73</v>
      </c>
      <c r="T49">
        <v>60873</v>
      </c>
      <c r="U49">
        <v>8</v>
      </c>
      <c r="V49">
        <f t="shared" si="2"/>
        <v>2023</v>
      </c>
      <c r="W49">
        <f t="shared" si="3"/>
        <v>9</v>
      </c>
      <c r="X49" t="str">
        <f t="shared" si="4"/>
        <v>2023-9</v>
      </c>
    </row>
    <row r="50" spans="17:24" x14ac:dyDescent="0.3">
      <c r="Q50" t="s">
        <v>28</v>
      </c>
      <c r="R50" t="s">
        <v>53</v>
      </c>
      <c r="S50" t="s">
        <v>73</v>
      </c>
      <c r="T50">
        <v>56022</v>
      </c>
      <c r="U50">
        <v>7</v>
      </c>
      <c r="V50">
        <f t="shared" si="2"/>
        <v>2023</v>
      </c>
      <c r="W50">
        <f t="shared" si="3"/>
        <v>9</v>
      </c>
      <c r="X50" t="str">
        <f t="shared" si="4"/>
        <v>2023-9</v>
      </c>
    </row>
    <row r="51" spans="17:24" x14ac:dyDescent="0.3">
      <c r="Q51" t="s">
        <v>28</v>
      </c>
      <c r="R51" t="s">
        <v>74</v>
      </c>
      <c r="S51" t="s">
        <v>73</v>
      </c>
      <c r="T51">
        <v>24286</v>
      </c>
      <c r="U51">
        <v>8</v>
      </c>
      <c r="V51">
        <f t="shared" si="2"/>
        <v>2023</v>
      </c>
      <c r="W51">
        <f t="shared" si="3"/>
        <v>9</v>
      </c>
      <c r="X51" t="str">
        <f t="shared" si="4"/>
        <v>2023-9</v>
      </c>
    </row>
    <row r="52" spans="17:24" x14ac:dyDescent="0.3">
      <c r="Q52" t="s">
        <v>12</v>
      </c>
      <c r="R52" t="s">
        <v>75</v>
      </c>
      <c r="S52" t="s">
        <v>73</v>
      </c>
      <c r="T52">
        <v>64221</v>
      </c>
      <c r="U52">
        <v>8</v>
      </c>
      <c r="V52">
        <f t="shared" si="2"/>
        <v>2023</v>
      </c>
      <c r="W52">
        <f t="shared" si="3"/>
        <v>9</v>
      </c>
      <c r="X52" t="str">
        <f t="shared" si="4"/>
        <v>2023-9</v>
      </c>
    </row>
    <row r="53" spans="17:24" x14ac:dyDescent="0.3">
      <c r="Q53" t="s">
        <v>28</v>
      </c>
      <c r="R53" t="s">
        <v>76</v>
      </c>
      <c r="S53" t="s">
        <v>73</v>
      </c>
      <c r="T53">
        <v>37825</v>
      </c>
      <c r="U53">
        <v>5</v>
      </c>
      <c r="V53">
        <f t="shared" si="2"/>
        <v>2023</v>
      </c>
      <c r="W53">
        <f t="shared" si="3"/>
        <v>9</v>
      </c>
      <c r="X53" t="str">
        <f t="shared" si="4"/>
        <v>2023-9</v>
      </c>
    </row>
    <row r="54" spans="17:24" x14ac:dyDescent="0.3">
      <c r="Q54" t="s">
        <v>5</v>
      </c>
      <c r="R54" t="s">
        <v>77</v>
      </c>
      <c r="S54" t="s">
        <v>73</v>
      </c>
      <c r="T54">
        <v>54114</v>
      </c>
      <c r="U54">
        <v>2</v>
      </c>
      <c r="V54">
        <f t="shared" si="2"/>
        <v>2023</v>
      </c>
      <c r="W54">
        <f t="shared" si="3"/>
        <v>9</v>
      </c>
      <c r="X54" t="str">
        <f t="shared" si="4"/>
        <v>2023-9</v>
      </c>
    </row>
    <row r="55" spans="17:24" x14ac:dyDescent="0.3">
      <c r="Q55" t="s">
        <v>45</v>
      </c>
      <c r="R55" t="s">
        <v>30</v>
      </c>
      <c r="S55" t="s">
        <v>73</v>
      </c>
      <c r="T55">
        <v>63953</v>
      </c>
      <c r="U55">
        <v>4</v>
      </c>
      <c r="V55">
        <f t="shared" si="2"/>
        <v>2023</v>
      </c>
      <c r="W55">
        <f t="shared" si="3"/>
        <v>9</v>
      </c>
      <c r="X55" t="str">
        <f t="shared" si="4"/>
        <v>2023-9</v>
      </c>
    </row>
    <row r="56" spans="17:24" x14ac:dyDescent="0.3">
      <c r="Q56" t="s">
        <v>18</v>
      </c>
      <c r="R56" t="s">
        <v>78</v>
      </c>
      <c r="S56" t="s">
        <v>79</v>
      </c>
      <c r="T56">
        <v>63971</v>
      </c>
      <c r="U56">
        <v>6</v>
      </c>
      <c r="V56">
        <f t="shared" si="2"/>
        <v>2023</v>
      </c>
      <c r="W56">
        <f t="shared" si="3"/>
        <v>9</v>
      </c>
      <c r="X56" t="str">
        <f t="shared" si="4"/>
        <v>2023-9</v>
      </c>
    </row>
    <row r="57" spans="17:24" x14ac:dyDescent="0.3">
      <c r="Q57" t="s">
        <v>8</v>
      </c>
      <c r="R57" t="s">
        <v>80</v>
      </c>
      <c r="S57" t="s">
        <v>79</v>
      </c>
      <c r="T57">
        <v>82548</v>
      </c>
      <c r="U57">
        <v>1</v>
      </c>
      <c r="V57">
        <f t="shared" si="2"/>
        <v>2023</v>
      </c>
      <c r="W57">
        <f t="shared" si="3"/>
        <v>9</v>
      </c>
      <c r="X57" t="str">
        <f t="shared" si="4"/>
        <v>2023-9</v>
      </c>
    </row>
    <row r="58" spans="17:24" x14ac:dyDescent="0.3">
      <c r="Q58" t="s">
        <v>14</v>
      </c>
      <c r="R58" t="s">
        <v>53</v>
      </c>
      <c r="S58" t="s">
        <v>79</v>
      </c>
      <c r="T58">
        <v>88460</v>
      </c>
      <c r="U58">
        <v>8</v>
      </c>
      <c r="V58">
        <f t="shared" si="2"/>
        <v>2023</v>
      </c>
      <c r="W58">
        <f t="shared" si="3"/>
        <v>9</v>
      </c>
      <c r="X58" t="str">
        <f t="shared" si="4"/>
        <v>2023-9</v>
      </c>
    </row>
    <row r="59" spans="17:24" x14ac:dyDescent="0.3">
      <c r="Q59" t="s">
        <v>40</v>
      </c>
      <c r="R59" t="s">
        <v>81</v>
      </c>
      <c r="S59" t="s">
        <v>79</v>
      </c>
      <c r="T59">
        <v>32915</v>
      </c>
      <c r="U59">
        <v>7</v>
      </c>
      <c r="V59">
        <f t="shared" si="2"/>
        <v>2023</v>
      </c>
      <c r="W59">
        <f t="shared" si="3"/>
        <v>9</v>
      </c>
      <c r="X59" t="str">
        <f t="shared" si="4"/>
        <v>2023-9</v>
      </c>
    </row>
    <row r="60" spans="17:24" x14ac:dyDescent="0.3">
      <c r="Q60" t="s">
        <v>28</v>
      </c>
      <c r="R60" t="s">
        <v>56</v>
      </c>
      <c r="S60" t="s">
        <v>82</v>
      </c>
      <c r="T60">
        <v>74181</v>
      </c>
      <c r="U60">
        <v>3</v>
      </c>
      <c r="V60">
        <f t="shared" si="2"/>
        <v>2023</v>
      </c>
      <c r="W60">
        <f t="shared" si="3"/>
        <v>9</v>
      </c>
      <c r="X60" t="str">
        <f t="shared" si="4"/>
        <v>2023-9</v>
      </c>
    </row>
    <row r="61" spans="17:24" x14ac:dyDescent="0.3">
      <c r="Q61" t="s">
        <v>47</v>
      </c>
      <c r="R61" t="s">
        <v>83</v>
      </c>
      <c r="S61" t="s">
        <v>82</v>
      </c>
      <c r="T61">
        <v>11612</v>
      </c>
      <c r="U61">
        <v>4</v>
      </c>
      <c r="V61">
        <f t="shared" si="2"/>
        <v>2023</v>
      </c>
      <c r="W61">
        <f t="shared" si="3"/>
        <v>9</v>
      </c>
      <c r="X61" t="str">
        <f t="shared" si="4"/>
        <v>2023-9</v>
      </c>
    </row>
    <row r="62" spans="17:24" x14ac:dyDescent="0.3">
      <c r="Q62" t="s">
        <v>21</v>
      </c>
      <c r="R62" t="s">
        <v>84</v>
      </c>
      <c r="S62" t="s">
        <v>82</v>
      </c>
      <c r="T62">
        <v>56948</v>
      </c>
      <c r="U62">
        <v>8</v>
      </c>
      <c r="V62">
        <f t="shared" si="2"/>
        <v>2023</v>
      </c>
      <c r="W62">
        <f t="shared" si="3"/>
        <v>9</v>
      </c>
      <c r="X62" t="str">
        <f t="shared" si="4"/>
        <v>2023-9</v>
      </c>
    </row>
    <row r="63" spans="17:24" x14ac:dyDescent="0.3">
      <c r="Q63" t="s">
        <v>47</v>
      </c>
      <c r="R63" t="s">
        <v>85</v>
      </c>
      <c r="S63" t="s">
        <v>86</v>
      </c>
      <c r="T63">
        <v>76732</v>
      </c>
      <c r="U63">
        <v>2</v>
      </c>
      <c r="V63">
        <f t="shared" si="2"/>
        <v>2023</v>
      </c>
      <c r="W63">
        <f t="shared" si="3"/>
        <v>9</v>
      </c>
      <c r="X63" t="str">
        <f t="shared" si="4"/>
        <v>2023-9</v>
      </c>
    </row>
    <row r="64" spans="17:24" x14ac:dyDescent="0.3">
      <c r="Q64" t="s">
        <v>45</v>
      </c>
      <c r="R64" t="s">
        <v>87</v>
      </c>
      <c r="S64" t="s">
        <v>86</v>
      </c>
      <c r="T64">
        <v>25833</v>
      </c>
      <c r="U64">
        <v>7</v>
      </c>
      <c r="V64">
        <f t="shared" si="2"/>
        <v>2023</v>
      </c>
      <c r="W64">
        <f t="shared" si="3"/>
        <v>9</v>
      </c>
      <c r="X64" t="str">
        <f t="shared" si="4"/>
        <v>2023-9</v>
      </c>
    </row>
    <row r="65" spans="17:24" x14ac:dyDescent="0.3">
      <c r="Q65" t="s">
        <v>8</v>
      </c>
      <c r="R65" t="s">
        <v>69</v>
      </c>
      <c r="S65" t="s">
        <v>86</v>
      </c>
      <c r="T65">
        <v>18940</v>
      </c>
      <c r="U65">
        <v>3</v>
      </c>
      <c r="V65">
        <f t="shared" si="2"/>
        <v>2023</v>
      </c>
      <c r="W65">
        <f t="shared" si="3"/>
        <v>9</v>
      </c>
      <c r="X65" t="str">
        <f t="shared" si="4"/>
        <v>2023-9</v>
      </c>
    </row>
    <row r="66" spans="17:24" x14ac:dyDescent="0.3">
      <c r="Q66" t="s">
        <v>50</v>
      </c>
      <c r="R66" t="s">
        <v>88</v>
      </c>
      <c r="S66" t="s">
        <v>86</v>
      </c>
      <c r="T66">
        <v>98838</v>
      </c>
      <c r="U66">
        <v>9</v>
      </c>
      <c r="V66">
        <f t="shared" si="2"/>
        <v>2023</v>
      </c>
      <c r="W66">
        <f t="shared" si="3"/>
        <v>9</v>
      </c>
      <c r="X66" t="str">
        <f t="shared" si="4"/>
        <v>2023-9</v>
      </c>
    </row>
    <row r="67" spans="17:24" x14ac:dyDescent="0.3">
      <c r="Q67" t="s">
        <v>21</v>
      </c>
      <c r="R67" t="s">
        <v>89</v>
      </c>
      <c r="S67" t="s">
        <v>86</v>
      </c>
      <c r="T67">
        <v>75010</v>
      </c>
      <c r="U67">
        <v>7</v>
      </c>
      <c r="V67">
        <f t="shared" ref="V67:V130" si="10">YEAR(S67)</f>
        <v>2023</v>
      </c>
      <c r="W67">
        <f t="shared" ref="W67:W130" si="11">MONTH(S67)</f>
        <v>9</v>
      </c>
      <c r="X67" t="str">
        <f t="shared" ref="X67:X130" si="12">V67&amp;"-"&amp;W67</f>
        <v>2023-9</v>
      </c>
    </row>
    <row r="68" spans="17:24" x14ac:dyDescent="0.3">
      <c r="Q68" t="s">
        <v>18</v>
      </c>
      <c r="R68" t="s">
        <v>90</v>
      </c>
      <c r="S68" t="s">
        <v>91</v>
      </c>
      <c r="T68">
        <v>15043</v>
      </c>
      <c r="U68">
        <v>7</v>
      </c>
      <c r="V68">
        <f t="shared" si="10"/>
        <v>2023</v>
      </c>
      <c r="W68">
        <f t="shared" si="11"/>
        <v>9</v>
      </c>
      <c r="X68" t="str">
        <f t="shared" si="12"/>
        <v>2023-9</v>
      </c>
    </row>
    <row r="69" spans="17:24" x14ac:dyDescent="0.3">
      <c r="Q69" t="s">
        <v>8</v>
      </c>
      <c r="R69" t="s">
        <v>92</v>
      </c>
      <c r="S69" t="s">
        <v>93</v>
      </c>
      <c r="T69">
        <v>12798</v>
      </c>
      <c r="U69">
        <v>10</v>
      </c>
      <c r="V69">
        <f t="shared" si="10"/>
        <v>2023</v>
      </c>
      <c r="W69">
        <f t="shared" si="11"/>
        <v>9</v>
      </c>
      <c r="X69" t="str">
        <f t="shared" si="12"/>
        <v>2023-9</v>
      </c>
    </row>
    <row r="70" spans="17:24" x14ac:dyDescent="0.3">
      <c r="Q70" t="s">
        <v>18</v>
      </c>
      <c r="R70" t="s">
        <v>78</v>
      </c>
      <c r="S70" t="s">
        <v>93</v>
      </c>
      <c r="T70">
        <v>51162</v>
      </c>
      <c r="U70">
        <v>6</v>
      </c>
      <c r="V70">
        <f t="shared" si="10"/>
        <v>2023</v>
      </c>
      <c r="W70">
        <f t="shared" si="11"/>
        <v>9</v>
      </c>
      <c r="X70" t="str">
        <f t="shared" si="12"/>
        <v>2023-9</v>
      </c>
    </row>
    <row r="71" spans="17:24" x14ac:dyDescent="0.3">
      <c r="Q71" t="s">
        <v>18</v>
      </c>
      <c r="R71" t="s">
        <v>48</v>
      </c>
      <c r="S71" t="s">
        <v>93</v>
      </c>
      <c r="T71">
        <v>48206</v>
      </c>
      <c r="U71">
        <v>7</v>
      </c>
      <c r="V71">
        <f t="shared" si="10"/>
        <v>2023</v>
      </c>
      <c r="W71">
        <f t="shared" si="11"/>
        <v>9</v>
      </c>
      <c r="X71" t="str">
        <f t="shared" si="12"/>
        <v>2023-9</v>
      </c>
    </row>
    <row r="72" spans="17:24" x14ac:dyDescent="0.3">
      <c r="Q72" t="s">
        <v>50</v>
      </c>
      <c r="R72" t="s">
        <v>27</v>
      </c>
      <c r="S72" t="s">
        <v>93</v>
      </c>
      <c r="T72">
        <v>83609</v>
      </c>
      <c r="U72">
        <v>7</v>
      </c>
      <c r="V72">
        <f t="shared" si="10"/>
        <v>2023</v>
      </c>
      <c r="W72">
        <f t="shared" si="11"/>
        <v>9</v>
      </c>
      <c r="X72" t="str">
        <f t="shared" si="12"/>
        <v>2023-9</v>
      </c>
    </row>
    <row r="73" spans="17:24" x14ac:dyDescent="0.3">
      <c r="Q73" t="s">
        <v>18</v>
      </c>
      <c r="R73" t="s">
        <v>94</v>
      </c>
      <c r="S73" t="s">
        <v>93</v>
      </c>
      <c r="T73">
        <v>17884</v>
      </c>
      <c r="U73">
        <v>6</v>
      </c>
      <c r="V73">
        <f t="shared" si="10"/>
        <v>2023</v>
      </c>
      <c r="W73">
        <f t="shared" si="11"/>
        <v>9</v>
      </c>
      <c r="X73" t="str">
        <f t="shared" si="12"/>
        <v>2023-9</v>
      </c>
    </row>
    <row r="74" spans="17:24" x14ac:dyDescent="0.3">
      <c r="Q74" t="s">
        <v>10</v>
      </c>
      <c r="R74" t="s">
        <v>95</v>
      </c>
      <c r="S74" t="s">
        <v>93</v>
      </c>
      <c r="T74">
        <v>36004</v>
      </c>
      <c r="U74">
        <v>6</v>
      </c>
      <c r="V74">
        <f t="shared" si="10"/>
        <v>2023</v>
      </c>
      <c r="W74">
        <f t="shared" si="11"/>
        <v>9</v>
      </c>
      <c r="X74" t="str">
        <f t="shared" si="12"/>
        <v>2023-9</v>
      </c>
    </row>
    <row r="75" spans="17:24" x14ac:dyDescent="0.3">
      <c r="Q75" t="s">
        <v>47</v>
      </c>
      <c r="R75" t="s">
        <v>56</v>
      </c>
      <c r="S75" t="s">
        <v>93</v>
      </c>
      <c r="T75">
        <v>26265</v>
      </c>
      <c r="U75">
        <v>5</v>
      </c>
      <c r="V75">
        <f t="shared" si="10"/>
        <v>2023</v>
      </c>
      <c r="W75">
        <f t="shared" si="11"/>
        <v>9</v>
      </c>
      <c r="X75" t="str">
        <f t="shared" si="12"/>
        <v>2023-9</v>
      </c>
    </row>
    <row r="76" spans="17:24" x14ac:dyDescent="0.3">
      <c r="Q76" t="s">
        <v>47</v>
      </c>
      <c r="R76" t="s">
        <v>96</v>
      </c>
      <c r="S76" t="s">
        <v>93</v>
      </c>
      <c r="T76">
        <v>98681</v>
      </c>
      <c r="U76">
        <v>9</v>
      </c>
      <c r="V76">
        <f t="shared" si="10"/>
        <v>2023</v>
      </c>
      <c r="W76">
        <f t="shared" si="11"/>
        <v>9</v>
      </c>
      <c r="X76" t="str">
        <f t="shared" si="12"/>
        <v>2023-9</v>
      </c>
    </row>
    <row r="77" spans="17:24" x14ac:dyDescent="0.3">
      <c r="Q77" t="s">
        <v>8</v>
      </c>
      <c r="R77" t="s">
        <v>80</v>
      </c>
      <c r="S77" t="s">
        <v>93</v>
      </c>
      <c r="T77">
        <v>40255</v>
      </c>
      <c r="U77">
        <v>2</v>
      </c>
      <c r="V77">
        <f t="shared" si="10"/>
        <v>2023</v>
      </c>
      <c r="W77">
        <f t="shared" si="11"/>
        <v>9</v>
      </c>
      <c r="X77" t="str">
        <f t="shared" si="12"/>
        <v>2023-9</v>
      </c>
    </row>
    <row r="78" spans="17:24" x14ac:dyDescent="0.3">
      <c r="Q78" t="s">
        <v>45</v>
      </c>
      <c r="R78" t="s">
        <v>97</v>
      </c>
      <c r="S78" t="s">
        <v>93</v>
      </c>
      <c r="T78">
        <v>73859</v>
      </c>
      <c r="U78">
        <v>6</v>
      </c>
      <c r="V78">
        <f t="shared" si="10"/>
        <v>2023</v>
      </c>
      <c r="W78">
        <f t="shared" si="11"/>
        <v>9</v>
      </c>
      <c r="X78" t="str">
        <f t="shared" si="12"/>
        <v>2023-9</v>
      </c>
    </row>
    <row r="79" spans="17:24" x14ac:dyDescent="0.3">
      <c r="Q79" t="s">
        <v>50</v>
      </c>
      <c r="R79" t="s">
        <v>43</v>
      </c>
      <c r="S79" t="s">
        <v>98</v>
      </c>
      <c r="T79">
        <v>90174</v>
      </c>
      <c r="U79">
        <v>8</v>
      </c>
      <c r="V79">
        <f t="shared" si="10"/>
        <v>2023</v>
      </c>
      <c r="W79">
        <f t="shared" si="11"/>
        <v>9</v>
      </c>
      <c r="X79" t="str">
        <f t="shared" si="12"/>
        <v>2023-9</v>
      </c>
    </row>
    <row r="80" spans="17:24" x14ac:dyDescent="0.3">
      <c r="Q80" t="s">
        <v>50</v>
      </c>
      <c r="R80" t="s">
        <v>99</v>
      </c>
      <c r="S80" t="s">
        <v>98</v>
      </c>
      <c r="T80">
        <v>15297</v>
      </c>
      <c r="U80">
        <v>9</v>
      </c>
      <c r="V80">
        <f t="shared" si="10"/>
        <v>2023</v>
      </c>
      <c r="W80">
        <f t="shared" si="11"/>
        <v>9</v>
      </c>
      <c r="X80" t="str">
        <f t="shared" si="12"/>
        <v>2023-9</v>
      </c>
    </row>
    <row r="81" spans="17:24" x14ac:dyDescent="0.3">
      <c r="Q81" t="s">
        <v>47</v>
      </c>
      <c r="R81" t="s">
        <v>49</v>
      </c>
      <c r="S81" t="s">
        <v>98</v>
      </c>
      <c r="T81">
        <v>32384</v>
      </c>
      <c r="U81">
        <v>8</v>
      </c>
      <c r="V81">
        <f t="shared" si="10"/>
        <v>2023</v>
      </c>
      <c r="W81">
        <f t="shared" si="11"/>
        <v>9</v>
      </c>
      <c r="X81" t="str">
        <f t="shared" si="12"/>
        <v>2023-9</v>
      </c>
    </row>
    <row r="82" spans="17:24" x14ac:dyDescent="0.3">
      <c r="Q82" t="s">
        <v>10</v>
      </c>
      <c r="R82" t="s">
        <v>100</v>
      </c>
      <c r="S82" t="s">
        <v>98</v>
      </c>
      <c r="T82">
        <v>73564</v>
      </c>
      <c r="U82">
        <v>4</v>
      </c>
      <c r="V82">
        <f t="shared" si="10"/>
        <v>2023</v>
      </c>
      <c r="W82">
        <f t="shared" si="11"/>
        <v>9</v>
      </c>
      <c r="X82" t="str">
        <f t="shared" si="12"/>
        <v>2023-9</v>
      </c>
    </row>
    <row r="83" spans="17:24" x14ac:dyDescent="0.3">
      <c r="Q83" t="s">
        <v>47</v>
      </c>
      <c r="R83" t="s">
        <v>101</v>
      </c>
      <c r="S83" t="s">
        <v>98</v>
      </c>
      <c r="T83">
        <v>99178</v>
      </c>
      <c r="U83">
        <v>7</v>
      </c>
      <c r="V83">
        <f t="shared" si="10"/>
        <v>2023</v>
      </c>
      <c r="W83">
        <f t="shared" si="11"/>
        <v>9</v>
      </c>
      <c r="X83" t="str">
        <f t="shared" si="12"/>
        <v>2023-9</v>
      </c>
    </row>
    <row r="84" spans="17:24" x14ac:dyDescent="0.3">
      <c r="Q84" t="s">
        <v>18</v>
      </c>
      <c r="R84" t="s">
        <v>96</v>
      </c>
      <c r="S84" t="s">
        <v>102</v>
      </c>
      <c r="T84">
        <v>31282</v>
      </c>
      <c r="U84">
        <v>4</v>
      </c>
      <c r="V84">
        <f t="shared" si="10"/>
        <v>2023</v>
      </c>
      <c r="W84">
        <f t="shared" si="11"/>
        <v>9</v>
      </c>
      <c r="X84" t="str">
        <f t="shared" si="12"/>
        <v>2023-9</v>
      </c>
    </row>
    <row r="85" spans="17:24" x14ac:dyDescent="0.3">
      <c r="Q85" t="s">
        <v>40</v>
      </c>
      <c r="R85" t="s">
        <v>100</v>
      </c>
      <c r="S85" t="s">
        <v>102</v>
      </c>
      <c r="T85">
        <v>50297</v>
      </c>
      <c r="U85">
        <v>8</v>
      </c>
      <c r="V85">
        <f t="shared" si="10"/>
        <v>2023</v>
      </c>
      <c r="W85">
        <f t="shared" si="11"/>
        <v>9</v>
      </c>
      <c r="X85" t="str">
        <f t="shared" si="12"/>
        <v>2023-9</v>
      </c>
    </row>
    <row r="86" spans="17:24" x14ac:dyDescent="0.3">
      <c r="Q86" t="s">
        <v>40</v>
      </c>
      <c r="R86" t="s">
        <v>103</v>
      </c>
      <c r="S86" t="s">
        <v>104</v>
      </c>
      <c r="T86">
        <v>82409</v>
      </c>
      <c r="U86">
        <v>9</v>
      </c>
      <c r="V86">
        <f t="shared" si="10"/>
        <v>2023</v>
      </c>
      <c r="W86">
        <f t="shared" si="11"/>
        <v>9</v>
      </c>
      <c r="X86" t="str">
        <f t="shared" si="12"/>
        <v>2023-9</v>
      </c>
    </row>
    <row r="87" spans="17:24" x14ac:dyDescent="0.3">
      <c r="Q87" t="s">
        <v>45</v>
      </c>
      <c r="R87" t="s">
        <v>105</v>
      </c>
      <c r="S87" t="s">
        <v>104</v>
      </c>
      <c r="T87">
        <v>22593</v>
      </c>
      <c r="U87">
        <v>7</v>
      </c>
      <c r="V87">
        <f t="shared" si="10"/>
        <v>2023</v>
      </c>
      <c r="W87">
        <f t="shared" si="11"/>
        <v>9</v>
      </c>
      <c r="X87" t="str">
        <f t="shared" si="12"/>
        <v>2023-9</v>
      </c>
    </row>
    <row r="88" spans="17:24" x14ac:dyDescent="0.3">
      <c r="Q88" t="s">
        <v>28</v>
      </c>
      <c r="R88" t="s">
        <v>106</v>
      </c>
      <c r="S88" t="s">
        <v>104</v>
      </c>
      <c r="T88">
        <v>56057</v>
      </c>
      <c r="U88">
        <v>8</v>
      </c>
      <c r="V88">
        <f t="shared" si="10"/>
        <v>2023</v>
      </c>
      <c r="W88">
        <f t="shared" si="11"/>
        <v>9</v>
      </c>
      <c r="X88" t="str">
        <f t="shared" si="12"/>
        <v>2023-9</v>
      </c>
    </row>
    <row r="89" spans="17:24" x14ac:dyDescent="0.3">
      <c r="Q89" t="s">
        <v>47</v>
      </c>
      <c r="R89" t="s">
        <v>107</v>
      </c>
      <c r="S89" t="s">
        <v>108</v>
      </c>
      <c r="T89">
        <v>30763</v>
      </c>
      <c r="U89">
        <v>8</v>
      </c>
      <c r="V89">
        <f t="shared" si="10"/>
        <v>2023</v>
      </c>
      <c r="W89">
        <f t="shared" si="11"/>
        <v>9</v>
      </c>
      <c r="X89" t="str">
        <f t="shared" si="12"/>
        <v>2023-9</v>
      </c>
    </row>
    <row r="90" spans="17:24" x14ac:dyDescent="0.3">
      <c r="Q90" t="s">
        <v>21</v>
      </c>
      <c r="R90" t="s">
        <v>109</v>
      </c>
      <c r="S90" t="s">
        <v>108</v>
      </c>
      <c r="T90">
        <v>15381</v>
      </c>
      <c r="U90">
        <v>7</v>
      </c>
      <c r="V90">
        <f t="shared" si="10"/>
        <v>2023</v>
      </c>
      <c r="W90">
        <f t="shared" si="11"/>
        <v>9</v>
      </c>
      <c r="X90" t="str">
        <f t="shared" si="12"/>
        <v>2023-9</v>
      </c>
    </row>
    <row r="91" spans="17:24" x14ac:dyDescent="0.3">
      <c r="Q91" t="s">
        <v>5</v>
      </c>
      <c r="R91" t="s">
        <v>36</v>
      </c>
      <c r="S91" t="s">
        <v>108</v>
      </c>
      <c r="T91">
        <v>91834</v>
      </c>
      <c r="U91">
        <v>6</v>
      </c>
      <c r="V91">
        <f t="shared" si="10"/>
        <v>2023</v>
      </c>
      <c r="W91">
        <f t="shared" si="11"/>
        <v>9</v>
      </c>
      <c r="X91" t="str">
        <f t="shared" si="12"/>
        <v>2023-9</v>
      </c>
    </row>
    <row r="92" spans="17:24" x14ac:dyDescent="0.3">
      <c r="Q92" t="s">
        <v>18</v>
      </c>
      <c r="R92" t="s">
        <v>110</v>
      </c>
      <c r="S92" t="s">
        <v>108</v>
      </c>
      <c r="T92">
        <v>27840</v>
      </c>
      <c r="U92">
        <v>8</v>
      </c>
      <c r="V92">
        <f t="shared" si="10"/>
        <v>2023</v>
      </c>
      <c r="W92">
        <f t="shared" si="11"/>
        <v>9</v>
      </c>
      <c r="X92" t="str">
        <f t="shared" si="12"/>
        <v>2023-9</v>
      </c>
    </row>
    <row r="93" spans="17:24" x14ac:dyDescent="0.3">
      <c r="Q93" t="s">
        <v>12</v>
      </c>
      <c r="R93" t="s">
        <v>106</v>
      </c>
      <c r="S93" t="s">
        <v>108</v>
      </c>
      <c r="T93">
        <v>20470</v>
      </c>
      <c r="U93">
        <v>5</v>
      </c>
      <c r="V93">
        <f t="shared" si="10"/>
        <v>2023</v>
      </c>
      <c r="W93">
        <f t="shared" si="11"/>
        <v>9</v>
      </c>
      <c r="X93" t="str">
        <f t="shared" si="12"/>
        <v>2023-9</v>
      </c>
    </row>
    <row r="94" spans="17:24" x14ac:dyDescent="0.3">
      <c r="Q94" t="s">
        <v>45</v>
      </c>
      <c r="R94" t="s">
        <v>111</v>
      </c>
      <c r="S94" t="s">
        <v>108</v>
      </c>
      <c r="T94">
        <v>18241</v>
      </c>
      <c r="U94">
        <v>3</v>
      </c>
      <c r="V94">
        <f t="shared" si="10"/>
        <v>2023</v>
      </c>
      <c r="W94">
        <f t="shared" si="11"/>
        <v>9</v>
      </c>
      <c r="X94" t="str">
        <f t="shared" si="12"/>
        <v>2023-9</v>
      </c>
    </row>
    <row r="95" spans="17:24" x14ac:dyDescent="0.3">
      <c r="Q95" t="s">
        <v>47</v>
      </c>
      <c r="R95" t="s">
        <v>112</v>
      </c>
      <c r="S95" t="s">
        <v>113</v>
      </c>
      <c r="T95">
        <v>79456</v>
      </c>
      <c r="U95">
        <v>6</v>
      </c>
      <c r="V95">
        <f t="shared" si="10"/>
        <v>2023</v>
      </c>
      <c r="W95">
        <f t="shared" si="11"/>
        <v>10</v>
      </c>
      <c r="X95" t="str">
        <f t="shared" si="12"/>
        <v>2023-10</v>
      </c>
    </row>
    <row r="96" spans="17:24" x14ac:dyDescent="0.3">
      <c r="Q96" t="s">
        <v>18</v>
      </c>
      <c r="R96" t="s">
        <v>114</v>
      </c>
      <c r="S96" t="s">
        <v>113</v>
      </c>
      <c r="T96">
        <v>45645</v>
      </c>
      <c r="U96">
        <v>7</v>
      </c>
      <c r="V96">
        <f t="shared" si="10"/>
        <v>2023</v>
      </c>
      <c r="W96">
        <f t="shared" si="11"/>
        <v>10</v>
      </c>
      <c r="X96" t="str">
        <f t="shared" si="12"/>
        <v>2023-10</v>
      </c>
    </row>
    <row r="97" spans="17:24" x14ac:dyDescent="0.3">
      <c r="Q97" t="s">
        <v>12</v>
      </c>
      <c r="R97" t="s">
        <v>110</v>
      </c>
      <c r="S97" t="s">
        <v>113</v>
      </c>
      <c r="T97">
        <v>62307</v>
      </c>
      <c r="U97">
        <v>6</v>
      </c>
      <c r="V97">
        <f t="shared" si="10"/>
        <v>2023</v>
      </c>
      <c r="W97">
        <f t="shared" si="11"/>
        <v>10</v>
      </c>
      <c r="X97" t="str">
        <f t="shared" si="12"/>
        <v>2023-10</v>
      </c>
    </row>
    <row r="98" spans="17:24" x14ac:dyDescent="0.3">
      <c r="Q98" t="s">
        <v>21</v>
      </c>
      <c r="R98" t="s">
        <v>30</v>
      </c>
      <c r="S98" t="s">
        <v>113</v>
      </c>
      <c r="T98">
        <v>97609</v>
      </c>
      <c r="U98">
        <v>6</v>
      </c>
      <c r="V98">
        <f t="shared" si="10"/>
        <v>2023</v>
      </c>
      <c r="W98">
        <f t="shared" si="11"/>
        <v>10</v>
      </c>
      <c r="X98" t="str">
        <f t="shared" si="12"/>
        <v>2023-10</v>
      </c>
    </row>
    <row r="99" spans="17:24" x14ac:dyDescent="0.3">
      <c r="Q99" t="s">
        <v>10</v>
      </c>
      <c r="R99" t="s">
        <v>85</v>
      </c>
      <c r="S99" t="s">
        <v>113</v>
      </c>
      <c r="T99">
        <v>85894</v>
      </c>
      <c r="U99">
        <v>6</v>
      </c>
      <c r="V99">
        <f t="shared" si="10"/>
        <v>2023</v>
      </c>
      <c r="W99">
        <f t="shared" si="11"/>
        <v>10</v>
      </c>
      <c r="X99" t="str">
        <f t="shared" si="12"/>
        <v>2023-10</v>
      </c>
    </row>
    <row r="100" spans="17:24" x14ac:dyDescent="0.3">
      <c r="Q100" t="s">
        <v>5</v>
      </c>
      <c r="R100" t="s">
        <v>115</v>
      </c>
      <c r="S100" t="s">
        <v>113</v>
      </c>
      <c r="T100">
        <v>47269</v>
      </c>
      <c r="U100">
        <v>8</v>
      </c>
      <c r="V100">
        <f t="shared" si="10"/>
        <v>2023</v>
      </c>
      <c r="W100">
        <f t="shared" si="11"/>
        <v>10</v>
      </c>
      <c r="X100" t="str">
        <f t="shared" si="12"/>
        <v>2023-10</v>
      </c>
    </row>
    <row r="101" spans="17:24" x14ac:dyDescent="0.3">
      <c r="Q101" t="s">
        <v>21</v>
      </c>
      <c r="R101" t="s">
        <v>81</v>
      </c>
      <c r="S101" t="s">
        <v>113</v>
      </c>
      <c r="T101">
        <v>19122</v>
      </c>
      <c r="U101">
        <v>10</v>
      </c>
      <c r="V101">
        <f t="shared" si="10"/>
        <v>2023</v>
      </c>
      <c r="W101">
        <f t="shared" si="11"/>
        <v>10</v>
      </c>
      <c r="X101" t="str">
        <f t="shared" si="12"/>
        <v>2023-10</v>
      </c>
    </row>
    <row r="102" spans="17:24" x14ac:dyDescent="0.3">
      <c r="Q102" t="s">
        <v>45</v>
      </c>
      <c r="R102" t="s">
        <v>116</v>
      </c>
      <c r="S102" t="s">
        <v>113</v>
      </c>
      <c r="T102">
        <v>74445</v>
      </c>
      <c r="U102">
        <v>9</v>
      </c>
      <c r="V102">
        <f t="shared" si="10"/>
        <v>2023</v>
      </c>
      <c r="W102">
        <f t="shared" si="11"/>
        <v>10</v>
      </c>
      <c r="X102" t="str">
        <f t="shared" si="12"/>
        <v>2023-10</v>
      </c>
    </row>
    <row r="103" spans="17:24" x14ac:dyDescent="0.3">
      <c r="Q103" t="s">
        <v>8</v>
      </c>
      <c r="R103" t="s">
        <v>117</v>
      </c>
      <c r="S103" t="s">
        <v>118</v>
      </c>
      <c r="T103">
        <v>16663</v>
      </c>
      <c r="U103">
        <v>7</v>
      </c>
      <c r="V103">
        <f t="shared" si="10"/>
        <v>2023</v>
      </c>
      <c r="W103">
        <f t="shared" si="11"/>
        <v>10</v>
      </c>
      <c r="X103" t="str">
        <f t="shared" si="12"/>
        <v>2023-10</v>
      </c>
    </row>
    <row r="104" spans="17:24" x14ac:dyDescent="0.3">
      <c r="Q104" t="s">
        <v>8</v>
      </c>
      <c r="R104" t="s">
        <v>72</v>
      </c>
      <c r="S104" t="s">
        <v>118</v>
      </c>
      <c r="T104">
        <v>41847</v>
      </c>
      <c r="U104">
        <v>5</v>
      </c>
      <c r="V104">
        <f t="shared" si="10"/>
        <v>2023</v>
      </c>
      <c r="W104">
        <f t="shared" si="11"/>
        <v>10</v>
      </c>
      <c r="X104" t="str">
        <f t="shared" si="12"/>
        <v>2023-10</v>
      </c>
    </row>
    <row r="105" spans="17:24" x14ac:dyDescent="0.3">
      <c r="Q105" t="s">
        <v>18</v>
      </c>
      <c r="R105" t="s">
        <v>96</v>
      </c>
      <c r="S105" t="s">
        <v>118</v>
      </c>
      <c r="T105">
        <v>36753</v>
      </c>
      <c r="U105">
        <v>6</v>
      </c>
      <c r="V105">
        <f t="shared" si="10"/>
        <v>2023</v>
      </c>
      <c r="W105">
        <f t="shared" si="11"/>
        <v>10</v>
      </c>
      <c r="X105" t="str">
        <f t="shared" si="12"/>
        <v>2023-10</v>
      </c>
    </row>
    <row r="106" spans="17:24" x14ac:dyDescent="0.3">
      <c r="Q106" t="s">
        <v>28</v>
      </c>
      <c r="R106" t="s">
        <v>119</v>
      </c>
      <c r="S106" t="s">
        <v>120</v>
      </c>
      <c r="T106">
        <v>89218</v>
      </c>
      <c r="U106">
        <v>9</v>
      </c>
      <c r="V106">
        <f t="shared" si="10"/>
        <v>2023</v>
      </c>
      <c r="W106">
        <f t="shared" si="11"/>
        <v>10</v>
      </c>
      <c r="X106" t="str">
        <f t="shared" si="12"/>
        <v>2023-10</v>
      </c>
    </row>
    <row r="107" spans="17:24" x14ac:dyDescent="0.3">
      <c r="Q107" t="s">
        <v>10</v>
      </c>
      <c r="R107" t="s">
        <v>115</v>
      </c>
      <c r="S107" t="s">
        <v>120</v>
      </c>
      <c r="T107">
        <v>70218</v>
      </c>
      <c r="U107">
        <v>6</v>
      </c>
      <c r="V107">
        <f t="shared" si="10"/>
        <v>2023</v>
      </c>
      <c r="W107">
        <f t="shared" si="11"/>
        <v>10</v>
      </c>
      <c r="X107" t="str">
        <f t="shared" si="12"/>
        <v>2023-10</v>
      </c>
    </row>
    <row r="108" spans="17:24" x14ac:dyDescent="0.3">
      <c r="Q108" t="s">
        <v>50</v>
      </c>
      <c r="R108" t="s">
        <v>100</v>
      </c>
      <c r="S108" t="s">
        <v>121</v>
      </c>
      <c r="T108">
        <v>45870</v>
      </c>
      <c r="U108">
        <v>8</v>
      </c>
      <c r="V108">
        <f t="shared" si="10"/>
        <v>2023</v>
      </c>
      <c r="W108">
        <f t="shared" si="11"/>
        <v>10</v>
      </c>
      <c r="X108" t="str">
        <f t="shared" si="12"/>
        <v>2023-10</v>
      </c>
    </row>
    <row r="109" spans="17:24" x14ac:dyDescent="0.3">
      <c r="Q109" t="s">
        <v>47</v>
      </c>
      <c r="R109" t="s">
        <v>122</v>
      </c>
      <c r="S109" t="s">
        <v>121</v>
      </c>
      <c r="T109">
        <v>37785</v>
      </c>
      <c r="U109">
        <v>10</v>
      </c>
      <c r="V109">
        <f t="shared" si="10"/>
        <v>2023</v>
      </c>
      <c r="W109">
        <f t="shared" si="11"/>
        <v>10</v>
      </c>
      <c r="X109" t="str">
        <f t="shared" si="12"/>
        <v>2023-10</v>
      </c>
    </row>
    <row r="110" spans="17:24" x14ac:dyDescent="0.3">
      <c r="Q110" t="s">
        <v>47</v>
      </c>
      <c r="R110" t="s">
        <v>123</v>
      </c>
      <c r="S110" t="s">
        <v>121</v>
      </c>
      <c r="T110">
        <v>16627</v>
      </c>
      <c r="U110">
        <v>7</v>
      </c>
      <c r="V110">
        <f t="shared" si="10"/>
        <v>2023</v>
      </c>
      <c r="W110">
        <f t="shared" si="11"/>
        <v>10</v>
      </c>
      <c r="X110" t="str">
        <f t="shared" si="12"/>
        <v>2023-10</v>
      </c>
    </row>
    <row r="111" spans="17:24" x14ac:dyDescent="0.3">
      <c r="Q111" t="s">
        <v>18</v>
      </c>
      <c r="R111" t="s">
        <v>124</v>
      </c>
      <c r="S111" t="s">
        <v>125</v>
      </c>
      <c r="T111">
        <v>31132</v>
      </c>
      <c r="U111">
        <v>6</v>
      </c>
      <c r="V111">
        <f t="shared" si="10"/>
        <v>2023</v>
      </c>
      <c r="W111">
        <f t="shared" si="11"/>
        <v>10</v>
      </c>
      <c r="X111" t="str">
        <f t="shared" si="12"/>
        <v>2023-10</v>
      </c>
    </row>
    <row r="112" spans="17:24" x14ac:dyDescent="0.3">
      <c r="Q112" t="s">
        <v>45</v>
      </c>
      <c r="R112" t="s">
        <v>126</v>
      </c>
      <c r="S112" t="s">
        <v>125</v>
      </c>
      <c r="T112">
        <v>57940</v>
      </c>
      <c r="U112">
        <v>5</v>
      </c>
      <c r="V112">
        <f t="shared" si="10"/>
        <v>2023</v>
      </c>
      <c r="W112">
        <f t="shared" si="11"/>
        <v>10</v>
      </c>
      <c r="X112" t="str">
        <f t="shared" si="12"/>
        <v>2023-10</v>
      </c>
    </row>
    <row r="113" spans="17:24" x14ac:dyDescent="0.3">
      <c r="Q113" t="s">
        <v>21</v>
      </c>
      <c r="R113" t="s">
        <v>46</v>
      </c>
      <c r="S113" t="s">
        <v>125</v>
      </c>
      <c r="T113">
        <v>50503</v>
      </c>
      <c r="U113">
        <v>7</v>
      </c>
      <c r="V113">
        <f t="shared" si="10"/>
        <v>2023</v>
      </c>
      <c r="W113">
        <f t="shared" si="11"/>
        <v>10</v>
      </c>
      <c r="X113" t="str">
        <f t="shared" si="12"/>
        <v>2023-10</v>
      </c>
    </row>
    <row r="114" spans="17:24" x14ac:dyDescent="0.3">
      <c r="Q114" t="s">
        <v>47</v>
      </c>
      <c r="R114" t="s">
        <v>29</v>
      </c>
      <c r="S114" t="s">
        <v>125</v>
      </c>
      <c r="T114">
        <v>35132</v>
      </c>
      <c r="U114">
        <v>8</v>
      </c>
      <c r="V114">
        <f t="shared" si="10"/>
        <v>2023</v>
      </c>
      <c r="W114">
        <f t="shared" si="11"/>
        <v>10</v>
      </c>
      <c r="X114" t="str">
        <f t="shared" si="12"/>
        <v>2023-10</v>
      </c>
    </row>
    <row r="115" spans="17:24" x14ac:dyDescent="0.3">
      <c r="Q115" t="s">
        <v>28</v>
      </c>
      <c r="R115" t="s">
        <v>127</v>
      </c>
      <c r="S115" t="s">
        <v>125</v>
      </c>
      <c r="T115">
        <v>41656</v>
      </c>
      <c r="U115">
        <v>8</v>
      </c>
      <c r="V115">
        <f t="shared" si="10"/>
        <v>2023</v>
      </c>
      <c r="W115">
        <f t="shared" si="11"/>
        <v>10</v>
      </c>
      <c r="X115" t="str">
        <f t="shared" si="12"/>
        <v>2023-10</v>
      </c>
    </row>
    <row r="116" spans="17:24" x14ac:dyDescent="0.3">
      <c r="Q116" t="s">
        <v>28</v>
      </c>
      <c r="R116" t="s">
        <v>70</v>
      </c>
      <c r="S116" t="s">
        <v>125</v>
      </c>
      <c r="T116">
        <v>85956</v>
      </c>
      <c r="U116">
        <v>8</v>
      </c>
      <c r="V116">
        <f t="shared" si="10"/>
        <v>2023</v>
      </c>
      <c r="W116">
        <f t="shared" si="11"/>
        <v>10</v>
      </c>
      <c r="X116" t="str">
        <f t="shared" si="12"/>
        <v>2023-10</v>
      </c>
    </row>
    <row r="117" spans="17:24" x14ac:dyDescent="0.3">
      <c r="Q117" t="s">
        <v>12</v>
      </c>
      <c r="R117" t="s">
        <v>23</v>
      </c>
      <c r="S117" t="s">
        <v>125</v>
      </c>
      <c r="T117">
        <v>49444</v>
      </c>
      <c r="U117">
        <v>2</v>
      </c>
      <c r="V117">
        <f t="shared" si="10"/>
        <v>2023</v>
      </c>
      <c r="W117">
        <f t="shared" si="11"/>
        <v>10</v>
      </c>
      <c r="X117" t="str">
        <f t="shared" si="12"/>
        <v>2023-10</v>
      </c>
    </row>
    <row r="118" spans="17:24" x14ac:dyDescent="0.3">
      <c r="Q118" t="s">
        <v>47</v>
      </c>
      <c r="R118" t="s">
        <v>124</v>
      </c>
      <c r="S118" t="s">
        <v>125</v>
      </c>
      <c r="T118">
        <v>30688</v>
      </c>
      <c r="U118">
        <v>2</v>
      </c>
      <c r="V118">
        <f t="shared" si="10"/>
        <v>2023</v>
      </c>
      <c r="W118">
        <f t="shared" si="11"/>
        <v>10</v>
      </c>
      <c r="X118" t="str">
        <f t="shared" si="12"/>
        <v>2023-10</v>
      </c>
    </row>
    <row r="119" spans="17:24" x14ac:dyDescent="0.3">
      <c r="Q119" t="s">
        <v>5</v>
      </c>
      <c r="R119" t="s">
        <v>23</v>
      </c>
      <c r="S119" t="s">
        <v>125</v>
      </c>
      <c r="T119">
        <v>54846</v>
      </c>
      <c r="U119">
        <v>9</v>
      </c>
      <c r="V119">
        <f t="shared" si="10"/>
        <v>2023</v>
      </c>
      <c r="W119">
        <f t="shared" si="11"/>
        <v>10</v>
      </c>
      <c r="X119" t="str">
        <f t="shared" si="12"/>
        <v>2023-10</v>
      </c>
    </row>
    <row r="120" spans="17:24" x14ac:dyDescent="0.3">
      <c r="Q120" t="s">
        <v>5</v>
      </c>
      <c r="R120" t="s">
        <v>9</v>
      </c>
      <c r="S120" t="s">
        <v>128</v>
      </c>
      <c r="T120">
        <v>78843</v>
      </c>
      <c r="U120">
        <v>5</v>
      </c>
      <c r="V120">
        <f t="shared" si="10"/>
        <v>2023</v>
      </c>
      <c r="W120">
        <f t="shared" si="11"/>
        <v>10</v>
      </c>
      <c r="X120" t="str">
        <f t="shared" si="12"/>
        <v>2023-10</v>
      </c>
    </row>
    <row r="121" spans="17:24" x14ac:dyDescent="0.3">
      <c r="Q121" t="s">
        <v>28</v>
      </c>
      <c r="R121" t="s">
        <v>66</v>
      </c>
      <c r="S121" t="s">
        <v>128</v>
      </c>
      <c r="T121">
        <v>32021</v>
      </c>
      <c r="U121">
        <v>4</v>
      </c>
      <c r="V121">
        <f t="shared" si="10"/>
        <v>2023</v>
      </c>
      <c r="W121">
        <f t="shared" si="11"/>
        <v>10</v>
      </c>
      <c r="X121" t="str">
        <f t="shared" si="12"/>
        <v>2023-10</v>
      </c>
    </row>
    <row r="122" spans="17:24" x14ac:dyDescent="0.3">
      <c r="Q122" t="s">
        <v>14</v>
      </c>
      <c r="R122" t="s">
        <v>41</v>
      </c>
      <c r="S122" t="s">
        <v>129</v>
      </c>
      <c r="T122">
        <v>40122</v>
      </c>
      <c r="U122">
        <v>6</v>
      </c>
      <c r="V122">
        <f t="shared" si="10"/>
        <v>2023</v>
      </c>
      <c r="W122">
        <f t="shared" si="11"/>
        <v>10</v>
      </c>
      <c r="X122" t="str">
        <f t="shared" si="12"/>
        <v>2023-10</v>
      </c>
    </row>
    <row r="123" spans="17:24" x14ac:dyDescent="0.3">
      <c r="Q123" t="s">
        <v>5</v>
      </c>
      <c r="R123" t="s">
        <v>130</v>
      </c>
      <c r="S123" t="s">
        <v>129</v>
      </c>
      <c r="T123">
        <v>43310</v>
      </c>
      <c r="U123">
        <v>9</v>
      </c>
      <c r="V123">
        <f t="shared" si="10"/>
        <v>2023</v>
      </c>
      <c r="W123">
        <f t="shared" si="11"/>
        <v>10</v>
      </c>
      <c r="X123" t="str">
        <f t="shared" si="12"/>
        <v>2023-10</v>
      </c>
    </row>
    <row r="124" spans="17:24" x14ac:dyDescent="0.3">
      <c r="Q124" t="s">
        <v>50</v>
      </c>
      <c r="R124" t="s">
        <v>131</v>
      </c>
      <c r="S124" t="s">
        <v>132</v>
      </c>
      <c r="T124">
        <v>31896</v>
      </c>
      <c r="U124">
        <v>6</v>
      </c>
      <c r="V124">
        <f t="shared" si="10"/>
        <v>2023</v>
      </c>
      <c r="W124">
        <f t="shared" si="11"/>
        <v>10</v>
      </c>
      <c r="X124" t="str">
        <f t="shared" si="12"/>
        <v>2023-10</v>
      </c>
    </row>
    <row r="125" spans="17:24" x14ac:dyDescent="0.3">
      <c r="Q125" t="s">
        <v>50</v>
      </c>
      <c r="R125" t="s">
        <v>37</v>
      </c>
      <c r="S125" t="s">
        <v>133</v>
      </c>
      <c r="T125">
        <v>79560</v>
      </c>
      <c r="U125">
        <v>5</v>
      </c>
      <c r="V125">
        <f t="shared" si="10"/>
        <v>2023</v>
      </c>
      <c r="W125">
        <f t="shared" si="11"/>
        <v>10</v>
      </c>
      <c r="X125" t="str">
        <f t="shared" si="12"/>
        <v>2023-10</v>
      </c>
    </row>
    <row r="126" spans="17:24" x14ac:dyDescent="0.3">
      <c r="Q126" t="s">
        <v>40</v>
      </c>
      <c r="R126" t="s">
        <v>94</v>
      </c>
      <c r="S126" t="s">
        <v>133</v>
      </c>
      <c r="T126">
        <v>15574</v>
      </c>
      <c r="U126">
        <v>7</v>
      </c>
      <c r="V126">
        <f t="shared" si="10"/>
        <v>2023</v>
      </c>
      <c r="W126">
        <f t="shared" si="11"/>
        <v>10</v>
      </c>
      <c r="X126" t="str">
        <f t="shared" si="12"/>
        <v>2023-10</v>
      </c>
    </row>
    <row r="127" spans="17:24" x14ac:dyDescent="0.3">
      <c r="Q127" t="s">
        <v>45</v>
      </c>
      <c r="R127" t="s">
        <v>95</v>
      </c>
      <c r="S127" t="s">
        <v>134</v>
      </c>
      <c r="T127">
        <v>96775</v>
      </c>
      <c r="U127">
        <v>7</v>
      </c>
      <c r="V127">
        <f t="shared" si="10"/>
        <v>2023</v>
      </c>
      <c r="W127">
        <f t="shared" si="11"/>
        <v>10</v>
      </c>
      <c r="X127" t="str">
        <f t="shared" si="12"/>
        <v>2023-10</v>
      </c>
    </row>
    <row r="128" spans="17:24" x14ac:dyDescent="0.3">
      <c r="Q128" t="s">
        <v>14</v>
      </c>
      <c r="R128" t="s">
        <v>77</v>
      </c>
      <c r="S128" t="s">
        <v>134</v>
      </c>
      <c r="T128">
        <v>27651</v>
      </c>
      <c r="U128">
        <v>4</v>
      </c>
      <c r="V128">
        <f t="shared" si="10"/>
        <v>2023</v>
      </c>
      <c r="W128">
        <f t="shared" si="11"/>
        <v>10</v>
      </c>
      <c r="X128" t="str">
        <f t="shared" si="12"/>
        <v>2023-10</v>
      </c>
    </row>
    <row r="129" spans="17:24" x14ac:dyDescent="0.3">
      <c r="Q129" t="s">
        <v>8</v>
      </c>
      <c r="R129" t="s">
        <v>135</v>
      </c>
      <c r="S129" t="s">
        <v>134</v>
      </c>
      <c r="T129">
        <v>74772</v>
      </c>
      <c r="U129">
        <v>9</v>
      </c>
      <c r="V129">
        <f t="shared" si="10"/>
        <v>2023</v>
      </c>
      <c r="W129">
        <f t="shared" si="11"/>
        <v>10</v>
      </c>
      <c r="X129" t="str">
        <f t="shared" si="12"/>
        <v>2023-10</v>
      </c>
    </row>
    <row r="130" spans="17:24" x14ac:dyDescent="0.3">
      <c r="Q130" t="s">
        <v>45</v>
      </c>
      <c r="R130" t="s">
        <v>109</v>
      </c>
      <c r="S130" t="s">
        <v>134</v>
      </c>
      <c r="T130">
        <v>96616</v>
      </c>
      <c r="U130">
        <v>8</v>
      </c>
      <c r="V130">
        <f t="shared" si="10"/>
        <v>2023</v>
      </c>
      <c r="W130">
        <f t="shared" si="11"/>
        <v>10</v>
      </c>
      <c r="X130" t="str">
        <f t="shared" si="12"/>
        <v>2023-10</v>
      </c>
    </row>
    <row r="131" spans="17:24" x14ac:dyDescent="0.3">
      <c r="Q131" t="s">
        <v>10</v>
      </c>
      <c r="R131" t="s">
        <v>49</v>
      </c>
      <c r="S131" t="s">
        <v>134</v>
      </c>
      <c r="T131">
        <v>91165</v>
      </c>
      <c r="U131">
        <v>4</v>
      </c>
      <c r="V131">
        <f t="shared" ref="V131:V194" si="13">YEAR(S131)</f>
        <v>2023</v>
      </c>
      <c r="W131">
        <f t="shared" ref="W131:W194" si="14">MONTH(S131)</f>
        <v>10</v>
      </c>
      <c r="X131" t="str">
        <f t="shared" ref="X131:X194" si="15">V131&amp;"-"&amp;W131</f>
        <v>2023-10</v>
      </c>
    </row>
    <row r="132" spans="17:24" x14ac:dyDescent="0.3">
      <c r="Q132" t="s">
        <v>12</v>
      </c>
      <c r="R132" t="s">
        <v>136</v>
      </c>
      <c r="S132" t="s">
        <v>134</v>
      </c>
      <c r="T132">
        <v>67048</v>
      </c>
      <c r="U132">
        <v>8</v>
      </c>
      <c r="V132">
        <f t="shared" si="13"/>
        <v>2023</v>
      </c>
      <c r="W132">
        <f t="shared" si="14"/>
        <v>10</v>
      </c>
      <c r="X132" t="str">
        <f t="shared" si="15"/>
        <v>2023-10</v>
      </c>
    </row>
    <row r="133" spans="17:24" x14ac:dyDescent="0.3">
      <c r="Q133" t="s">
        <v>10</v>
      </c>
      <c r="R133" t="s">
        <v>137</v>
      </c>
      <c r="S133" t="s">
        <v>134</v>
      </c>
      <c r="T133">
        <v>84811</v>
      </c>
      <c r="U133">
        <v>5</v>
      </c>
      <c r="V133">
        <f t="shared" si="13"/>
        <v>2023</v>
      </c>
      <c r="W133">
        <f t="shared" si="14"/>
        <v>10</v>
      </c>
      <c r="X133" t="str">
        <f t="shared" si="15"/>
        <v>2023-10</v>
      </c>
    </row>
    <row r="134" spans="17:24" x14ac:dyDescent="0.3">
      <c r="Q134" t="s">
        <v>21</v>
      </c>
      <c r="R134" t="s">
        <v>138</v>
      </c>
      <c r="S134" t="s">
        <v>134</v>
      </c>
      <c r="T134">
        <v>97752</v>
      </c>
      <c r="U134">
        <v>7</v>
      </c>
      <c r="V134">
        <f t="shared" si="13"/>
        <v>2023</v>
      </c>
      <c r="W134">
        <f t="shared" si="14"/>
        <v>10</v>
      </c>
      <c r="X134" t="str">
        <f t="shared" si="15"/>
        <v>2023-10</v>
      </c>
    </row>
    <row r="135" spans="17:24" x14ac:dyDescent="0.3">
      <c r="Q135" t="s">
        <v>14</v>
      </c>
      <c r="R135" t="s">
        <v>71</v>
      </c>
      <c r="S135" t="s">
        <v>139</v>
      </c>
      <c r="T135">
        <v>87831</v>
      </c>
      <c r="U135">
        <v>9</v>
      </c>
      <c r="V135">
        <f t="shared" si="13"/>
        <v>2023</v>
      </c>
      <c r="W135">
        <f t="shared" si="14"/>
        <v>10</v>
      </c>
      <c r="X135" t="str">
        <f t="shared" si="15"/>
        <v>2023-10</v>
      </c>
    </row>
    <row r="136" spans="17:24" x14ac:dyDescent="0.3">
      <c r="Q136" t="s">
        <v>40</v>
      </c>
      <c r="R136" t="s">
        <v>140</v>
      </c>
      <c r="S136" t="s">
        <v>139</v>
      </c>
      <c r="T136">
        <v>68123</v>
      </c>
      <c r="U136">
        <v>10</v>
      </c>
      <c r="V136">
        <f t="shared" si="13"/>
        <v>2023</v>
      </c>
      <c r="W136">
        <f t="shared" si="14"/>
        <v>10</v>
      </c>
      <c r="X136" t="str">
        <f t="shared" si="15"/>
        <v>2023-10</v>
      </c>
    </row>
    <row r="137" spans="17:24" x14ac:dyDescent="0.3">
      <c r="Q137" t="s">
        <v>40</v>
      </c>
      <c r="R137" t="s">
        <v>141</v>
      </c>
      <c r="S137" t="s">
        <v>139</v>
      </c>
      <c r="T137">
        <v>46076</v>
      </c>
      <c r="U137">
        <v>8</v>
      </c>
      <c r="V137">
        <f t="shared" si="13"/>
        <v>2023</v>
      </c>
      <c r="W137">
        <f t="shared" si="14"/>
        <v>10</v>
      </c>
      <c r="X137" t="str">
        <f t="shared" si="15"/>
        <v>2023-10</v>
      </c>
    </row>
    <row r="138" spans="17:24" x14ac:dyDescent="0.3">
      <c r="Q138" t="s">
        <v>5</v>
      </c>
      <c r="R138" t="s">
        <v>54</v>
      </c>
      <c r="S138" t="s">
        <v>142</v>
      </c>
      <c r="T138">
        <v>48997</v>
      </c>
      <c r="U138">
        <v>7</v>
      </c>
      <c r="V138">
        <f t="shared" si="13"/>
        <v>2023</v>
      </c>
      <c r="W138">
        <f t="shared" si="14"/>
        <v>10</v>
      </c>
      <c r="X138" t="str">
        <f t="shared" si="15"/>
        <v>2023-10</v>
      </c>
    </row>
    <row r="139" spans="17:24" x14ac:dyDescent="0.3">
      <c r="Q139" t="s">
        <v>8</v>
      </c>
      <c r="R139" t="s">
        <v>126</v>
      </c>
      <c r="S139" t="s">
        <v>143</v>
      </c>
      <c r="T139">
        <v>11028</v>
      </c>
      <c r="U139">
        <v>8</v>
      </c>
      <c r="V139">
        <f t="shared" si="13"/>
        <v>2023</v>
      </c>
      <c r="W139">
        <f t="shared" si="14"/>
        <v>10</v>
      </c>
      <c r="X139" t="str">
        <f t="shared" si="15"/>
        <v>2023-10</v>
      </c>
    </row>
    <row r="140" spans="17:24" x14ac:dyDescent="0.3">
      <c r="Q140" t="s">
        <v>40</v>
      </c>
      <c r="R140" t="s">
        <v>99</v>
      </c>
      <c r="S140" t="s">
        <v>143</v>
      </c>
      <c r="T140">
        <v>42243</v>
      </c>
      <c r="U140">
        <v>6</v>
      </c>
      <c r="V140">
        <f t="shared" si="13"/>
        <v>2023</v>
      </c>
      <c r="W140">
        <f t="shared" si="14"/>
        <v>10</v>
      </c>
      <c r="X140" t="str">
        <f t="shared" si="15"/>
        <v>2023-10</v>
      </c>
    </row>
    <row r="141" spans="17:24" x14ac:dyDescent="0.3">
      <c r="Q141" t="s">
        <v>47</v>
      </c>
      <c r="R141" t="s">
        <v>111</v>
      </c>
      <c r="S141" t="s">
        <v>143</v>
      </c>
      <c r="T141">
        <v>94163</v>
      </c>
      <c r="U141">
        <v>4</v>
      </c>
      <c r="V141">
        <f t="shared" si="13"/>
        <v>2023</v>
      </c>
      <c r="W141">
        <f t="shared" si="14"/>
        <v>10</v>
      </c>
      <c r="X141" t="str">
        <f t="shared" si="15"/>
        <v>2023-10</v>
      </c>
    </row>
    <row r="142" spans="17:24" x14ac:dyDescent="0.3">
      <c r="Q142" t="s">
        <v>47</v>
      </c>
      <c r="R142" t="s">
        <v>107</v>
      </c>
      <c r="S142" t="s">
        <v>143</v>
      </c>
      <c r="T142">
        <v>45391</v>
      </c>
      <c r="U142">
        <v>8</v>
      </c>
      <c r="V142">
        <f t="shared" si="13"/>
        <v>2023</v>
      </c>
      <c r="W142">
        <f t="shared" si="14"/>
        <v>10</v>
      </c>
      <c r="X142" t="str">
        <f t="shared" si="15"/>
        <v>2023-10</v>
      </c>
    </row>
    <row r="143" spans="17:24" x14ac:dyDescent="0.3">
      <c r="Q143" t="s">
        <v>47</v>
      </c>
      <c r="R143" t="s">
        <v>63</v>
      </c>
      <c r="S143" t="s">
        <v>143</v>
      </c>
      <c r="T143">
        <v>57423</v>
      </c>
      <c r="U143">
        <v>1</v>
      </c>
      <c r="V143">
        <f t="shared" si="13"/>
        <v>2023</v>
      </c>
      <c r="W143">
        <f t="shared" si="14"/>
        <v>10</v>
      </c>
      <c r="X143" t="str">
        <f t="shared" si="15"/>
        <v>2023-10</v>
      </c>
    </row>
    <row r="144" spans="17:24" x14ac:dyDescent="0.3">
      <c r="Q144" t="s">
        <v>45</v>
      </c>
      <c r="R144" t="s">
        <v>144</v>
      </c>
      <c r="S144" t="s">
        <v>145</v>
      </c>
      <c r="T144">
        <v>74823</v>
      </c>
      <c r="U144">
        <v>6</v>
      </c>
      <c r="V144">
        <f t="shared" si="13"/>
        <v>2023</v>
      </c>
      <c r="W144">
        <f t="shared" si="14"/>
        <v>10</v>
      </c>
      <c r="X144" t="str">
        <f t="shared" si="15"/>
        <v>2023-10</v>
      </c>
    </row>
    <row r="145" spans="17:24" x14ac:dyDescent="0.3">
      <c r="Q145" t="s">
        <v>5</v>
      </c>
      <c r="R145" t="s">
        <v>43</v>
      </c>
      <c r="S145" t="s">
        <v>145</v>
      </c>
      <c r="T145">
        <v>92528</v>
      </c>
      <c r="U145">
        <v>2</v>
      </c>
      <c r="V145">
        <f t="shared" si="13"/>
        <v>2023</v>
      </c>
      <c r="W145">
        <f t="shared" si="14"/>
        <v>10</v>
      </c>
      <c r="X145" t="str">
        <f t="shared" si="15"/>
        <v>2023-10</v>
      </c>
    </row>
    <row r="146" spans="17:24" x14ac:dyDescent="0.3">
      <c r="Q146" t="s">
        <v>47</v>
      </c>
      <c r="R146" t="s">
        <v>105</v>
      </c>
      <c r="S146" t="s">
        <v>145</v>
      </c>
      <c r="T146">
        <v>65455</v>
      </c>
      <c r="U146">
        <v>7</v>
      </c>
      <c r="V146">
        <f t="shared" si="13"/>
        <v>2023</v>
      </c>
      <c r="W146">
        <f t="shared" si="14"/>
        <v>10</v>
      </c>
      <c r="X146" t="str">
        <f t="shared" si="15"/>
        <v>2023-10</v>
      </c>
    </row>
    <row r="147" spans="17:24" x14ac:dyDescent="0.3">
      <c r="Q147" t="s">
        <v>40</v>
      </c>
      <c r="R147" t="s">
        <v>146</v>
      </c>
      <c r="S147" t="s">
        <v>145</v>
      </c>
      <c r="T147">
        <v>78348</v>
      </c>
      <c r="U147">
        <v>2</v>
      </c>
      <c r="V147">
        <f t="shared" si="13"/>
        <v>2023</v>
      </c>
      <c r="W147">
        <f t="shared" si="14"/>
        <v>10</v>
      </c>
      <c r="X147" t="str">
        <f t="shared" si="15"/>
        <v>2023-10</v>
      </c>
    </row>
    <row r="148" spans="17:24" x14ac:dyDescent="0.3">
      <c r="Q148" t="s">
        <v>18</v>
      </c>
      <c r="R148" t="s">
        <v>126</v>
      </c>
      <c r="S148" t="s">
        <v>145</v>
      </c>
      <c r="T148">
        <v>75538</v>
      </c>
      <c r="U148">
        <v>8</v>
      </c>
      <c r="V148">
        <f t="shared" si="13"/>
        <v>2023</v>
      </c>
      <c r="W148">
        <f t="shared" si="14"/>
        <v>10</v>
      </c>
      <c r="X148" t="str">
        <f t="shared" si="15"/>
        <v>2023-10</v>
      </c>
    </row>
    <row r="149" spans="17:24" x14ac:dyDescent="0.3">
      <c r="Q149" t="s">
        <v>18</v>
      </c>
      <c r="R149" t="s">
        <v>147</v>
      </c>
      <c r="S149" t="s">
        <v>145</v>
      </c>
      <c r="T149">
        <v>94514</v>
      </c>
      <c r="U149">
        <v>8</v>
      </c>
      <c r="V149">
        <f t="shared" si="13"/>
        <v>2023</v>
      </c>
      <c r="W149">
        <f t="shared" si="14"/>
        <v>10</v>
      </c>
      <c r="X149" t="str">
        <f t="shared" si="15"/>
        <v>2023-10</v>
      </c>
    </row>
    <row r="150" spans="17:24" x14ac:dyDescent="0.3">
      <c r="Q150" t="s">
        <v>5</v>
      </c>
      <c r="R150" t="s">
        <v>116</v>
      </c>
      <c r="S150" t="s">
        <v>148</v>
      </c>
      <c r="T150">
        <v>61682</v>
      </c>
      <c r="U150">
        <v>8</v>
      </c>
      <c r="V150">
        <f t="shared" si="13"/>
        <v>2023</v>
      </c>
      <c r="W150">
        <f t="shared" si="14"/>
        <v>10</v>
      </c>
      <c r="X150" t="str">
        <f t="shared" si="15"/>
        <v>2023-10</v>
      </c>
    </row>
    <row r="151" spans="17:24" x14ac:dyDescent="0.3">
      <c r="Q151" t="s">
        <v>5</v>
      </c>
      <c r="R151" t="s">
        <v>149</v>
      </c>
      <c r="S151" t="s">
        <v>148</v>
      </c>
      <c r="T151">
        <v>93856</v>
      </c>
      <c r="U151">
        <v>6</v>
      </c>
      <c r="V151">
        <f t="shared" si="13"/>
        <v>2023</v>
      </c>
      <c r="W151">
        <f t="shared" si="14"/>
        <v>10</v>
      </c>
      <c r="X151" t="str">
        <f t="shared" si="15"/>
        <v>2023-10</v>
      </c>
    </row>
    <row r="152" spans="17:24" x14ac:dyDescent="0.3">
      <c r="Q152" t="s">
        <v>45</v>
      </c>
      <c r="R152" t="s">
        <v>150</v>
      </c>
      <c r="S152" t="s">
        <v>148</v>
      </c>
      <c r="T152">
        <v>60037</v>
      </c>
      <c r="U152">
        <v>8</v>
      </c>
      <c r="V152">
        <f t="shared" si="13"/>
        <v>2023</v>
      </c>
      <c r="W152">
        <f t="shared" si="14"/>
        <v>10</v>
      </c>
      <c r="X152" t="str">
        <f t="shared" si="15"/>
        <v>2023-10</v>
      </c>
    </row>
    <row r="153" spans="17:24" x14ac:dyDescent="0.3">
      <c r="Q153" t="s">
        <v>45</v>
      </c>
      <c r="R153" t="s">
        <v>30</v>
      </c>
      <c r="S153" t="s">
        <v>148</v>
      </c>
      <c r="T153">
        <v>43069</v>
      </c>
      <c r="U153">
        <v>7</v>
      </c>
      <c r="V153">
        <f t="shared" si="13"/>
        <v>2023</v>
      </c>
      <c r="W153">
        <f t="shared" si="14"/>
        <v>10</v>
      </c>
      <c r="X153" t="str">
        <f t="shared" si="15"/>
        <v>2023-10</v>
      </c>
    </row>
    <row r="154" spans="17:24" x14ac:dyDescent="0.3">
      <c r="Q154" t="s">
        <v>47</v>
      </c>
      <c r="R154" t="s">
        <v>24</v>
      </c>
      <c r="S154" t="s">
        <v>148</v>
      </c>
      <c r="T154">
        <v>43212</v>
      </c>
      <c r="U154">
        <v>6</v>
      </c>
      <c r="V154">
        <f t="shared" si="13"/>
        <v>2023</v>
      </c>
      <c r="W154">
        <f t="shared" si="14"/>
        <v>10</v>
      </c>
      <c r="X154" t="str">
        <f t="shared" si="15"/>
        <v>2023-10</v>
      </c>
    </row>
    <row r="155" spans="17:24" x14ac:dyDescent="0.3">
      <c r="Q155" t="s">
        <v>47</v>
      </c>
      <c r="R155" t="s">
        <v>151</v>
      </c>
      <c r="S155" t="s">
        <v>148</v>
      </c>
      <c r="T155">
        <v>91149</v>
      </c>
      <c r="U155">
        <v>9</v>
      </c>
      <c r="V155">
        <f t="shared" si="13"/>
        <v>2023</v>
      </c>
      <c r="W155">
        <f t="shared" si="14"/>
        <v>10</v>
      </c>
      <c r="X155" t="str">
        <f t="shared" si="15"/>
        <v>2023-10</v>
      </c>
    </row>
    <row r="156" spans="17:24" x14ac:dyDescent="0.3">
      <c r="Q156" t="s">
        <v>10</v>
      </c>
      <c r="R156" t="s">
        <v>152</v>
      </c>
      <c r="S156" t="s">
        <v>148</v>
      </c>
      <c r="T156">
        <v>70753</v>
      </c>
      <c r="U156">
        <v>6</v>
      </c>
      <c r="V156">
        <f t="shared" si="13"/>
        <v>2023</v>
      </c>
      <c r="W156">
        <f t="shared" si="14"/>
        <v>10</v>
      </c>
      <c r="X156" t="str">
        <f t="shared" si="15"/>
        <v>2023-10</v>
      </c>
    </row>
    <row r="157" spans="17:24" x14ac:dyDescent="0.3">
      <c r="Q157" t="s">
        <v>12</v>
      </c>
      <c r="R157" t="s">
        <v>153</v>
      </c>
      <c r="S157" t="s">
        <v>148</v>
      </c>
      <c r="T157">
        <v>33409</v>
      </c>
      <c r="U157">
        <v>6</v>
      </c>
      <c r="V157">
        <f t="shared" si="13"/>
        <v>2023</v>
      </c>
      <c r="W157">
        <f t="shared" si="14"/>
        <v>10</v>
      </c>
      <c r="X157" t="str">
        <f t="shared" si="15"/>
        <v>2023-10</v>
      </c>
    </row>
    <row r="158" spans="17:24" x14ac:dyDescent="0.3">
      <c r="Q158" t="s">
        <v>40</v>
      </c>
      <c r="R158" t="s">
        <v>154</v>
      </c>
      <c r="S158" t="s">
        <v>155</v>
      </c>
      <c r="T158">
        <v>88527</v>
      </c>
      <c r="U158">
        <v>4</v>
      </c>
      <c r="V158">
        <f t="shared" si="13"/>
        <v>2023</v>
      </c>
      <c r="W158">
        <f t="shared" si="14"/>
        <v>10</v>
      </c>
      <c r="X158" t="str">
        <f t="shared" si="15"/>
        <v>2023-10</v>
      </c>
    </row>
    <row r="159" spans="17:24" x14ac:dyDescent="0.3">
      <c r="Q159" t="s">
        <v>21</v>
      </c>
      <c r="R159" t="s">
        <v>127</v>
      </c>
      <c r="S159" t="s">
        <v>155</v>
      </c>
      <c r="T159">
        <v>58823</v>
      </c>
      <c r="U159">
        <v>7</v>
      </c>
      <c r="V159">
        <f t="shared" si="13"/>
        <v>2023</v>
      </c>
      <c r="W159">
        <f t="shared" si="14"/>
        <v>10</v>
      </c>
      <c r="X159" t="str">
        <f t="shared" si="15"/>
        <v>2023-10</v>
      </c>
    </row>
    <row r="160" spans="17:24" x14ac:dyDescent="0.3">
      <c r="Q160" t="s">
        <v>12</v>
      </c>
      <c r="R160" t="s">
        <v>156</v>
      </c>
      <c r="S160" t="s">
        <v>155</v>
      </c>
      <c r="T160">
        <v>77088</v>
      </c>
      <c r="U160">
        <v>7</v>
      </c>
      <c r="V160">
        <f t="shared" si="13"/>
        <v>2023</v>
      </c>
      <c r="W160">
        <f t="shared" si="14"/>
        <v>10</v>
      </c>
      <c r="X160" t="str">
        <f t="shared" si="15"/>
        <v>2023-10</v>
      </c>
    </row>
    <row r="161" spans="17:24" x14ac:dyDescent="0.3">
      <c r="Q161" t="s">
        <v>18</v>
      </c>
      <c r="R161" t="s">
        <v>69</v>
      </c>
      <c r="S161" t="s">
        <v>155</v>
      </c>
      <c r="T161">
        <v>11574</v>
      </c>
      <c r="U161">
        <v>5</v>
      </c>
      <c r="V161">
        <f t="shared" si="13"/>
        <v>2023</v>
      </c>
      <c r="W161">
        <f t="shared" si="14"/>
        <v>10</v>
      </c>
      <c r="X161" t="str">
        <f t="shared" si="15"/>
        <v>2023-10</v>
      </c>
    </row>
    <row r="162" spans="17:24" x14ac:dyDescent="0.3">
      <c r="Q162" t="s">
        <v>18</v>
      </c>
      <c r="R162" t="s">
        <v>80</v>
      </c>
      <c r="S162" t="s">
        <v>155</v>
      </c>
      <c r="T162">
        <v>28778</v>
      </c>
      <c r="U162">
        <v>9</v>
      </c>
      <c r="V162">
        <f t="shared" si="13"/>
        <v>2023</v>
      </c>
      <c r="W162">
        <f t="shared" si="14"/>
        <v>10</v>
      </c>
      <c r="X162" t="str">
        <f t="shared" si="15"/>
        <v>2023-10</v>
      </c>
    </row>
    <row r="163" spans="17:24" x14ac:dyDescent="0.3">
      <c r="Q163" t="s">
        <v>45</v>
      </c>
      <c r="R163" t="s">
        <v>48</v>
      </c>
      <c r="S163" t="s">
        <v>157</v>
      </c>
      <c r="T163">
        <v>70760</v>
      </c>
      <c r="U163">
        <v>3</v>
      </c>
      <c r="V163">
        <f t="shared" si="13"/>
        <v>2023</v>
      </c>
      <c r="W163">
        <f t="shared" si="14"/>
        <v>10</v>
      </c>
      <c r="X163" t="str">
        <f t="shared" si="15"/>
        <v>2023-10</v>
      </c>
    </row>
    <row r="164" spans="17:24" x14ac:dyDescent="0.3">
      <c r="Q164" t="s">
        <v>47</v>
      </c>
      <c r="R164" t="s">
        <v>123</v>
      </c>
      <c r="S164" t="s">
        <v>157</v>
      </c>
      <c r="T164">
        <v>86225</v>
      </c>
      <c r="U164">
        <v>0</v>
      </c>
      <c r="V164">
        <f t="shared" si="13"/>
        <v>2023</v>
      </c>
      <c r="W164">
        <f t="shared" si="14"/>
        <v>10</v>
      </c>
      <c r="X164" t="str">
        <f t="shared" si="15"/>
        <v>2023-10</v>
      </c>
    </row>
    <row r="165" spans="17:24" x14ac:dyDescent="0.3">
      <c r="Q165" t="s">
        <v>8</v>
      </c>
      <c r="R165" t="s">
        <v>158</v>
      </c>
      <c r="S165" t="s">
        <v>157</v>
      </c>
      <c r="T165">
        <v>12877</v>
      </c>
      <c r="U165">
        <v>6</v>
      </c>
      <c r="V165">
        <f t="shared" si="13"/>
        <v>2023</v>
      </c>
      <c r="W165">
        <f t="shared" si="14"/>
        <v>10</v>
      </c>
      <c r="X165" t="str">
        <f t="shared" si="15"/>
        <v>2023-10</v>
      </c>
    </row>
    <row r="166" spans="17:24" x14ac:dyDescent="0.3">
      <c r="Q166" t="s">
        <v>5</v>
      </c>
      <c r="R166" t="s">
        <v>126</v>
      </c>
      <c r="S166" t="s">
        <v>157</v>
      </c>
      <c r="T166">
        <v>19121</v>
      </c>
      <c r="U166">
        <v>8</v>
      </c>
      <c r="V166">
        <f t="shared" si="13"/>
        <v>2023</v>
      </c>
      <c r="W166">
        <f t="shared" si="14"/>
        <v>10</v>
      </c>
      <c r="X166" t="str">
        <f t="shared" si="15"/>
        <v>2023-10</v>
      </c>
    </row>
    <row r="167" spans="17:24" x14ac:dyDescent="0.3">
      <c r="Q167" t="s">
        <v>10</v>
      </c>
      <c r="R167" t="s">
        <v>62</v>
      </c>
      <c r="S167" t="s">
        <v>159</v>
      </c>
      <c r="T167">
        <v>25970</v>
      </c>
      <c r="U167">
        <v>10</v>
      </c>
      <c r="V167">
        <f t="shared" si="13"/>
        <v>2023</v>
      </c>
      <c r="W167">
        <f t="shared" si="14"/>
        <v>10</v>
      </c>
      <c r="X167" t="str">
        <f t="shared" si="15"/>
        <v>2023-10</v>
      </c>
    </row>
    <row r="168" spans="17:24" x14ac:dyDescent="0.3">
      <c r="Q168" t="s">
        <v>50</v>
      </c>
      <c r="R168" t="s">
        <v>84</v>
      </c>
      <c r="S168" t="s">
        <v>159</v>
      </c>
      <c r="T168">
        <v>71020</v>
      </c>
      <c r="U168">
        <v>2</v>
      </c>
      <c r="V168">
        <f t="shared" si="13"/>
        <v>2023</v>
      </c>
      <c r="W168">
        <f t="shared" si="14"/>
        <v>10</v>
      </c>
      <c r="X168" t="str">
        <f t="shared" si="15"/>
        <v>2023-10</v>
      </c>
    </row>
    <row r="169" spans="17:24" x14ac:dyDescent="0.3">
      <c r="Q169" t="s">
        <v>45</v>
      </c>
      <c r="R169" t="s">
        <v>25</v>
      </c>
      <c r="S169" t="s">
        <v>159</v>
      </c>
      <c r="T169">
        <v>17682</v>
      </c>
      <c r="U169">
        <v>7</v>
      </c>
      <c r="V169">
        <f t="shared" si="13"/>
        <v>2023</v>
      </c>
      <c r="W169">
        <f t="shared" si="14"/>
        <v>10</v>
      </c>
      <c r="X169" t="str">
        <f t="shared" si="15"/>
        <v>2023-10</v>
      </c>
    </row>
    <row r="170" spans="17:24" x14ac:dyDescent="0.3">
      <c r="Q170" t="s">
        <v>40</v>
      </c>
      <c r="R170" t="s">
        <v>160</v>
      </c>
      <c r="S170" t="s">
        <v>161</v>
      </c>
      <c r="T170">
        <v>67305</v>
      </c>
      <c r="U170">
        <v>8</v>
      </c>
      <c r="V170">
        <f t="shared" si="13"/>
        <v>2023</v>
      </c>
      <c r="W170">
        <f t="shared" si="14"/>
        <v>10</v>
      </c>
      <c r="X170" t="str">
        <f t="shared" si="15"/>
        <v>2023-10</v>
      </c>
    </row>
    <row r="171" spans="17:24" x14ac:dyDescent="0.3">
      <c r="Q171" t="s">
        <v>10</v>
      </c>
      <c r="R171" t="s">
        <v>74</v>
      </c>
      <c r="S171" t="s">
        <v>161</v>
      </c>
      <c r="T171">
        <v>35360</v>
      </c>
      <c r="U171">
        <v>6</v>
      </c>
      <c r="V171">
        <f t="shared" si="13"/>
        <v>2023</v>
      </c>
      <c r="W171">
        <f t="shared" si="14"/>
        <v>10</v>
      </c>
      <c r="X171" t="str">
        <f t="shared" si="15"/>
        <v>2023-10</v>
      </c>
    </row>
    <row r="172" spans="17:24" x14ac:dyDescent="0.3">
      <c r="Q172" t="s">
        <v>14</v>
      </c>
      <c r="R172" t="s">
        <v>162</v>
      </c>
      <c r="S172" t="s">
        <v>161</v>
      </c>
      <c r="T172">
        <v>73023</v>
      </c>
      <c r="U172">
        <v>4</v>
      </c>
      <c r="V172">
        <f t="shared" si="13"/>
        <v>2023</v>
      </c>
      <c r="W172">
        <f t="shared" si="14"/>
        <v>10</v>
      </c>
      <c r="X172" t="str">
        <f t="shared" si="15"/>
        <v>2023-10</v>
      </c>
    </row>
    <row r="173" spans="17:24" x14ac:dyDescent="0.3">
      <c r="Q173" t="s">
        <v>8</v>
      </c>
      <c r="R173" t="s">
        <v>9</v>
      </c>
      <c r="S173" t="s">
        <v>161</v>
      </c>
      <c r="T173">
        <v>36601</v>
      </c>
      <c r="U173">
        <v>6</v>
      </c>
      <c r="V173">
        <f t="shared" si="13"/>
        <v>2023</v>
      </c>
      <c r="W173">
        <f t="shared" si="14"/>
        <v>10</v>
      </c>
      <c r="X173" t="str">
        <f t="shared" si="15"/>
        <v>2023-10</v>
      </c>
    </row>
    <row r="174" spans="17:24" x14ac:dyDescent="0.3">
      <c r="Q174" t="s">
        <v>28</v>
      </c>
      <c r="R174" t="s">
        <v>163</v>
      </c>
      <c r="S174" t="s">
        <v>164</v>
      </c>
      <c r="T174">
        <v>78426</v>
      </c>
      <c r="U174">
        <v>7</v>
      </c>
      <c r="V174">
        <f t="shared" si="13"/>
        <v>2023</v>
      </c>
      <c r="W174">
        <f t="shared" si="14"/>
        <v>10</v>
      </c>
      <c r="X174" t="str">
        <f t="shared" si="15"/>
        <v>2023-10</v>
      </c>
    </row>
    <row r="175" spans="17:24" x14ac:dyDescent="0.3">
      <c r="Q175" t="s">
        <v>40</v>
      </c>
      <c r="R175" t="s">
        <v>89</v>
      </c>
      <c r="S175" t="s">
        <v>164</v>
      </c>
      <c r="T175">
        <v>13239</v>
      </c>
      <c r="U175">
        <v>6</v>
      </c>
      <c r="V175">
        <f t="shared" si="13"/>
        <v>2023</v>
      </c>
      <c r="W175">
        <f t="shared" si="14"/>
        <v>10</v>
      </c>
      <c r="X175" t="str">
        <f t="shared" si="15"/>
        <v>2023-10</v>
      </c>
    </row>
    <row r="176" spans="17:24" x14ac:dyDescent="0.3">
      <c r="Q176" t="s">
        <v>50</v>
      </c>
      <c r="R176" t="s">
        <v>165</v>
      </c>
      <c r="S176" t="s">
        <v>164</v>
      </c>
      <c r="T176">
        <v>88169</v>
      </c>
      <c r="U176">
        <v>8</v>
      </c>
      <c r="V176">
        <f t="shared" si="13"/>
        <v>2023</v>
      </c>
      <c r="W176">
        <f t="shared" si="14"/>
        <v>10</v>
      </c>
      <c r="X176" t="str">
        <f t="shared" si="15"/>
        <v>2023-10</v>
      </c>
    </row>
    <row r="177" spans="17:24" x14ac:dyDescent="0.3">
      <c r="Q177" t="s">
        <v>47</v>
      </c>
      <c r="R177" t="s">
        <v>166</v>
      </c>
      <c r="S177" t="s">
        <v>164</v>
      </c>
      <c r="T177">
        <v>20388</v>
      </c>
      <c r="U177">
        <v>8</v>
      </c>
      <c r="V177">
        <f t="shared" si="13"/>
        <v>2023</v>
      </c>
      <c r="W177">
        <f t="shared" si="14"/>
        <v>10</v>
      </c>
      <c r="X177" t="str">
        <f t="shared" si="15"/>
        <v>2023-10</v>
      </c>
    </row>
    <row r="178" spans="17:24" x14ac:dyDescent="0.3">
      <c r="Q178" t="s">
        <v>40</v>
      </c>
      <c r="R178" t="s">
        <v>116</v>
      </c>
      <c r="S178" t="s">
        <v>164</v>
      </c>
      <c r="T178">
        <v>78270</v>
      </c>
      <c r="U178">
        <v>6</v>
      </c>
      <c r="V178">
        <f t="shared" si="13"/>
        <v>2023</v>
      </c>
      <c r="W178">
        <f t="shared" si="14"/>
        <v>10</v>
      </c>
      <c r="X178" t="str">
        <f t="shared" si="15"/>
        <v>2023-10</v>
      </c>
    </row>
    <row r="179" spans="17:24" x14ac:dyDescent="0.3">
      <c r="Q179" t="s">
        <v>45</v>
      </c>
      <c r="R179" t="s">
        <v>69</v>
      </c>
      <c r="S179" t="s">
        <v>164</v>
      </c>
      <c r="T179">
        <v>47489</v>
      </c>
      <c r="U179">
        <v>4</v>
      </c>
      <c r="V179">
        <f t="shared" si="13"/>
        <v>2023</v>
      </c>
      <c r="W179">
        <f t="shared" si="14"/>
        <v>10</v>
      </c>
      <c r="X179" t="str">
        <f t="shared" si="15"/>
        <v>2023-10</v>
      </c>
    </row>
    <row r="180" spans="17:24" x14ac:dyDescent="0.3">
      <c r="Q180" t="s">
        <v>5</v>
      </c>
      <c r="R180" t="s">
        <v>167</v>
      </c>
      <c r="S180" t="s">
        <v>164</v>
      </c>
      <c r="T180">
        <v>58606</v>
      </c>
      <c r="U180">
        <v>7</v>
      </c>
      <c r="V180">
        <f t="shared" si="13"/>
        <v>2023</v>
      </c>
      <c r="W180">
        <f t="shared" si="14"/>
        <v>10</v>
      </c>
      <c r="X180" t="str">
        <f t="shared" si="15"/>
        <v>2023-10</v>
      </c>
    </row>
    <row r="181" spans="17:24" x14ac:dyDescent="0.3">
      <c r="Q181" t="s">
        <v>8</v>
      </c>
      <c r="R181" t="s">
        <v>168</v>
      </c>
      <c r="S181" t="s">
        <v>164</v>
      </c>
      <c r="T181">
        <v>28988</v>
      </c>
      <c r="U181">
        <v>6</v>
      </c>
      <c r="V181">
        <f t="shared" si="13"/>
        <v>2023</v>
      </c>
      <c r="W181">
        <f t="shared" si="14"/>
        <v>10</v>
      </c>
      <c r="X181" t="str">
        <f t="shared" si="15"/>
        <v>2023-10</v>
      </c>
    </row>
    <row r="182" spans="17:24" x14ac:dyDescent="0.3">
      <c r="Q182" t="s">
        <v>5</v>
      </c>
      <c r="R182" t="s">
        <v>169</v>
      </c>
      <c r="S182" t="s">
        <v>170</v>
      </c>
      <c r="T182">
        <v>97701</v>
      </c>
      <c r="U182">
        <v>7</v>
      </c>
      <c r="V182">
        <f t="shared" si="13"/>
        <v>2023</v>
      </c>
      <c r="W182">
        <f t="shared" si="14"/>
        <v>10</v>
      </c>
      <c r="X182" t="str">
        <f t="shared" si="15"/>
        <v>2023-10</v>
      </c>
    </row>
    <row r="183" spans="17:24" x14ac:dyDescent="0.3">
      <c r="Q183" t="s">
        <v>45</v>
      </c>
      <c r="R183" t="s">
        <v>171</v>
      </c>
      <c r="S183" t="s">
        <v>172</v>
      </c>
      <c r="T183">
        <v>52685</v>
      </c>
      <c r="U183">
        <v>7</v>
      </c>
      <c r="V183">
        <f t="shared" si="13"/>
        <v>2023</v>
      </c>
      <c r="W183">
        <f t="shared" si="14"/>
        <v>11</v>
      </c>
      <c r="X183" t="str">
        <f t="shared" si="15"/>
        <v>2023-11</v>
      </c>
    </row>
    <row r="184" spans="17:24" x14ac:dyDescent="0.3">
      <c r="Q184" t="s">
        <v>21</v>
      </c>
      <c r="R184" t="s">
        <v>173</v>
      </c>
      <c r="S184" t="s">
        <v>172</v>
      </c>
      <c r="T184">
        <v>63672</v>
      </c>
      <c r="U184">
        <v>5</v>
      </c>
      <c r="V184">
        <f t="shared" si="13"/>
        <v>2023</v>
      </c>
      <c r="W184">
        <f t="shared" si="14"/>
        <v>11</v>
      </c>
      <c r="X184" t="str">
        <f t="shared" si="15"/>
        <v>2023-11</v>
      </c>
    </row>
    <row r="185" spans="17:24" x14ac:dyDescent="0.3">
      <c r="Q185" t="s">
        <v>14</v>
      </c>
      <c r="R185" t="s">
        <v>174</v>
      </c>
      <c r="S185" t="s">
        <v>172</v>
      </c>
      <c r="T185">
        <v>72428</v>
      </c>
      <c r="U185">
        <v>4</v>
      </c>
      <c r="V185">
        <f t="shared" si="13"/>
        <v>2023</v>
      </c>
      <c r="W185">
        <f t="shared" si="14"/>
        <v>11</v>
      </c>
      <c r="X185" t="str">
        <f t="shared" si="15"/>
        <v>2023-11</v>
      </c>
    </row>
    <row r="186" spans="17:24" x14ac:dyDescent="0.3">
      <c r="Q186" t="s">
        <v>47</v>
      </c>
      <c r="R186" t="s">
        <v>15</v>
      </c>
      <c r="S186" t="s">
        <v>175</v>
      </c>
      <c r="T186">
        <v>43654</v>
      </c>
      <c r="U186">
        <v>8</v>
      </c>
      <c r="V186">
        <f t="shared" si="13"/>
        <v>2023</v>
      </c>
      <c r="W186">
        <f t="shared" si="14"/>
        <v>11</v>
      </c>
      <c r="X186" t="str">
        <f t="shared" si="15"/>
        <v>2023-11</v>
      </c>
    </row>
    <row r="187" spans="17:24" x14ac:dyDescent="0.3">
      <c r="Q187" t="s">
        <v>5</v>
      </c>
      <c r="R187" t="s">
        <v>147</v>
      </c>
      <c r="S187" t="s">
        <v>175</v>
      </c>
      <c r="T187">
        <v>47609</v>
      </c>
      <c r="U187">
        <v>3</v>
      </c>
      <c r="V187">
        <f t="shared" si="13"/>
        <v>2023</v>
      </c>
      <c r="W187">
        <f t="shared" si="14"/>
        <v>11</v>
      </c>
      <c r="X187" t="str">
        <f t="shared" si="15"/>
        <v>2023-11</v>
      </c>
    </row>
    <row r="188" spans="17:24" x14ac:dyDescent="0.3">
      <c r="Q188" t="s">
        <v>21</v>
      </c>
      <c r="R188" t="s">
        <v>176</v>
      </c>
      <c r="S188" t="s">
        <v>177</v>
      </c>
      <c r="T188">
        <v>56110</v>
      </c>
      <c r="U188">
        <v>10</v>
      </c>
      <c r="V188">
        <f t="shared" si="13"/>
        <v>2023</v>
      </c>
      <c r="W188">
        <f t="shared" si="14"/>
        <v>11</v>
      </c>
      <c r="X188" t="str">
        <f t="shared" si="15"/>
        <v>2023-11</v>
      </c>
    </row>
    <row r="189" spans="17:24" x14ac:dyDescent="0.3">
      <c r="Q189" t="s">
        <v>5</v>
      </c>
      <c r="R189" t="s">
        <v>77</v>
      </c>
      <c r="S189" t="s">
        <v>177</v>
      </c>
      <c r="T189">
        <v>39286</v>
      </c>
      <c r="U189">
        <v>6</v>
      </c>
      <c r="V189">
        <f t="shared" si="13"/>
        <v>2023</v>
      </c>
      <c r="W189">
        <f t="shared" si="14"/>
        <v>11</v>
      </c>
      <c r="X189" t="str">
        <f t="shared" si="15"/>
        <v>2023-11</v>
      </c>
    </row>
    <row r="190" spans="17:24" x14ac:dyDescent="0.3">
      <c r="Q190" t="s">
        <v>47</v>
      </c>
      <c r="R190" t="s">
        <v>101</v>
      </c>
      <c r="S190" t="s">
        <v>177</v>
      </c>
      <c r="T190">
        <v>43102</v>
      </c>
      <c r="U190">
        <v>8</v>
      </c>
      <c r="V190">
        <f t="shared" si="13"/>
        <v>2023</v>
      </c>
      <c r="W190">
        <f t="shared" si="14"/>
        <v>11</v>
      </c>
      <c r="X190" t="str">
        <f t="shared" si="15"/>
        <v>2023-11</v>
      </c>
    </row>
    <row r="191" spans="17:24" x14ac:dyDescent="0.3">
      <c r="Q191" t="s">
        <v>50</v>
      </c>
      <c r="R191" t="s">
        <v>70</v>
      </c>
      <c r="S191" t="s">
        <v>177</v>
      </c>
      <c r="T191">
        <v>26999</v>
      </c>
      <c r="U191">
        <v>9</v>
      </c>
      <c r="V191">
        <f t="shared" si="13"/>
        <v>2023</v>
      </c>
      <c r="W191">
        <f t="shared" si="14"/>
        <v>11</v>
      </c>
      <c r="X191" t="str">
        <f t="shared" si="15"/>
        <v>2023-11</v>
      </c>
    </row>
    <row r="192" spans="17:24" x14ac:dyDescent="0.3">
      <c r="Q192" t="s">
        <v>40</v>
      </c>
      <c r="R192" t="s">
        <v>178</v>
      </c>
      <c r="S192" t="s">
        <v>179</v>
      </c>
      <c r="T192">
        <v>43221</v>
      </c>
      <c r="U192">
        <v>7</v>
      </c>
      <c r="V192">
        <f t="shared" si="13"/>
        <v>2023</v>
      </c>
      <c r="W192">
        <f t="shared" si="14"/>
        <v>11</v>
      </c>
      <c r="X192" t="str">
        <f t="shared" si="15"/>
        <v>2023-11</v>
      </c>
    </row>
    <row r="193" spans="17:24" x14ac:dyDescent="0.3">
      <c r="Q193" t="s">
        <v>45</v>
      </c>
      <c r="R193" t="s">
        <v>174</v>
      </c>
      <c r="S193" t="s">
        <v>179</v>
      </c>
      <c r="T193">
        <v>80252</v>
      </c>
      <c r="U193">
        <v>9</v>
      </c>
      <c r="V193">
        <f t="shared" si="13"/>
        <v>2023</v>
      </c>
      <c r="W193">
        <f t="shared" si="14"/>
        <v>11</v>
      </c>
      <c r="X193" t="str">
        <f t="shared" si="15"/>
        <v>2023-11</v>
      </c>
    </row>
    <row r="194" spans="17:24" x14ac:dyDescent="0.3">
      <c r="Q194" t="s">
        <v>8</v>
      </c>
      <c r="R194" t="s">
        <v>109</v>
      </c>
      <c r="S194" t="s">
        <v>179</v>
      </c>
      <c r="T194">
        <v>38274</v>
      </c>
      <c r="U194">
        <v>4</v>
      </c>
      <c r="V194">
        <f t="shared" si="13"/>
        <v>2023</v>
      </c>
      <c r="W194">
        <f t="shared" si="14"/>
        <v>11</v>
      </c>
      <c r="X194" t="str">
        <f t="shared" si="15"/>
        <v>2023-11</v>
      </c>
    </row>
    <row r="195" spans="17:24" x14ac:dyDescent="0.3">
      <c r="Q195" t="s">
        <v>40</v>
      </c>
      <c r="R195" t="s">
        <v>146</v>
      </c>
      <c r="S195" t="s">
        <v>179</v>
      </c>
      <c r="T195">
        <v>56689</v>
      </c>
      <c r="U195">
        <v>10</v>
      </c>
      <c r="V195">
        <f t="shared" ref="V195:V258" si="16">YEAR(S195)</f>
        <v>2023</v>
      </c>
      <c r="W195">
        <f t="shared" ref="W195:W258" si="17">MONTH(S195)</f>
        <v>11</v>
      </c>
      <c r="X195" t="str">
        <f t="shared" ref="X195:X258" si="18">V195&amp;"-"&amp;W195</f>
        <v>2023-11</v>
      </c>
    </row>
    <row r="196" spans="17:24" x14ac:dyDescent="0.3">
      <c r="Q196" t="s">
        <v>40</v>
      </c>
      <c r="R196" t="s">
        <v>72</v>
      </c>
      <c r="S196" t="s">
        <v>179</v>
      </c>
      <c r="T196">
        <v>87019</v>
      </c>
      <c r="U196">
        <v>8</v>
      </c>
      <c r="V196">
        <f t="shared" si="16"/>
        <v>2023</v>
      </c>
      <c r="W196">
        <f t="shared" si="17"/>
        <v>11</v>
      </c>
      <c r="X196" t="str">
        <f t="shared" si="18"/>
        <v>2023-11</v>
      </c>
    </row>
    <row r="197" spans="17:24" x14ac:dyDescent="0.3">
      <c r="Q197" t="s">
        <v>14</v>
      </c>
      <c r="R197" t="s">
        <v>111</v>
      </c>
      <c r="S197" t="s">
        <v>179</v>
      </c>
      <c r="T197">
        <v>45562</v>
      </c>
      <c r="U197">
        <v>4</v>
      </c>
      <c r="V197">
        <f t="shared" si="16"/>
        <v>2023</v>
      </c>
      <c r="W197">
        <f t="shared" si="17"/>
        <v>11</v>
      </c>
      <c r="X197" t="str">
        <f t="shared" si="18"/>
        <v>2023-11</v>
      </c>
    </row>
    <row r="198" spans="17:24" x14ac:dyDescent="0.3">
      <c r="Q198" t="s">
        <v>8</v>
      </c>
      <c r="R198" t="s">
        <v>180</v>
      </c>
      <c r="S198" t="s">
        <v>179</v>
      </c>
      <c r="T198">
        <v>86087</v>
      </c>
      <c r="U198">
        <v>9</v>
      </c>
      <c r="V198">
        <f t="shared" si="16"/>
        <v>2023</v>
      </c>
      <c r="W198">
        <f t="shared" si="17"/>
        <v>11</v>
      </c>
      <c r="X198" t="str">
        <f t="shared" si="18"/>
        <v>2023-11</v>
      </c>
    </row>
    <row r="199" spans="17:24" x14ac:dyDescent="0.3">
      <c r="Q199" t="s">
        <v>14</v>
      </c>
      <c r="R199" t="s">
        <v>103</v>
      </c>
      <c r="S199" t="s">
        <v>179</v>
      </c>
      <c r="T199">
        <v>65600</v>
      </c>
      <c r="U199">
        <v>8</v>
      </c>
      <c r="V199">
        <f t="shared" si="16"/>
        <v>2023</v>
      </c>
      <c r="W199">
        <f t="shared" si="17"/>
        <v>11</v>
      </c>
      <c r="X199" t="str">
        <f t="shared" si="18"/>
        <v>2023-11</v>
      </c>
    </row>
    <row r="200" spans="17:24" x14ac:dyDescent="0.3">
      <c r="Q200" t="s">
        <v>47</v>
      </c>
      <c r="R200" t="s">
        <v>25</v>
      </c>
      <c r="S200" t="s">
        <v>179</v>
      </c>
      <c r="T200">
        <v>68413</v>
      </c>
      <c r="U200">
        <v>8</v>
      </c>
      <c r="V200">
        <f t="shared" si="16"/>
        <v>2023</v>
      </c>
      <c r="W200">
        <f t="shared" si="17"/>
        <v>11</v>
      </c>
      <c r="X200" t="str">
        <f t="shared" si="18"/>
        <v>2023-11</v>
      </c>
    </row>
    <row r="201" spans="17:24" x14ac:dyDescent="0.3">
      <c r="Q201" t="s">
        <v>47</v>
      </c>
      <c r="R201" t="s">
        <v>181</v>
      </c>
      <c r="S201" t="s">
        <v>179</v>
      </c>
      <c r="T201">
        <v>34789</v>
      </c>
      <c r="U201">
        <v>5</v>
      </c>
      <c r="V201">
        <f t="shared" si="16"/>
        <v>2023</v>
      </c>
      <c r="W201">
        <f t="shared" si="17"/>
        <v>11</v>
      </c>
      <c r="X201" t="str">
        <f t="shared" si="18"/>
        <v>2023-11</v>
      </c>
    </row>
    <row r="202" spans="17:24" x14ac:dyDescent="0.3">
      <c r="Q202" t="s">
        <v>50</v>
      </c>
      <c r="R202" t="s">
        <v>182</v>
      </c>
      <c r="S202" t="s">
        <v>179</v>
      </c>
      <c r="T202">
        <v>73009</v>
      </c>
      <c r="U202">
        <v>1</v>
      </c>
      <c r="V202">
        <f t="shared" si="16"/>
        <v>2023</v>
      </c>
      <c r="W202">
        <f t="shared" si="17"/>
        <v>11</v>
      </c>
      <c r="X202" t="str">
        <f t="shared" si="18"/>
        <v>2023-11</v>
      </c>
    </row>
    <row r="203" spans="17:24" x14ac:dyDescent="0.3">
      <c r="Q203" t="s">
        <v>28</v>
      </c>
      <c r="R203" t="s">
        <v>35</v>
      </c>
      <c r="S203" t="s">
        <v>179</v>
      </c>
      <c r="T203">
        <v>94678</v>
      </c>
      <c r="U203">
        <v>7</v>
      </c>
      <c r="V203">
        <f t="shared" si="16"/>
        <v>2023</v>
      </c>
      <c r="W203">
        <f t="shared" si="17"/>
        <v>11</v>
      </c>
      <c r="X203" t="str">
        <f t="shared" si="18"/>
        <v>2023-11</v>
      </c>
    </row>
    <row r="204" spans="17:24" x14ac:dyDescent="0.3">
      <c r="Q204" t="s">
        <v>14</v>
      </c>
      <c r="R204" t="s">
        <v>183</v>
      </c>
      <c r="S204" t="s">
        <v>184</v>
      </c>
      <c r="T204">
        <v>72248</v>
      </c>
      <c r="U204">
        <v>6</v>
      </c>
      <c r="V204">
        <f t="shared" si="16"/>
        <v>2023</v>
      </c>
      <c r="W204">
        <f t="shared" si="17"/>
        <v>11</v>
      </c>
      <c r="X204" t="str">
        <f t="shared" si="18"/>
        <v>2023-11</v>
      </c>
    </row>
    <row r="205" spans="17:24" x14ac:dyDescent="0.3">
      <c r="Q205" t="s">
        <v>28</v>
      </c>
      <c r="R205" t="s">
        <v>185</v>
      </c>
      <c r="S205" t="s">
        <v>184</v>
      </c>
      <c r="T205">
        <v>81823</v>
      </c>
      <c r="U205">
        <v>3</v>
      </c>
      <c r="V205">
        <f t="shared" si="16"/>
        <v>2023</v>
      </c>
      <c r="W205">
        <f t="shared" si="17"/>
        <v>11</v>
      </c>
      <c r="X205" t="str">
        <f t="shared" si="18"/>
        <v>2023-11</v>
      </c>
    </row>
    <row r="206" spans="17:24" x14ac:dyDescent="0.3">
      <c r="Q206" t="s">
        <v>5</v>
      </c>
      <c r="R206" t="s">
        <v>19</v>
      </c>
      <c r="S206" t="s">
        <v>184</v>
      </c>
      <c r="T206">
        <v>95251</v>
      </c>
      <c r="U206">
        <v>4</v>
      </c>
      <c r="V206">
        <f t="shared" si="16"/>
        <v>2023</v>
      </c>
      <c r="W206">
        <f t="shared" si="17"/>
        <v>11</v>
      </c>
      <c r="X206" t="str">
        <f t="shared" si="18"/>
        <v>2023-11</v>
      </c>
    </row>
    <row r="207" spans="17:24" x14ac:dyDescent="0.3">
      <c r="Q207" t="s">
        <v>14</v>
      </c>
      <c r="R207" t="s">
        <v>186</v>
      </c>
      <c r="S207" t="s">
        <v>184</v>
      </c>
      <c r="T207">
        <v>34637</v>
      </c>
      <c r="U207">
        <v>3</v>
      </c>
      <c r="V207">
        <f t="shared" si="16"/>
        <v>2023</v>
      </c>
      <c r="W207">
        <f t="shared" si="17"/>
        <v>11</v>
      </c>
      <c r="X207" t="str">
        <f t="shared" si="18"/>
        <v>2023-11</v>
      </c>
    </row>
    <row r="208" spans="17:24" x14ac:dyDescent="0.3">
      <c r="Q208" t="s">
        <v>21</v>
      </c>
      <c r="R208" t="s">
        <v>88</v>
      </c>
      <c r="S208" t="s">
        <v>187</v>
      </c>
      <c r="T208">
        <v>16248</v>
      </c>
      <c r="U208">
        <v>7</v>
      </c>
      <c r="V208">
        <f t="shared" si="16"/>
        <v>2023</v>
      </c>
      <c r="W208">
        <f t="shared" si="17"/>
        <v>11</v>
      </c>
      <c r="X208" t="str">
        <f t="shared" si="18"/>
        <v>2023-11</v>
      </c>
    </row>
    <row r="209" spans="17:24" x14ac:dyDescent="0.3">
      <c r="Q209" t="s">
        <v>45</v>
      </c>
      <c r="R209" t="s">
        <v>117</v>
      </c>
      <c r="S209" t="s">
        <v>188</v>
      </c>
      <c r="T209">
        <v>26267</v>
      </c>
      <c r="U209">
        <v>3</v>
      </c>
      <c r="V209">
        <f t="shared" si="16"/>
        <v>2023</v>
      </c>
      <c r="W209">
        <f t="shared" si="17"/>
        <v>11</v>
      </c>
      <c r="X209" t="str">
        <f t="shared" si="18"/>
        <v>2023-11</v>
      </c>
    </row>
    <row r="210" spans="17:24" x14ac:dyDescent="0.3">
      <c r="Q210" t="s">
        <v>18</v>
      </c>
      <c r="R210" t="s">
        <v>176</v>
      </c>
      <c r="S210" t="s">
        <v>189</v>
      </c>
      <c r="T210">
        <v>82603</v>
      </c>
      <c r="U210">
        <v>8</v>
      </c>
      <c r="V210">
        <f t="shared" si="16"/>
        <v>2023</v>
      </c>
      <c r="W210">
        <f t="shared" si="17"/>
        <v>11</v>
      </c>
      <c r="X210" t="str">
        <f t="shared" si="18"/>
        <v>2023-11</v>
      </c>
    </row>
    <row r="211" spans="17:24" x14ac:dyDescent="0.3">
      <c r="Q211" t="s">
        <v>18</v>
      </c>
      <c r="R211" t="s">
        <v>190</v>
      </c>
      <c r="S211" t="s">
        <v>189</v>
      </c>
      <c r="T211">
        <v>88926</v>
      </c>
      <c r="U211">
        <v>6</v>
      </c>
      <c r="V211">
        <f t="shared" si="16"/>
        <v>2023</v>
      </c>
      <c r="W211">
        <f t="shared" si="17"/>
        <v>11</v>
      </c>
      <c r="X211" t="str">
        <f t="shared" si="18"/>
        <v>2023-11</v>
      </c>
    </row>
    <row r="212" spans="17:24" x14ac:dyDescent="0.3">
      <c r="Q212" t="s">
        <v>45</v>
      </c>
      <c r="R212" t="s">
        <v>105</v>
      </c>
      <c r="S212" t="s">
        <v>189</v>
      </c>
      <c r="T212">
        <v>12372</v>
      </c>
      <c r="U212">
        <v>0</v>
      </c>
      <c r="V212">
        <f t="shared" si="16"/>
        <v>2023</v>
      </c>
      <c r="W212">
        <f t="shared" si="17"/>
        <v>11</v>
      </c>
      <c r="X212" t="str">
        <f t="shared" si="18"/>
        <v>2023-11</v>
      </c>
    </row>
    <row r="213" spans="17:24" x14ac:dyDescent="0.3">
      <c r="Q213" t="s">
        <v>50</v>
      </c>
      <c r="R213" t="s">
        <v>36</v>
      </c>
      <c r="S213" t="s">
        <v>189</v>
      </c>
      <c r="T213">
        <v>26671</v>
      </c>
      <c r="U213">
        <v>7</v>
      </c>
      <c r="V213">
        <f t="shared" si="16"/>
        <v>2023</v>
      </c>
      <c r="W213">
        <f t="shared" si="17"/>
        <v>11</v>
      </c>
      <c r="X213" t="str">
        <f t="shared" si="18"/>
        <v>2023-11</v>
      </c>
    </row>
    <row r="214" spans="17:24" x14ac:dyDescent="0.3">
      <c r="Q214" t="s">
        <v>28</v>
      </c>
      <c r="R214" t="s">
        <v>191</v>
      </c>
      <c r="S214" t="s">
        <v>189</v>
      </c>
      <c r="T214">
        <v>76489</v>
      </c>
      <c r="U214">
        <v>7</v>
      </c>
      <c r="V214">
        <f t="shared" si="16"/>
        <v>2023</v>
      </c>
      <c r="W214">
        <f t="shared" si="17"/>
        <v>11</v>
      </c>
      <c r="X214" t="str">
        <f t="shared" si="18"/>
        <v>2023-11</v>
      </c>
    </row>
    <row r="215" spans="17:24" x14ac:dyDescent="0.3">
      <c r="Q215" t="s">
        <v>21</v>
      </c>
      <c r="R215" t="s">
        <v>192</v>
      </c>
      <c r="S215" t="s">
        <v>189</v>
      </c>
      <c r="T215">
        <v>66482</v>
      </c>
      <c r="U215">
        <v>7</v>
      </c>
      <c r="V215">
        <f t="shared" si="16"/>
        <v>2023</v>
      </c>
      <c r="W215">
        <f t="shared" si="17"/>
        <v>11</v>
      </c>
      <c r="X215" t="str">
        <f t="shared" si="18"/>
        <v>2023-11</v>
      </c>
    </row>
    <row r="216" spans="17:24" x14ac:dyDescent="0.3">
      <c r="Q216" t="s">
        <v>18</v>
      </c>
      <c r="R216" t="s">
        <v>193</v>
      </c>
      <c r="S216" t="s">
        <v>189</v>
      </c>
      <c r="T216">
        <v>97651</v>
      </c>
      <c r="U216">
        <v>6</v>
      </c>
      <c r="V216">
        <f t="shared" si="16"/>
        <v>2023</v>
      </c>
      <c r="W216">
        <f t="shared" si="17"/>
        <v>11</v>
      </c>
      <c r="X216" t="str">
        <f t="shared" si="18"/>
        <v>2023-11</v>
      </c>
    </row>
    <row r="217" spans="17:24" x14ac:dyDescent="0.3">
      <c r="Q217" t="s">
        <v>18</v>
      </c>
      <c r="R217" t="s">
        <v>140</v>
      </c>
      <c r="S217" t="s">
        <v>189</v>
      </c>
      <c r="T217">
        <v>42670</v>
      </c>
      <c r="U217">
        <v>8</v>
      </c>
      <c r="V217">
        <f t="shared" si="16"/>
        <v>2023</v>
      </c>
      <c r="W217">
        <f t="shared" si="17"/>
        <v>11</v>
      </c>
      <c r="X217" t="str">
        <f t="shared" si="18"/>
        <v>2023-11</v>
      </c>
    </row>
    <row r="218" spans="17:24" x14ac:dyDescent="0.3">
      <c r="Q218" t="s">
        <v>21</v>
      </c>
      <c r="R218" t="s">
        <v>194</v>
      </c>
      <c r="S218" t="s">
        <v>189</v>
      </c>
      <c r="T218">
        <v>49858</v>
      </c>
      <c r="U218">
        <v>4</v>
      </c>
      <c r="V218">
        <f t="shared" si="16"/>
        <v>2023</v>
      </c>
      <c r="W218">
        <f t="shared" si="17"/>
        <v>11</v>
      </c>
      <c r="X218" t="str">
        <f t="shared" si="18"/>
        <v>2023-11</v>
      </c>
    </row>
    <row r="219" spans="17:24" x14ac:dyDescent="0.3">
      <c r="Q219" t="s">
        <v>5</v>
      </c>
      <c r="R219" t="s">
        <v>195</v>
      </c>
      <c r="S219" t="s">
        <v>189</v>
      </c>
      <c r="T219">
        <v>74989</v>
      </c>
      <c r="U219">
        <v>5</v>
      </c>
      <c r="V219">
        <f t="shared" si="16"/>
        <v>2023</v>
      </c>
      <c r="W219">
        <f t="shared" si="17"/>
        <v>11</v>
      </c>
      <c r="X219" t="str">
        <f t="shared" si="18"/>
        <v>2023-11</v>
      </c>
    </row>
    <row r="220" spans="17:24" x14ac:dyDescent="0.3">
      <c r="Q220" t="s">
        <v>18</v>
      </c>
      <c r="R220" t="s">
        <v>24</v>
      </c>
      <c r="S220" t="s">
        <v>196</v>
      </c>
      <c r="T220">
        <v>99722</v>
      </c>
      <c r="U220">
        <v>10</v>
      </c>
      <c r="V220">
        <f t="shared" si="16"/>
        <v>2023</v>
      </c>
      <c r="W220">
        <f t="shared" si="17"/>
        <v>11</v>
      </c>
      <c r="X220" t="str">
        <f t="shared" si="18"/>
        <v>2023-11</v>
      </c>
    </row>
    <row r="221" spans="17:24" x14ac:dyDescent="0.3">
      <c r="Q221" t="s">
        <v>14</v>
      </c>
      <c r="R221" t="s">
        <v>32</v>
      </c>
      <c r="S221" t="s">
        <v>196</v>
      </c>
      <c r="T221">
        <v>52706</v>
      </c>
      <c r="U221">
        <v>7</v>
      </c>
      <c r="V221">
        <f t="shared" si="16"/>
        <v>2023</v>
      </c>
      <c r="W221">
        <f t="shared" si="17"/>
        <v>11</v>
      </c>
      <c r="X221" t="str">
        <f t="shared" si="18"/>
        <v>2023-11</v>
      </c>
    </row>
    <row r="222" spans="17:24" x14ac:dyDescent="0.3">
      <c r="Q222" t="s">
        <v>40</v>
      </c>
      <c r="R222" t="s">
        <v>197</v>
      </c>
      <c r="S222" t="s">
        <v>198</v>
      </c>
      <c r="T222">
        <v>53585</v>
      </c>
      <c r="U222">
        <v>4</v>
      </c>
      <c r="V222">
        <f t="shared" si="16"/>
        <v>2023</v>
      </c>
      <c r="W222">
        <f t="shared" si="17"/>
        <v>11</v>
      </c>
      <c r="X222" t="str">
        <f t="shared" si="18"/>
        <v>2023-11</v>
      </c>
    </row>
    <row r="223" spans="17:24" x14ac:dyDescent="0.3">
      <c r="Q223" t="s">
        <v>21</v>
      </c>
      <c r="R223" t="s">
        <v>199</v>
      </c>
      <c r="S223" t="s">
        <v>198</v>
      </c>
      <c r="T223">
        <v>86902</v>
      </c>
      <c r="U223">
        <v>5</v>
      </c>
      <c r="V223">
        <f t="shared" si="16"/>
        <v>2023</v>
      </c>
      <c r="W223">
        <f t="shared" si="17"/>
        <v>11</v>
      </c>
      <c r="X223" t="str">
        <f t="shared" si="18"/>
        <v>2023-11</v>
      </c>
    </row>
    <row r="224" spans="17:24" x14ac:dyDescent="0.3">
      <c r="Q224" t="s">
        <v>21</v>
      </c>
      <c r="R224" t="s">
        <v>200</v>
      </c>
      <c r="S224" t="s">
        <v>198</v>
      </c>
      <c r="T224">
        <v>71721</v>
      </c>
      <c r="U224">
        <v>9</v>
      </c>
      <c r="V224">
        <f t="shared" si="16"/>
        <v>2023</v>
      </c>
      <c r="W224">
        <f t="shared" si="17"/>
        <v>11</v>
      </c>
      <c r="X224" t="str">
        <f t="shared" si="18"/>
        <v>2023-11</v>
      </c>
    </row>
    <row r="225" spans="17:24" x14ac:dyDescent="0.3">
      <c r="Q225" t="s">
        <v>50</v>
      </c>
      <c r="R225" t="s">
        <v>190</v>
      </c>
      <c r="S225" t="s">
        <v>198</v>
      </c>
      <c r="T225">
        <v>54607</v>
      </c>
      <c r="U225">
        <v>5</v>
      </c>
      <c r="V225">
        <f t="shared" si="16"/>
        <v>2023</v>
      </c>
      <c r="W225">
        <f t="shared" si="17"/>
        <v>11</v>
      </c>
      <c r="X225" t="str">
        <f t="shared" si="18"/>
        <v>2023-11</v>
      </c>
    </row>
    <row r="226" spans="17:24" x14ac:dyDescent="0.3">
      <c r="Q226" t="s">
        <v>10</v>
      </c>
      <c r="R226" t="s">
        <v>6</v>
      </c>
      <c r="S226" t="s">
        <v>201</v>
      </c>
      <c r="T226">
        <v>84692</v>
      </c>
      <c r="U226">
        <v>7</v>
      </c>
      <c r="V226">
        <f t="shared" si="16"/>
        <v>2023</v>
      </c>
      <c r="W226">
        <f t="shared" si="17"/>
        <v>11</v>
      </c>
      <c r="X226" t="str">
        <f t="shared" si="18"/>
        <v>2023-11</v>
      </c>
    </row>
    <row r="227" spans="17:24" x14ac:dyDescent="0.3">
      <c r="Q227" t="s">
        <v>5</v>
      </c>
      <c r="R227" t="s">
        <v>190</v>
      </c>
      <c r="S227" t="s">
        <v>201</v>
      </c>
      <c r="T227">
        <v>52177</v>
      </c>
      <c r="U227">
        <v>5</v>
      </c>
      <c r="V227">
        <f t="shared" si="16"/>
        <v>2023</v>
      </c>
      <c r="W227">
        <f t="shared" si="17"/>
        <v>11</v>
      </c>
      <c r="X227" t="str">
        <f t="shared" si="18"/>
        <v>2023-11</v>
      </c>
    </row>
    <row r="228" spans="17:24" x14ac:dyDescent="0.3">
      <c r="Q228" t="s">
        <v>12</v>
      </c>
      <c r="R228" t="s">
        <v>202</v>
      </c>
      <c r="S228" t="s">
        <v>201</v>
      </c>
      <c r="T228">
        <v>85341</v>
      </c>
      <c r="U228">
        <v>8</v>
      </c>
      <c r="V228">
        <f t="shared" si="16"/>
        <v>2023</v>
      </c>
      <c r="W228">
        <f t="shared" si="17"/>
        <v>11</v>
      </c>
      <c r="X228" t="str">
        <f t="shared" si="18"/>
        <v>2023-11</v>
      </c>
    </row>
    <row r="229" spans="17:24" x14ac:dyDescent="0.3">
      <c r="Q229" t="s">
        <v>5</v>
      </c>
      <c r="R229" t="s">
        <v>9</v>
      </c>
      <c r="S229" t="s">
        <v>201</v>
      </c>
      <c r="T229">
        <v>51725</v>
      </c>
      <c r="U229">
        <v>10</v>
      </c>
      <c r="V229">
        <f t="shared" si="16"/>
        <v>2023</v>
      </c>
      <c r="W229">
        <f t="shared" si="17"/>
        <v>11</v>
      </c>
      <c r="X229" t="str">
        <f t="shared" si="18"/>
        <v>2023-11</v>
      </c>
    </row>
    <row r="230" spans="17:24" x14ac:dyDescent="0.3">
      <c r="Q230" t="s">
        <v>40</v>
      </c>
      <c r="R230" t="s">
        <v>70</v>
      </c>
      <c r="S230" t="s">
        <v>201</v>
      </c>
      <c r="T230">
        <v>62156</v>
      </c>
      <c r="U230">
        <v>6</v>
      </c>
      <c r="V230">
        <f t="shared" si="16"/>
        <v>2023</v>
      </c>
      <c r="W230">
        <f t="shared" si="17"/>
        <v>11</v>
      </c>
      <c r="X230" t="str">
        <f t="shared" si="18"/>
        <v>2023-11</v>
      </c>
    </row>
    <row r="231" spans="17:24" x14ac:dyDescent="0.3">
      <c r="Q231" t="s">
        <v>5</v>
      </c>
      <c r="R231" t="s">
        <v>203</v>
      </c>
      <c r="S231" t="s">
        <v>204</v>
      </c>
      <c r="T231">
        <v>85226</v>
      </c>
      <c r="U231">
        <v>6</v>
      </c>
      <c r="V231">
        <f t="shared" si="16"/>
        <v>2023</v>
      </c>
      <c r="W231">
        <f t="shared" si="17"/>
        <v>11</v>
      </c>
      <c r="X231" t="str">
        <f t="shared" si="18"/>
        <v>2023-11</v>
      </c>
    </row>
    <row r="232" spans="17:24" x14ac:dyDescent="0.3">
      <c r="Q232" t="s">
        <v>10</v>
      </c>
      <c r="R232" t="s">
        <v>205</v>
      </c>
      <c r="S232" t="s">
        <v>206</v>
      </c>
      <c r="T232">
        <v>98728</v>
      </c>
      <c r="U232">
        <v>5</v>
      </c>
      <c r="V232">
        <f t="shared" si="16"/>
        <v>2023</v>
      </c>
      <c r="W232">
        <f t="shared" si="17"/>
        <v>11</v>
      </c>
      <c r="X232" t="str">
        <f t="shared" si="18"/>
        <v>2023-11</v>
      </c>
    </row>
    <row r="233" spans="17:24" x14ac:dyDescent="0.3">
      <c r="Q233" t="s">
        <v>45</v>
      </c>
      <c r="R233" t="s">
        <v>152</v>
      </c>
      <c r="S233" t="s">
        <v>206</v>
      </c>
      <c r="T233">
        <v>45167</v>
      </c>
      <c r="U233">
        <v>9</v>
      </c>
      <c r="V233">
        <f t="shared" si="16"/>
        <v>2023</v>
      </c>
      <c r="W233">
        <f t="shared" si="17"/>
        <v>11</v>
      </c>
      <c r="X233" t="str">
        <f t="shared" si="18"/>
        <v>2023-11</v>
      </c>
    </row>
    <row r="234" spans="17:24" x14ac:dyDescent="0.3">
      <c r="Q234" t="s">
        <v>50</v>
      </c>
      <c r="R234" t="s">
        <v>207</v>
      </c>
      <c r="S234" t="s">
        <v>206</v>
      </c>
      <c r="T234">
        <v>98204</v>
      </c>
      <c r="U234">
        <v>7</v>
      </c>
      <c r="V234">
        <f t="shared" si="16"/>
        <v>2023</v>
      </c>
      <c r="W234">
        <f t="shared" si="17"/>
        <v>11</v>
      </c>
      <c r="X234" t="str">
        <f t="shared" si="18"/>
        <v>2023-11</v>
      </c>
    </row>
    <row r="235" spans="17:24" x14ac:dyDescent="0.3">
      <c r="Q235" t="s">
        <v>5</v>
      </c>
      <c r="R235" t="s">
        <v>208</v>
      </c>
      <c r="S235" t="s">
        <v>206</v>
      </c>
      <c r="T235">
        <v>22089</v>
      </c>
      <c r="U235">
        <v>4</v>
      </c>
      <c r="V235">
        <f t="shared" si="16"/>
        <v>2023</v>
      </c>
      <c r="W235">
        <f t="shared" si="17"/>
        <v>11</v>
      </c>
      <c r="X235" t="str">
        <f t="shared" si="18"/>
        <v>2023-11</v>
      </c>
    </row>
    <row r="236" spans="17:24" x14ac:dyDescent="0.3">
      <c r="Q236" t="s">
        <v>12</v>
      </c>
      <c r="R236" t="s">
        <v>209</v>
      </c>
      <c r="S236" t="s">
        <v>206</v>
      </c>
      <c r="T236">
        <v>96793</v>
      </c>
      <c r="U236">
        <v>6</v>
      </c>
      <c r="V236">
        <f t="shared" si="16"/>
        <v>2023</v>
      </c>
      <c r="W236">
        <f t="shared" si="17"/>
        <v>11</v>
      </c>
      <c r="X236" t="str">
        <f t="shared" si="18"/>
        <v>2023-11</v>
      </c>
    </row>
    <row r="237" spans="17:24" x14ac:dyDescent="0.3">
      <c r="Q237" t="s">
        <v>5</v>
      </c>
      <c r="R237" t="s">
        <v>20</v>
      </c>
      <c r="S237" t="s">
        <v>206</v>
      </c>
      <c r="T237">
        <v>58087</v>
      </c>
      <c r="U237">
        <v>4</v>
      </c>
      <c r="V237">
        <f t="shared" si="16"/>
        <v>2023</v>
      </c>
      <c r="W237">
        <f t="shared" si="17"/>
        <v>11</v>
      </c>
      <c r="X237" t="str">
        <f t="shared" si="18"/>
        <v>2023-11</v>
      </c>
    </row>
    <row r="238" spans="17:24" x14ac:dyDescent="0.3">
      <c r="Q238" t="s">
        <v>50</v>
      </c>
      <c r="R238" t="s">
        <v>154</v>
      </c>
      <c r="S238" t="s">
        <v>206</v>
      </c>
      <c r="T238">
        <v>97014</v>
      </c>
      <c r="U238">
        <v>7</v>
      </c>
      <c r="V238">
        <f t="shared" si="16"/>
        <v>2023</v>
      </c>
      <c r="W238">
        <f t="shared" si="17"/>
        <v>11</v>
      </c>
      <c r="X238" t="str">
        <f t="shared" si="18"/>
        <v>2023-11</v>
      </c>
    </row>
    <row r="239" spans="17:24" x14ac:dyDescent="0.3">
      <c r="Q239" t="s">
        <v>12</v>
      </c>
      <c r="R239" t="s">
        <v>110</v>
      </c>
      <c r="S239" t="s">
        <v>206</v>
      </c>
      <c r="T239">
        <v>91105</v>
      </c>
      <c r="U239">
        <v>10</v>
      </c>
      <c r="V239">
        <f t="shared" si="16"/>
        <v>2023</v>
      </c>
      <c r="W239">
        <f t="shared" si="17"/>
        <v>11</v>
      </c>
      <c r="X239" t="str">
        <f t="shared" si="18"/>
        <v>2023-11</v>
      </c>
    </row>
    <row r="240" spans="17:24" x14ac:dyDescent="0.3">
      <c r="Q240" t="s">
        <v>10</v>
      </c>
      <c r="R240" t="s">
        <v>210</v>
      </c>
      <c r="S240" t="s">
        <v>211</v>
      </c>
      <c r="T240">
        <v>77618</v>
      </c>
      <c r="U240">
        <v>6</v>
      </c>
      <c r="V240">
        <f t="shared" si="16"/>
        <v>2023</v>
      </c>
      <c r="W240">
        <f t="shared" si="17"/>
        <v>11</v>
      </c>
      <c r="X240" t="str">
        <f t="shared" si="18"/>
        <v>2023-11</v>
      </c>
    </row>
    <row r="241" spans="17:24" x14ac:dyDescent="0.3">
      <c r="Q241" t="s">
        <v>50</v>
      </c>
      <c r="R241" t="s">
        <v>83</v>
      </c>
      <c r="S241" t="s">
        <v>211</v>
      </c>
      <c r="T241">
        <v>90017</v>
      </c>
      <c r="U241">
        <v>5</v>
      </c>
      <c r="V241">
        <f t="shared" si="16"/>
        <v>2023</v>
      </c>
      <c r="W241">
        <f t="shared" si="17"/>
        <v>11</v>
      </c>
      <c r="X241" t="str">
        <f t="shared" si="18"/>
        <v>2023-11</v>
      </c>
    </row>
    <row r="242" spans="17:24" x14ac:dyDescent="0.3">
      <c r="Q242" t="s">
        <v>28</v>
      </c>
      <c r="R242" t="s">
        <v>185</v>
      </c>
      <c r="S242" t="s">
        <v>211</v>
      </c>
      <c r="T242">
        <v>72241</v>
      </c>
      <c r="U242">
        <v>3</v>
      </c>
      <c r="V242">
        <f t="shared" si="16"/>
        <v>2023</v>
      </c>
      <c r="W242">
        <f t="shared" si="17"/>
        <v>11</v>
      </c>
      <c r="X242" t="str">
        <f t="shared" si="18"/>
        <v>2023-11</v>
      </c>
    </row>
    <row r="243" spans="17:24" x14ac:dyDescent="0.3">
      <c r="Q243" t="s">
        <v>14</v>
      </c>
      <c r="R243" t="s">
        <v>51</v>
      </c>
      <c r="S243" t="s">
        <v>212</v>
      </c>
      <c r="T243">
        <v>90972</v>
      </c>
      <c r="U243">
        <v>7</v>
      </c>
      <c r="V243">
        <f t="shared" si="16"/>
        <v>2023</v>
      </c>
      <c r="W243">
        <f t="shared" si="17"/>
        <v>11</v>
      </c>
      <c r="X243" t="str">
        <f t="shared" si="18"/>
        <v>2023-11</v>
      </c>
    </row>
    <row r="244" spans="17:24" x14ac:dyDescent="0.3">
      <c r="Q244" t="s">
        <v>28</v>
      </c>
      <c r="R244" t="s">
        <v>174</v>
      </c>
      <c r="S244" t="s">
        <v>212</v>
      </c>
      <c r="T244">
        <v>20618</v>
      </c>
      <c r="U244">
        <v>8</v>
      </c>
      <c r="V244">
        <f t="shared" si="16"/>
        <v>2023</v>
      </c>
      <c r="W244">
        <f t="shared" si="17"/>
        <v>11</v>
      </c>
      <c r="X244" t="str">
        <f t="shared" si="18"/>
        <v>2023-11</v>
      </c>
    </row>
    <row r="245" spans="17:24" x14ac:dyDescent="0.3">
      <c r="Q245" t="s">
        <v>47</v>
      </c>
      <c r="R245" t="s">
        <v>167</v>
      </c>
      <c r="S245" t="s">
        <v>212</v>
      </c>
      <c r="T245">
        <v>89105</v>
      </c>
      <c r="U245">
        <v>4</v>
      </c>
      <c r="V245">
        <f t="shared" si="16"/>
        <v>2023</v>
      </c>
      <c r="W245">
        <f t="shared" si="17"/>
        <v>11</v>
      </c>
      <c r="X245" t="str">
        <f t="shared" si="18"/>
        <v>2023-11</v>
      </c>
    </row>
    <row r="246" spans="17:24" x14ac:dyDescent="0.3">
      <c r="Q246" t="s">
        <v>50</v>
      </c>
      <c r="R246" t="s">
        <v>127</v>
      </c>
      <c r="S246" t="s">
        <v>213</v>
      </c>
      <c r="T246">
        <v>50342</v>
      </c>
      <c r="U246">
        <v>8</v>
      </c>
      <c r="V246">
        <f t="shared" si="16"/>
        <v>2023</v>
      </c>
      <c r="W246">
        <f t="shared" si="17"/>
        <v>11</v>
      </c>
      <c r="X246" t="str">
        <f t="shared" si="18"/>
        <v>2023-11</v>
      </c>
    </row>
    <row r="247" spans="17:24" x14ac:dyDescent="0.3">
      <c r="Q247" t="s">
        <v>45</v>
      </c>
      <c r="R247" t="s">
        <v>214</v>
      </c>
      <c r="S247" t="s">
        <v>213</v>
      </c>
      <c r="T247">
        <v>40117</v>
      </c>
      <c r="U247">
        <v>6</v>
      </c>
      <c r="V247">
        <f t="shared" si="16"/>
        <v>2023</v>
      </c>
      <c r="W247">
        <f t="shared" si="17"/>
        <v>11</v>
      </c>
      <c r="X247" t="str">
        <f t="shared" si="18"/>
        <v>2023-11</v>
      </c>
    </row>
    <row r="248" spans="17:24" x14ac:dyDescent="0.3">
      <c r="Q248" t="s">
        <v>50</v>
      </c>
      <c r="R248" t="s">
        <v>169</v>
      </c>
      <c r="S248" t="s">
        <v>215</v>
      </c>
      <c r="T248">
        <v>91189</v>
      </c>
      <c r="U248">
        <v>5</v>
      </c>
      <c r="V248">
        <f t="shared" si="16"/>
        <v>2023</v>
      </c>
      <c r="W248">
        <f t="shared" si="17"/>
        <v>11</v>
      </c>
      <c r="X248" t="str">
        <f t="shared" si="18"/>
        <v>2023-11</v>
      </c>
    </row>
    <row r="249" spans="17:24" x14ac:dyDescent="0.3">
      <c r="Q249" t="s">
        <v>40</v>
      </c>
      <c r="R249" t="s">
        <v>63</v>
      </c>
      <c r="S249" t="s">
        <v>215</v>
      </c>
      <c r="T249">
        <v>29974</v>
      </c>
      <c r="U249">
        <v>7</v>
      </c>
      <c r="V249">
        <f t="shared" si="16"/>
        <v>2023</v>
      </c>
      <c r="W249">
        <f t="shared" si="17"/>
        <v>11</v>
      </c>
      <c r="X249" t="str">
        <f t="shared" si="18"/>
        <v>2023-11</v>
      </c>
    </row>
    <row r="250" spans="17:24" x14ac:dyDescent="0.3">
      <c r="Q250" t="s">
        <v>45</v>
      </c>
      <c r="R250" t="s">
        <v>107</v>
      </c>
      <c r="S250" t="s">
        <v>215</v>
      </c>
      <c r="T250">
        <v>39078</v>
      </c>
      <c r="U250">
        <v>5</v>
      </c>
      <c r="V250">
        <f t="shared" si="16"/>
        <v>2023</v>
      </c>
      <c r="W250">
        <f t="shared" si="17"/>
        <v>11</v>
      </c>
      <c r="X250" t="str">
        <f t="shared" si="18"/>
        <v>2023-11</v>
      </c>
    </row>
    <row r="251" spans="17:24" x14ac:dyDescent="0.3">
      <c r="Q251" t="s">
        <v>8</v>
      </c>
      <c r="R251" t="s">
        <v>180</v>
      </c>
      <c r="S251" t="s">
        <v>216</v>
      </c>
      <c r="T251">
        <v>60727</v>
      </c>
      <c r="U251">
        <v>3</v>
      </c>
      <c r="V251">
        <f t="shared" si="16"/>
        <v>2023</v>
      </c>
      <c r="W251">
        <f t="shared" si="17"/>
        <v>11</v>
      </c>
      <c r="X251" t="str">
        <f t="shared" si="18"/>
        <v>2023-11</v>
      </c>
    </row>
    <row r="252" spans="17:24" x14ac:dyDescent="0.3">
      <c r="Q252" t="s">
        <v>12</v>
      </c>
      <c r="R252" t="s">
        <v>70</v>
      </c>
      <c r="S252" t="s">
        <v>216</v>
      </c>
      <c r="T252">
        <v>79966</v>
      </c>
      <c r="U252">
        <v>3</v>
      </c>
      <c r="V252">
        <f t="shared" si="16"/>
        <v>2023</v>
      </c>
      <c r="W252">
        <f t="shared" si="17"/>
        <v>11</v>
      </c>
      <c r="X252" t="str">
        <f t="shared" si="18"/>
        <v>2023-11</v>
      </c>
    </row>
    <row r="253" spans="17:24" x14ac:dyDescent="0.3">
      <c r="Q253" t="s">
        <v>14</v>
      </c>
      <c r="R253" t="s">
        <v>54</v>
      </c>
      <c r="S253" t="s">
        <v>216</v>
      </c>
      <c r="T253">
        <v>47867</v>
      </c>
      <c r="U253">
        <v>7</v>
      </c>
      <c r="V253">
        <f t="shared" si="16"/>
        <v>2023</v>
      </c>
      <c r="W253">
        <f t="shared" si="17"/>
        <v>11</v>
      </c>
      <c r="X253" t="str">
        <f t="shared" si="18"/>
        <v>2023-11</v>
      </c>
    </row>
    <row r="254" spans="17:24" x14ac:dyDescent="0.3">
      <c r="Q254" t="s">
        <v>21</v>
      </c>
      <c r="R254" t="s">
        <v>147</v>
      </c>
      <c r="S254" t="s">
        <v>216</v>
      </c>
      <c r="T254">
        <v>32063</v>
      </c>
      <c r="U254">
        <v>1</v>
      </c>
      <c r="V254">
        <f t="shared" si="16"/>
        <v>2023</v>
      </c>
      <c r="W254">
        <f t="shared" si="17"/>
        <v>11</v>
      </c>
      <c r="X254" t="str">
        <f t="shared" si="18"/>
        <v>2023-11</v>
      </c>
    </row>
    <row r="255" spans="17:24" x14ac:dyDescent="0.3">
      <c r="Q255" t="s">
        <v>45</v>
      </c>
      <c r="R255" t="s">
        <v>217</v>
      </c>
      <c r="S255" t="s">
        <v>216</v>
      </c>
      <c r="T255">
        <v>86350</v>
      </c>
      <c r="U255">
        <v>2</v>
      </c>
      <c r="V255">
        <f t="shared" si="16"/>
        <v>2023</v>
      </c>
      <c r="W255">
        <f t="shared" si="17"/>
        <v>11</v>
      </c>
      <c r="X255" t="str">
        <f t="shared" si="18"/>
        <v>2023-11</v>
      </c>
    </row>
    <row r="256" spans="17:24" x14ac:dyDescent="0.3">
      <c r="Q256" t="s">
        <v>50</v>
      </c>
      <c r="R256" t="s">
        <v>34</v>
      </c>
      <c r="S256" t="s">
        <v>216</v>
      </c>
      <c r="T256">
        <v>79305</v>
      </c>
      <c r="U256">
        <v>10</v>
      </c>
      <c r="V256">
        <f t="shared" si="16"/>
        <v>2023</v>
      </c>
      <c r="W256">
        <f t="shared" si="17"/>
        <v>11</v>
      </c>
      <c r="X256" t="str">
        <f t="shared" si="18"/>
        <v>2023-11</v>
      </c>
    </row>
    <row r="257" spans="17:24" x14ac:dyDescent="0.3">
      <c r="Q257" t="s">
        <v>10</v>
      </c>
      <c r="R257" t="s">
        <v>69</v>
      </c>
      <c r="S257" t="s">
        <v>216</v>
      </c>
      <c r="T257">
        <v>78092</v>
      </c>
      <c r="U257">
        <v>5</v>
      </c>
      <c r="V257">
        <f t="shared" si="16"/>
        <v>2023</v>
      </c>
      <c r="W257">
        <f t="shared" si="17"/>
        <v>11</v>
      </c>
      <c r="X257" t="str">
        <f t="shared" si="18"/>
        <v>2023-11</v>
      </c>
    </row>
    <row r="258" spans="17:24" x14ac:dyDescent="0.3">
      <c r="Q258" t="s">
        <v>47</v>
      </c>
      <c r="R258" t="s">
        <v>105</v>
      </c>
      <c r="S258" t="s">
        <v>218</v>
      </c>
      <c r="T258">
        <v>44138</v>
      </c>
      <c r="U258">
        <v>1</v>
      </c>
      <c r="V258">
        <f t="shared" si="16"/>
        <v>2023</v>
      </c>
      <c r="W258">
        <f t="shared" si="17"/>
        <v>11</v>
      </c>
      <c r="X258" t="str">
        <f t="shared" si="18"/>
        <v>2023-11</v>
      </c>
    </row>
    <row r="259" spans="17:24" x14ac:dyDescent="0.3">
      <c r="Q259" t="s">
        <v>10</v>
      </c>
      <c r="R259" t="s">
        <v>144</v>
      </c>
      <c r="S259" t="s">
        <v>218</v>
      </c>
      <c r="T259">
        <v>36596</v>
      </c>
      <c r="U259">
        <v>5</v>
      </c>
      <c r="V259">
        <f t="shared" ref="V259:V322" si="19">YEAR(S259)</f>
        <v>2023</v>
      </c>
      <c r="W259">
        <f t="shared" ref="W259:W322" si="20">MONTH(S259)</f>
        <v>11</v>
      </c>
      <c r="X259" t="str">
        <f t="shared" ref="X259:X322" si="21">V259&amp;"-"&amp;W259</f>
        <v>2023-11</v>
      </c>
    </row>
    <row r="260" spans="17:24" x14ac:dyDescent="0.3">
      <c r="Q260" t="s">
        <v>14</v>
      </c>
      <c r="R260" t="s">
        <v>191</v>
      </c>
      <c r="S260" t="s">
        <v>218</v>
      </c>
      <c r="T260">
        <v>80082</v>
      </c>
      <c r="U260">
        <v>5</v>
      </c>
      <c r="V260">
        <f t="shared" si="19"/>
        <v>2023</v>
      </c>
      <c r="W260">
        <f t="shared" si="20"/>
        <v>11</v>
      </c>
      <c r="X260" t="str">
        <f t="shared" si="21"/>
        <v>2023-11</v>
      </c>
    </row>
    <row r="261" spans="17:24" x14ac:dyDescent="0.3">
      <c r="Q261" t="s">
        <v>28</v>
      </c>
      <c r="R261" t="s">
        <v>199</v>
      </c>
      <c r="S261" t="s">
        <v>218</v>
      </c>
      <c r="T261">
        <v>64423</v>
      </c>
      <c r="U261">
        <v>7</v>
      </c>
      <c r="V261">
        <f t="shared" si="19"/>
        <v>2023</v>
      </c>
      <c r="W261">
        <f t="shared" si="20"/>
        <v>11</v>
      </c>
      <c r="X261" t="str">
        <f t="shared" si="21"/>
        <v>2023-11</v>
      </c>
    </row>
    <row r="262" spans="17:24" x14ac:dyDescent="0.3">
      <c r="Q262" t="s">
        <v>12</v>
      </c>
      <c r="R262" t="s">
        <v>66</v>
      </c>
      <c r="S262" t="s">
        <v>219</v>
      </c>
      <c r="T262">
        <v>44555</v>
      </c>
      <c r="U262">
        <v>5</v>
      </c>
      <c r="V262">
        <f t="shared" si="19"/>
        <v>2023</v>
      </c>
      <c r="W262">
        <f t="shared" si="20"/>
        <v>11</v>
      </c>
      <c r="X262" t="str">
        <f t="shared" si="21"/>
        <v>2023-11</v>
      </c>
    </row>
    <row r="263" spans="17:24" x14ac:dyDescent="0.3">
      <c r="Q263" t="s">
        <v>8</v>
      </c>
      <c r="R263" t="s">
        <v>186</v>
      </c>
      <c r="S263" t="s">
        <v>219</v>
      </c>
      <c r="T263">
        <v>12431</v>
      </c>
      <c r="U263">
        <v>9</v>
      </c>
      <c r="V263">
        <f t="shared" si="19"/>
        <v>2023</v>
      </c>
      <c r="W263">
        <f t="shared" si="20"/>
        <v>11</v>
      </c>
      <c r="X263" t="str">
        <f t="shared" si="21"/>
        <v>2023-11</v>
      </c>
    </row>
    <row r="264" spans="17:24" x14ac:dyDescent="0.3">
      <c r="Q264" t="s">
        <v>12</v>
      </c>
      <c r="R264" t="s">
        <v>27</v>
      </c>
      <c r="S264" t="s">
        <v>220</v>
      </c>
      <c r="T264">
        <v>61682</v>
      </c>
      <c r="U264">
        <v>7</v>
      </c>
      <c r="V264">
        <f t="shared" si="19"/>
        <v>2023</v>
      </c>
      <c r="W264">
        <f t="shared" si="20"/>
        <v>11</v>
      </c>
      <c r="X264" t="str">
        <f t="shared" si="21"/>
        <v>2023-11</v>
      </c>
    </row>
    <row r="265" spans="17:24" x14ac:dyDescent="0.3">
      <c r="Q265" t="s">
        <v>10</v>
      </c>
      <c r="R265" t="s">
        <v>221</v>
      </c>
      <c r="S265" t="s">
        <v>220</v>
      </c>
      <c r="T265">
        <v>42111</v>
      </c>
      <c r="U265">
        <v>1</v>
      </c>
      <c r="V265">
        <f t="shared" si="19"/>
        <v>2023</v>
      </c>
      <c r="W265">
        <f t="shared" si="20"/>
        <v>11</v>
      </c>
      <c r="X265" t="str">
        <f t="shared" si="21"/>
        <v>2023-11</v>
      </c>
    </row>
    <row r="266" spans="17:24" x14ac:dyDescent="0.3">
      <c r="Q266" t="s">
        <v>18</v>
      </c>
      <c r="R266" t="s">
        <v>90</v>
      </c>
      <c r="S266" t="s">
        <v>220</v>
      </c>
      <c r="T266">
        <v>23832</v>
      </c>
      <c r="U266">
        <v>6</v>
      </c>
      <c r="V266">
        <f t="shared" si="19"/>
        <v>2023</v>
      </c>
      <c r="W266">
        <f t="shared" si="20"/>
        <v>11</v>
      </c>
      <c r="X266" t="str">
        <f t="shared" si="21"/>
        <v>2023-11</v>
      </c>
    </row>
    <row r="267" spans="17:24" x14ac:dyDescent="0.3">
      <c r="Q267" t="s">
        <v>8</v>
      </c>
      <c r="R267" t="s">
        <v>183</v>
      </c>
      <c r="S267" t="s">
        <v>220</v>
      </c>
      <c r="T267">
        <v>73139</v>
      </c>
      <c r="U267">
        <v>7</v>
      </c>
      <c r="V267">
        <f t="shared" si="19"/>
        <v>2023</v>
      </c>
      <c r="W267">
        <f t="shared" si="20"/>
        <v>11</v>
      </c>
      <c r="X267" t="str">
        <f t="shared" si="21"/>
        <v>2023-11</v>
      </c>
    </row>
    <row r="268" spans="17:24" x14ac:dyDescent="0.3">
      <c r="Q268" t="s">
        <v>14</v>
      </c>
      <c r="R268" t="s">
        <v>222</v>
      </c>
      <c r="S268" t="s">
        <v>220</v>
      </c>
      <c r="T268">
        <v>47846</v>
      </c>
      <c r="U268">
        <v>5</v>
      </c>
      <c r="V268">
        <f t="shared" si="19"/>
        <v>2023</v>
      </c>
      <c r="W268">
        <f t="shared" si="20"/>
        <v>11</v>
      </c>
      <c r="X268" t="str">
        <f t="shared" si="21"/>
        <v>2023-11</v>
      </c>
    </row>
    <row r="269" spans="17:24" x14ac:dyDescent="0.3">
      <c r="Q269" t="s">
        <v>50</v>
      </c>
      <c r="R269" t="s">
        <v>150</v>
      </c>
      <c r="S269" t="s">
        <v>223</v>
      </c>
      <c r="T269">
        <v>70430</v>
      </c>
      <c r="U269">
        <v>6</v>
      </c>
      <c r="V269">
        <f t="shared" si="19"/>
        <v>2023</v>
      </c>
      <c r="W269">
        <f t="shared" si="20"/>
        <v>12</v>
      </c>
      <c r="X269" t="str">
        <f t="shared" si="21"/>
        <v>2023-12</v>
      </c>
    </row>
    <row r="270" spans="17:24" x14ac:dyDescent="0.3">
      <c r="Q270" t="s">
        <v>14</v>
      </c>
      <c r="R270" t="s">
        <v>43</v>
      </c>
      <c r="S270" t="s">
        <v>223</v>
      </c>
      <c r="T270">
        <v>59122</v>
      </c>
      <c r="U270">
        <v>5</v>
      </c>
      <c r="V270">
        <f t="shared" si="19"/>
        <v>2023</v>
      </c>
      <c r="W270">
        <f t="shared" si="20"/>
        <v>12</v>
      </c>
      <c r="X270" t="str">
        <f t="shared" si="21"/>
        <v>2023-12</v>
      </c>
    </row>
    <row r="271" spans="17:24" x14ac:dyDescent="0.3">
      <c r="Q271" t="s">
        <v>45</v>
      </c>
      <c r="R271" t="s">
        <v>89</v>
      </c>
      <c r="S271" t="s">
        <v>224</v>
      </c>
      <c r="T271">
        <v>52240</v>
      </c>
      <c r="U271">
        <v>5</v>
      </c>
      <c r="V271">
        <f t="shared" si="19"/>
        <v>2023</v>
      </c>
      <c r="W271">
        <f t="shared" si="20"/>
        <v>12</v>
      </c>
      <c r="X271" t="str">
        <f t="shared" si="21"/>
        <v>2023-12</v>
      </c>
    </row>
    <row r="272" spans="17:24" x14ac:dyDescent="0.3">
      <c r="Q272" t="s">
        <v>50</v>
      </c>
      <c r="R272" t="s">
        <v>225</v>
      </c>
      <c r="S272" t="s">
        <v>224</v>
      </c>
      <c r="T272">
        <v>52075</v>
      </c>
      <c r="U272">
        <v>8</v>
      </c>
      <c r="V272">
        <f t="shared" si="19"/>
        <v>2023</v>
      </c>
      <c r="W272">
        <f t="shared" si="20"/>
        <v>12</v>
      </c>
      <c r="X272" t="str">
        <f t="shared" si="21"/>
        <v>2023-12</v>
      </c>
    </row>
    <row r="273" spans="17:24" x14ac:dyDescent="0.3">
      <c r="Q273" t="s">
        <v>8</v>
      </c>
      <c r="R273" t="s">
        <v>178</v>
      </c>
      <c r="S273" t="s">
        <v>224</v>
      </c>
      <c r="T273">
        <v>71832</v>
      </c>
      <c r="U273">
        <v>9</v>
      </c>
      <c r="V273">
        <f t="shared" si="19"/>
        <v>2023</v>
      </c>
      <c r="W273">
        <f t="shared" si="20"/>
        <v>12</v>
      </c>
      <c r="X273" t="str">
        <f t="shared" si="21"/>
        <v>2023-12</v>
      </c>
    </row>
    <row r="274" spans="17:24" x14ac:dyDescent="0.3">
      <c r="Q274" t="s">
        <v>40</v>
      </c>
      <c r="R274" t="s">
        <v>123</v>
      </c>
      <c r="S274" t="s">
        <v>224</v>
      </c>
      <c r="T274">
        <v>65056</v>
      </c>
      <c r="U274">
        <v>7</v>
      </c>
      <c r="V274">
        <f t="shared" si="19"/>
        <v>2023</v>
      </c>
      <c r="W274">
        <f t="shared" si="20"/>
        <v>12</v>
      </c>
      <c r="X274" t="str">
        <f t="shared" si="21"/>
        <v>2023-12</v>
      </c>
    </row>
    <row r="275" spans="17:24" x14ac:dyDescent="0.3">
      <c r="Q275" t="s">
        <v>8</v>
      </c>
      <c r="R275" t="s">
        <v>221</v>
      </c>
      <c r="S275" t="s">
        <v>224</v>
      </c>
      <c r="T275">
        <v>19775</v>
      </c>
      <c r="U275">
        <v>4</v>
      </c>
      <c r="V275">
        <f t="shared" si="19"/>
        <v>2023</v>
      </c>
      <c r="W275">
        <f t="shared" si="20"/>
        <v>12</v>
      </c>
      <c r="X275" t="str">
        <f t="shared" si="21"/>
        <v>2023-12</v>
      </c>
    </row>
    <row r="276" spans="17:24" x14ac:dyDescent="0.3">
      <c r="Q276" t="s">
        <v>5</v>
      </c>
      <c r="R276" t="s">
        <v>154</v>
      </c>
      <c r="S276" t="s">
        <v>224</v>
      </c>
      <c r="T276">
        <v>21432</v>
      </c>
      <c r="U276">
        <v>4</v>
      </c>
      <c r="V276">
        <f t="shared" si="19"/>
        <v>2023</v>
      </c>
      <c r="W276">
        <f t="shared" si="20"/>
        <v>12</v>
      </c>
      <c r="X276" t="str">
        <f t="shared" si="21"/>
        <v>2023-12</v>
      </c>
    </row>
    <row r="277" spans="17:24" x14ac:dyDescent="0.3">
      <c r="Q277" t="s">
        <v>28</v>
      </c>
      <c r="R277" t="s">
        <v>88</v>
      </c>
      <c r="S277" t="s">
        <v>224</v>
      </c>
      <c r="T277">
        <v>60660</v>
      </c>
      <c r="U277">
        <v>6</v>
      </c>
      <c r="V277">
        <f t="shared" si="19"/>
        <v>2023</v>
      </c>
      <c r="W277">
        <f t="shared" si="20"/>
        <v>12</v>
      </c>
      <c r="X277" t="str">
        <f t="shared" si="21"/>
        <v>2023-12</v>
      </c>
    </row>
    <row r="278" spans="17:24" x14ac:dyDescent="0.3">
      <c r="Q278" t="s">
        <v>45</v>
      </c>
      <c r="R278" t="s">
        <v>181</v>
      </c>
      <c r="S278" t="s">
        <v>226</v>
      </c>
      <c r="T278">
        <v>23399</v>
      </c>
      <c r="U278">
        <v>5</v>
      </c>
      <c r="V278">
        <f t="shared" si="19"/>
        <v>2023</v>
      </c>
      <c r="W278">
        <f t="shared" si="20"/>
        <v>12</v>
      </c>
      <c r="X278" t="str">
        <f t="shared" si="21"/>
        <v>2023-12</v>
      </c>
    </row>
    <row r="279" spans="17:24" x14ac:dyDescent="0.3">
      <c r="Q279" t="s">
        <v>45</v>
      </c>
      <c r="R279" t="s">
        <v>205</v>
      </c>
      <c r="S279" t="s">
        <v>226</v>
      </c>
      <c r="T279">
        <v>80152</v>
      </c>
      <c r="U279">
        <v>6</v>
      </c>
      <c r="V279">
        <f t="shared" si="19"/>
        <v>2023</v>
      </c>
      <c r="W279">
        <f t="shared" si="20"/>
        <v>12</v>
      </c>
      <c r="X279" t="str">
        <f t="shared" si="21"/>
        <v>2023-12</v>
      </c>
    </row>
    <row r="280" spans="17:24" x14ac:dyDescent="0.3">
      <c r="Q280" t="s">
        <v>14</v>
      </c>
      <c r="R280" t="s">
        <v>227</v>
      </c>
      <c r="S280" t="s">
        <v>228</v>
      </c>
      <c r="T280">
        <v>47967</v>
      </c>
      <c r="U280">
        <v>5</v>
      </c>
      <c r="V280">
        <f t="shared" si="19"/>
        <v>2023</v>
      </c>
      <c r="W280">
        <f t="shared" si="20"/>
        <v>12</v>
      </c>
      <c r="X280" t="str">
        <f t="shared" si="21"/>
        <v>2023-12</v>
      </c>
    </row>
    <row r="281" spans="17:24" x14ac:dyDescent="0.3">
      <c r="Q281" t="s">
        <v>14</v>
      </c>
      <c r="R281" t="s">
        <v>146</v>
      </c>
      <c r="S281" t="s">
        <v>228</v>
      </c>
      <c r="T281">
        <v>90712</v>
      </c>
      <c r="U281">
        <v>7</v>
      </c>
      <c r="V281">
        <f t="shared" si="19"/>
        <v>2023</v>
      </c>
      <c r="W281">
        <f t="shared" si="20"/>
        <v>12</v>
      </c>
      <c r="X281" t="str">
        <f t="shared" si="21"/>
        <v>2023-12</v>
      </c>
    </row>
    <row r="282" spans="17:24" x14ac:dyDescent="0.3">
      <c r="Q282" t="s">
        <v>45</v>
      </c>
      <c r="R282" t="s">
        <v>54</v>
      </c>
      <c r="S282" t="s">
        <v>228</v>
      </c>
      <c r="T282">
        <v>15484</v>
      </c>
      <c r="U282">
        <v>8</v>
      </c>
      <c r="V282">
        <f t="shared" si="19"/>
        <v>2023</v>
      </c>
      <c r="W282">
        <f t="shared" si="20"/>
        <v>12</v>
      </c>
      <c r="X282" t="str">
        <f t="shared" si="21"/>
        <v>2023-12</v>
      </c>
    </row>
    <row r="283" spans="17:24" x14ac:dyDescent="0.3">
      <c r="Q283" t="s">
        <v>14</v>
      </c>
      <c r="R283" t="s">
        <v>107</v>
      </c>
      <c r="S283" t="s">
        <v>229</v>
      </c>
      <c r="T283">
        <v>44651</v>
      </c>
      <c r="U283">
        <v>0</v>
      </c>
      <c r="V283">
        <f t="shared" si="19"/>
        <v>2023</v>
      </c>
      <c r="W283">
        <f t="shared" si="20"/>
        <v>12</v>
      </c>
      <c r="X283" t="str">
        <f t="shared" si="21"/>
        <v>2023-12</v>
      </c>
    </row>
    <row r="284" spans="17:24" x14ac:dyDescent="0.3">
      <c r="Q284" t="s">
        <v>10</v>
      </c>
      <c r="R284" t="s">
        <v>71</v>
      </c>
      <c r="S284" t="s">
        <v>230</v>
      </c>
      <c r="T284">
        <v>95078</v>
      </c>
      <c r="U284">
        <v>5</v>
      </c>
      <c r="V284">
        <f t="shared" si="19"/>
        <v>2023</v>
      </c>
      <c r="W284">
        <f t="shared" si="20"/>
        <v>12</v>
      </c>
      <c r="X284" t="str">
        <f t="shared" si="21"/>
        <v>2023-12</v>
      </c>
    </row>
    <row r="285" spans="17:24" x14ac:dyDescent="0.3">
      <c r="Q285" t="s">
        <v>45</v>
      </c>
      <c r="R285" t="s">
        <v>37</v>
      </c>
      <c r="S285" t="s">
        <v>230</v>
      </c>
      <c r="T285">
        <v>18712</v>
      </c>
      <c r="U285">
        <v>3</v>
      </c>
      <c r="V285">
        <f t="shared" si="19"/>
        <v>2023</v>
      </c>
      <c r="W285">
        <f t="shared" si="20"/>
        <v>12</v>
      </c>
      <c r="X285" t="str">
        <f t="shared" si="21"/>
        <v>2023-12</v>
      </c>
    </row>
    <row r="286" spans="17:24" x14ac:dyDescent="0.3">
      <c r="Q286" t="s">
        <v>28</v>
      </c>
      <c r="R286" t="s">
        <v>72</v>
      </c>
      <c r="S286" t="s">
        <v>230</v>
      </c>
      <c r="T286">
        <v>77451</v>
      </c>
      <c r="U286">
        <v>0</v>
      </c>
      <c r="V286">
        <f t="shared" si="19"/>
        <v>2023</v>
      </c>
      <c r="W286">
        <f t="shared" si="20"/>
        <v>12</v>
      </c>
      <c r="X286" t="str">
        <f t="shared" si="21"/>
        <v>2023-12</v>
      </c>
    </row>
    <row r="287" spans="17:24" x14ac:dyDescent="0.3">
      <c r="Q287" t="s">
        <v>14</v>
      </c>
      <c r="R287" t="s">
        <v>231</v>
      </c>
      <c r="S287" t="s">
        <v>230</v>
      </c>
      <c r="T287">
        <v>72421</v>
      </c>
      <c r="U287">
        <v>7</v>
      </c>
      <c r="V287">
        <f t="shared" si="19"/>
        <v>2023</v>
      </c>
      <c r="W287">
        <f t="shared" si="20"/>
        <v>12</v>
      </c>
      <c r="X287" t="str">
        <f t="shared" si="21"/>
        <v>2023-12</v>
      </c>
    </row>
    <row r="288" spans="17:24" x14ac:dyDescent="0.3">
      <c r="Q288" t="s">
        <v>12</v>
      </c>
      <c r="R288" t="s">
        <v>191</v>
      </c>
      <c r="S288" t="s">
        <v>230</v>
      </c>
      <c r="T288">
        <v>74573</v>
      </c>
      <c r="U288">
        <v>9</v>
      </c>
      <c r="V288">
        <f t="shared" si="19"/>
        <v>2023</v>
      </c>
      <c r="W288">
        <f t="shared" si="20"/>
        <v>12</v>
      </c>
      <c r="X288" t="str">
        <f t="shared" si="21"/>
        <v>2023-12</v>
      </c>
    </row>
    <row r="289" spans="17:24" x14ac:dyDescent="0.3">
      <c r="Q289" t="s">
        <v>8</v>
      </c>
      <c r="R289" t="s">
        <v>84</v>
      </c>
      <c r="S289" t="s">
        <v>230</v>
      </c>
      <c r="T289">
        <v>55997</v>
      </c>
      <c r="U289">
        <v>5</v>
      </c>
      <c r="V289">
        <f t="shared" si="19"/>
        <v>2023</v>
      </c>
      <c r="W289">
        <f t="shared" si="20"/>
        <v>12</v>
      </c>
      <c r="X289" t="str">
        <f t="shared" si="21"/>
        <v>2023-12</v>
      </c>
    </row>
    <row r="290" spans="17:24" x14ac:dyDescent="0.3">
      <c r="Q290" t="s">
        <v>47</v>
      </c>
      <c r="R290" t="s">
        <v>81</v>
      </c>
      <c r="S290" t="s">
        <v>230</v>
      </c>
      <c r="T290">
        <v>83197</v>
      </c>
      <c r="U290">
        <v>7</v>
      </c>
      <c r="V290">
        <f t="shared" si="19"/>
        <v>2023</v>
      </c>
      <c r="W290">
        <f t="shared" si="20"/>
        <v>12</v>
      </c>
      <c r="X290" t="str">
        <f t="shared" si="21"/>
        <v>2023-12</v>
      </c>
    </row>
    <row r="291" spans="17:24" x14ac:dyDescent="0.3">
      <c r="Q291" t="s">
        <v>8</v>
      </c>
      <c r="R291" t="s">
        <v>232</v>
      </c>
      <c r="S291" t="s">
        <v>230</v>
      </c>
      <c r="T291">
        <v>74944</v>
      </c>
      <c r="U291">
        <v>7</v>
      </c>
      <c r="V291">
        <f t="shared" si="19"/>
        <v>2023</v>
      </c>
      <c r="W291">
        <f t="shared" si="20"/>
        <v>12</v>
      </c>
      <c r="X291" t="str">
        <f t="shared" si="21"/>
        <v>2023-12</v>
      </c>
    </row>
    <row r="292" spans="17:24" x14ac:dyDescent="0.3">
      <c r="Q292" t="s">
        <v>50</v>
      </c>
      <c r="R292" t="s">
        <v>146</v>
      </c>
      <c r="S292" t="s">
        <v>230</v>
      </c>
      <c r="T292">
        <v>69581</v>
      </c>
      <c r="U292">
        <v>8</v>
      </c>
      <c r="V292">
        <f t="shared" si="19"/>
        <v>2023</v>
      </c>
      <c r="W292">
        <f t="shared" si="20"/>
        <v>12</v>
      </c>
      <c r="X292" t="str">
        <f t="shared" si="21"/>
        <v>2023-12</v>
      </c>
    </row>
    <row r="293" spans="17:24" x14ac:dyDescent="0.3">
      <c r="Q293" t="s">
        <v>10</v>
      </c>
      <c r="R293" t="s">
        <v>151</v>
      </c>
      <c r="S293" t="s">
        <v>233</v>
      </c>
      <c r="T293">
        <v>62878</v>
      </c>
      <c r="U293">
        <v>10</v>
      </c>
      <c r="V293">
        <f t="shared" si="19"/>
        <v>2023</v>
      </c>
      <c r="W293">
        <f t="shared" si="20"/>
        <v>12</v>
      </c>
      <c r="X293" t="str">
        <f t="shared" si="21"/>
        <v>2023-12</v>
      </c>
    </row>
    <row r="294" spans="17:24" x14ac:dyDescent="0.3">
      <c r="Q294" t="s">
        <v>10</v>
      </c>
      <c r="R294" t="s">
        <v>97</v>
      </c>
      <c r="S294" t="s">
        <v>233</v>
      </c>
      <c r="T294">
        <v>16374</v>
      </c>
      <c r="U294">
        <v>4</v>
      </c>
      <c r="V294">
        <f t="shared" si="19"/>
        <v>2023</v>
      </c>
      <c r="W294">
        <f t="shared" si="20"/>
        <v>12</v>
      </c>
      <c r="X294" t="str">
        <f t="shared" si="21"/>
        <v>2023-12</v>
      </c>
    </row>
    <row r="295" spans="17:24" x14ac:dyDescent="0.3">
      <c r="Q295" t="s">
        <v>12</v>
      </c>
      <c r="R295" t="s">
        <v>234</v>
      </c>
      <c r="S295" t="s">
        <v>233</v>
      </c>
      <c r="T295">
        <v>34305</v>
      </c>
      <c r="U295">
        <v>5</v>
      </c>
      <c r="V295">
        <f t="shared" si="19"/>
        <v>2023</v>
      </c>
      <c r="W295">
        <f t="shared" si="20"/>
        <v>12</v>
      </c>
      <c r="X295" t="str">
        <f t="shared" si="21"/>
        <v>2023-12</v>
      </c>
    </row>
    <row r="296" spans="17:24" x14ac:dyDescent="0.3">
      <c r="Q296" t="s">
        <v>8</v>
      </c>
      <c r="R296" t="s">
        <v>235</v>
      </c>
      <c r="S296" t="s">
        <v>236</v>
      </c>
      <c r="T296">
        <v>72386</v>
      </c>
      <c r="U296">
        <v>7</v>
      </c>
      <c r="V296">
        <f t="shared" si="19"/>
        <v>2023</v>
      </c>
      <c r="W296">
        <f t="shared" si="20"/>
        <v>12</v>
      </c>
      <c r="X296" t="str">
        <f t="shared" si="21"/>
        <v>2023-12</v>
      </c>
    </row>
    <row r="297" spans="17:24" x14ac:dyDescent="0.3">
      <c r="Q297" t="s">
        <v>5</v>
      </c>
      <c r="R297" t="s">
        <v>178</v>
      </c>
      <c r="S297" t="s">
        <v>236</v>
      </c>
      <c r="T297">
        <v>61111</v>
      </c>
      <c r="U297">
        <v>4</v>
      </c>
      <c r="V297">
        <f t="shared" si="19"/>
        <v>2023</v>
      </c>
      <c r="W297">
        <f t="shared" si="20"/>
        <v>12</v>
      </c>
      <c r="X297" t="str">
        <f t="shared" si="21"/>
        <v>2023-12</v>
      </c>
    </row>
    <row r="298" spans="17:24" x14ac:dyDescent="0.3">
      <c r="Q298" t="s">
        <v>10</v>
      </c>
      <c r="R298" t="s">
        <v>160</v>
      </c>
      <c r="S298" t="s">
        <v>237</v>
      </c>
      <c r="T298">
        <v>78999</v>
      </c>
      <c r="U298">
        <v>2</v>
      </c>
      <c r="V298">
        <f t="shared" si="19"/>
        <v>2023</v>
      </c>
      <c r="W298">
        <f t="shared" si="20"/>
        <v>12</v>
      </c>
      <c r="X298" t="str">
        <f t="shared" si="21"/>
        <v>2023-12</v>
      </c>
    </row>
    <row r="299" spans="17:24" x14ac:dyDescent="0.3">
      <c r="Q299" t="s">
        <v>8</v>
      </c>
      <c r="R299" t="s">
        <v>238</v>
      </c>
      <c r="S299" t="s">
        <v>237</v>
      </c>
      <c r="T299">
        <v>47724</v>
      </c>
      <c r="U299">
        <v>2</v>
      </c>
      <c r="V299">
        <f t="shared" si="19"/>
        <v>2023</v>
      </c>
      <c r="W299">
        <f t="shared" si="20"/>
        <v>12</v>
      </c>
      <c r="X299" t="str">
        <f t="shared" si="21"/>
        <v>2023-12</v>
      </c>
    </row>
    <row r="300" spans="17:24" x14ac:dyDescent="0.3">
      <c r="Q300" t="s">
        <v>40</v>
      </c>
      <c r="R300" t="s">
        <v>71</v>
      </c>
      <c r="S300" t="s">
        <v>239</v>
      </c>
      <c r="T300">
        <v>59899</v>
      </c>
      <c r="U300">
        <v>4</v>
      </c>
      <c r="V300">
        <f t="shared" si="19"/>
        <v>2023</v>
      </c>
      <c r="W300">
        <f t="shared" si="20"/>
        <v>12</v>
      </c>
      <c r="X300" t="str">
        <f t="shared" si="21"/>
        <v>2023-12</v>
      </c>
    </row>
    <row r="301" spans="17:24" x14ac:dyDescent="0.3">
      <c r="Q301" t="s">
        <v>8</v>
      </c>
      <c r="R301" t="s">
        <v>227</v>
      </c>
      <c r="S301" t="s">
        <v>240</v>
      </c>
      <c r="T301">
        <v>34366</v>
      </c>
      <c r="U301">
        <v>4</v>
      </c>
      <c r="V301">
        <f t="shared" si="19"/>
        <v>2023</v>
      </c>
      <c r="W301">
        <f t="shared" si="20"/>
        <v>12</v>
      </c>
      <c r="X301" t="str">
        <f t="shared" si="21"/>
        <v>2023-12</v>
      </c>
    </row>
    <row r="302" spans="17:24" x14ac:dyDescent="0.3">
      <c r="Q302" t="s">
        <v>21</v>
      </c>
      <c r="R302" t="s">
        <v>147</v>
      </c>
      <c r="S302" t="s">
        <v>240</v>
      </c>
      <c r="T302">
        <v>69449</v>
      </c>
      <c r="U302">
        <v>8</v>
      </c>
      <c r="V302">
        <f t="shared" si="19"/>
        <v>2023</v>
      </c>
      <c r="W302">
        <f t="shared" si="20"/>
        <v>12</v>
      </c>
      <c r="X302" t="str">
        <f t="shared" si="21"/>
        <v>2023-12</v>
      </c>
    </row>
    <row r="303" spans="17:24" x14ac:dyDescent="0.3">
      <c r="Q303" t="s">
        <v>10</v>
      </c>
      <c r="R303" t="s">
        <v>109</v>
      </c>
      <c r="S303" t="s">
        <v>240</v>
      </c>
      <c r="T303">
        <v>94322</v>
      </c>
      <c r="U303">
        <v>7</v>
      </c>
      <c r="V303">
        <f t="shared" si="19"/>
        <v>2023</v>
      </c>
      <c r="W303">
        <f t="shared" si="20"/>
        <v>12</v>
      </c>
      <c r="X303" t="str">
        <f t="shared" si="21"/>
        <v>2023-12</v>
      </c>
    </row>
    <row r="304" spans="17:24" x14ac:dyDescent="0.3">
      <c r="Q304" t="s">
        <v>8</v>
      </c>
      <c r="R304" t="s">
        <v>71</v>
      </c>
      <c r="S304" t="s">
        <v>240</v>
      </c>
      <c r="T304">
        <v>46722</v>
      </c>
      <c r="U304">
        <v>7</v>
      </c>
      <c r="V304">
        <f t="shared" si="19"/>
        <v>2023</v>
      </c>
      <c r="W304">
        <f t="shared" si="20"/>
        <v>12</v>
      </c>
      <c r="X304" t="str">
        <f t="shared" si="21"/>
        <v>2023-12</v>
      </c>
    </row>
    <row r="305" spans="17:24" x14ac:dyDescent="0.3">
      <c r="Q305" t="s">
        <v>8</v>
      </c>
      <c r="R305" t="s">
        <v>221</v>
      </c>
      <c r="S305" t="s">
        <v>240</v>
      </c>
      <c r="T305">
        <v>29924</v>
      </c>
      <c r="U305">
        <v>2</v>
      </c>
      <c r="V305">
        <f t="shared" si="19"/>
        <v>2023</v>
      </c>
      <c r="W305">
        <f t="shared" si="20"/>
        <v>12</v>
      </c>
      <c r="X305" t="str">
        <f t="shared" si="21"/>
        <v>2023-12</v>
      </c>
    </row>
    <row r="306" spans="17:24" x14ac:dyDescent="0.3">
      <c r="Q306" t="s">
        <v>45</v>
      </c>
      <c r="R306" t="s">
        <v>152</v>
      </c>
      <c r="S306" t="s">
        <v>240</v>
      </c>
      <c r="T306">
        <v>24391</v>
      </c>
      <c r="U306">
        <v>0</v>
      </c>
      <c r="V306">
        <f t="shared" si="19"/>
        <v>2023</v>
      </c>
      <c r="W306">
        <f t="shared" si="20"/>
        <v>12</v>
      </c>
      <c r="X306" t="str">
        <f t="shared" si="21"/>
        <v>2023-12</v>
      </c>
    </row>
    <row r="307" spans="17:24" x14ac:dyDescent="0.3">
      <c r="Q307" t="s">
        <v>8</v>
      </c>
      <c r="R307" t="s">
        <v>48</v>
      </c>
      <c r="S307" t="s">
        <v>241</v>
      </c>
      <c r="T307">
        <v>15625</v>
      </c>
      <c r="U307">
        <v>3</v>
      </c>
      <c r="V307">
        <f t="shared" si="19"/>
        <v>2023</v>
      </c>
      <c r="W307">
        <f t="shared" si="20"/>
        <v>12</v>
      </c>
      <c r="X307" t="str">
        <f t="shared" si="21"/>
        <v>2023-12</v>
      </c>
    </row>
    <row r="308" spans="17:24" x14ac:dyDescent="0.3">
      <c r="Q308" t="s">
        <v>5</v>
      </c>
      <c r="R308" t="s">
        <v>242</v>
      </c>
      <c r="S308" t="s">
        <v>241</v>
      </c>
      <c r="T308">
        <v>92917</v>
      </c>
      <c r="U308">
        <v>8</v>
      </c>
      <c r="V308">
        <f t="shared" si="19"/>
        <v>2023</v>
      </c>
      <c r="W308">
        <f t="shared" si="20"/>
        <v>12</v>
      </c>
      <c r="X308" t="str">
        <f t="shared" si="21"/>
        <v>2023-12</v>
      </c>
    </row>
    <row r="309" spans="17:24" x14ac:dyDescent="0.3">
      <c r="Q309" t="s">
        <v>18</v>
      </c>
      <c r="R309" t="s">
        <v>84</v>
      </c>
      <c r="S309" t="s">
        <v>241</v>
      </c>
      <c r="T309">
        <v>15986</v>
      </c>
      <c r="U309">
        <v>6</v>
      </c>
      <c r="V309">
        <f t="shared" si="19"/>
        <v>2023</v>
      </c>
      <c r="W309">
        <f t="shared" si="20"/>
        <v>12</v>
      </c>
      <c r="X309" t="str">
        <f t="shared" si="21"/>
        <v>2023-12</v>
      </c>
    </row>
    <row r="310" spans="17:24" x14ac:dyDescent="0.3">
      <c r="Q310" t="s">
        <v>5</v>
      </c>
      <c r="R310" t="s">
        <v>95</v>
      </c>
      <c r="S310" t="s">
        <v>243</v>
      </c>
      <c r="T310">
        <v>94808</v>
      </c>
      <c r="U310">
        <v>7</v>
      </c>
      <c r="V310">
        <f t="shared" si="19"/>
        <v>2023</v>
      </c>
      <c r="W310">
        <f t="shared" si="20"/>
        <v>12</v>
      </c>
      <c r="X310" t="str">
        <f t="shared" si="21"/>
        <v>2023-12</v>
      </c>
    </row>
    <row r="311" spans="17:24" x14ac:dyDescent="0.3">
      <c r="Q311" t="s">
        <v>12</v>
      </c>
      <c r="R311" t="s">
        <v>185</v>
      </c>
      <c r="S311" t="s">
        <v>243</v>
      </c>
      <c r="T311">
        <v>21742</v>
      </c>
      <c r="U311">
        <v>9</v>
      </c>
      <c r="V311">
        <f t="shared" si="19"/>
        <v>2023</v>
      </c>
      <c r="W311">
        <f t="shared" si="20"/>
        <v>12</v>
      </c>
      <c r="X311" t="str">
        <f t="shared" si="21"/>
        <v>2023-12</v>
      </c>
    </row>
    <row r="312" spans="17:24" x14ac:dyDescent="0.3">
      <c r="Q312" t="s">
        <v>47</v>
      </c>
      <c r="R312" t="s">
        <v>34</v>
      </c>
      <c r="S312" t="s">
        <v>243</v>
      </c>
      <c r="T312">
        <v>74988</v>
      </c>
      <c r="U312">
        <v>5</v>
      </c>
      <c r="V312">
        <f t="shared" si="19"/>
        <v>2023</v>
      </c>
      <c r="W312">
        <f t="shared" si="20"/>
        <v>12</v>
      </c>
      <c r="X312" t="str">
        <f t="shared" si="21"/>
        <v>2023-12</v>
      </c>
    </row>
    <row r="313" spans="17:24" x14ac:dyDescent="0.3">
      <c r="Q313" t="s">
        <v>8</v>
      </c>
      <c r="R313" t="s">
        <v>20</v>
      </c>
      <c r="S313" t="s">
        <v>243</v>
      </c>
      <c r="T313">
        <v>69063</v>
      </c>
      <c r="U313">
        <v>7</v>
      </c>
      <c r="V313">
        <f t="shared" si="19"/>
        <v>2023</v>
      </c>
      <c r="W313">
        <f t="shared" si="20"/>
        <v>12</v>
      </c>
      <c r="X313" t="str">
        <f t="shared" si="21"/>
        <v>2023-12</v>
      </c>
    </row>
    <row r="314" spans="17:24" x14ac:dyDescent="0.3">
      <c r="Q314" t="s">
        <v>50</v>
      </c>
      <c r="R314" t="s">
        <v>244</v>
      </c>
      <c r="S314" t="s">
        <v>243</v>
      </c>
      <c r="T314">
        <v>56051</v>
      </c>
      <c r="U314">
        <v>6</v>
      </c>
      <c r="V314">
        <f t="shared" si="19"/>
        <v>2023</v>
      </c>
      <c r="W314">
        <f t="shared" si="20"/>
        <v>12</v>
      </c>
      <c r="X314" t="str">
        <f t="shared" si="21"/>
        <v>2023-12</v>
      </c>
    </row>
    <row r="315" spans="17:24" x14ac:dyDescent="0.3">
      <c r="Q315" t="s">
        <v>47</v>
      </c>
      <c r="R315" t="s">
        <v>245</v>
      </c>
      <c r="S315" t="s">
        <v>246</v>
      </c>
      <c r="T315">
        <v>12131</v>
      </c>
      <c r="U315">
        <v>3</v>
      </c>
      <c r="V315">
        <f t="shared" si="19"/>
        <v>2023</v>
      </c>
      <c r="W315">
        <f t="shared" si="20"/>
        <v>12</v>
      </c>
      <c r="X315" t="str">
        <f t="shared" si="21"/>
        <v>2023-12</v>
      </c>
    </row>
    <row r="316" spans="17:24" x14ac:dyDescent="0.3">
      <c r="Q316" t="s">
        <v>40</v>
      </c>
      <c r="R316" t="s">
        <v>173</v>
      </c>
      <c r="S316" t="s">
        <v>246</v>
      </c>
      <c r="T316">
        <v>14287</v>
      </c>
      <c r="U316">
        <v>1</v>
      </c>
      <c r="V316">
        <f t="shared" si="19"/>
        <v>2023</v>
      </c>
      <c r="W316">
        <f t="shared" si="20"/>
        <v>12</v>
      </c>
      <c r="X316" t="str">
        <f t="shared" si="21"/>
        <v>2023-12</v>
      </c>
    </row>
    <row r="317" spans="17:24" x14ac:dyDescent="0.3">
      <c r="Q317" t="s">
        <v>10</v>
      </c>
      <c r="R317" t="s">
        <v>247</v>
      </c>
      <c r="S317" t="s">
        <v>246</v>
      </c>
      <c r="T317">
        <v>59943</v>
      </c>
      <c r="U317">
        <v>7</v>
      </c>
      <c r="V317">
        <f t="shared" si="19"/>
        <v>2023</v>
      </c>
      <c r="W317">
        <f t="shared" si="20"/>
        <v>12</v>
      </c>
      <c r="X317" t="str">
        <f t="shared" si="21"/>
        <v>2023-12</v>
      </c>
    </row>
    <row r="318" spans="17:24" x14ac:dyDescent="0.3">
      <c r="Q318" t="s">
        <v>8</v>
      </c>
      <c r="R318" t="s">
        <v>90</v>
      </c>
      <c r="S318" t="s">
        <v>248</v>
      </c>
      <c r="T318">
        <v>29998</v>
      </c>
      <c r="U318">
        <v>4</v>
      </c>
      <c r="V318">
        <f t="shared" si="19"/>
        <v>2023</v>
      </c>
      <c r="W318">
        <f t="shared" si="20"/>
        <v>12</v>
      </c>
      <c r="X318" t="str">
        <f t="shared" si="21"/>
        <v>2023-12</v>
      </c>
    </row>
    <row r="319" spans="17:24" x14ac:dyDescent="0.3">
      <c r="Q319" t="s">
        <v>50</v>
      </c>
      <c r="R319" t="s">
        <v>87</v>
      </c>
      <c r="S319" t="s">
        <v>248</v>
      </c>
      <c r="T319">
        <v>20338</v>
      </c>
      <c r="U319">
        <v>3</v>
      </c>
      <c r="V319">
        <f t="shared" si="19"/>
        <v>2023</v>
      </c>
      <c r="W319">
        <f t="shared" si="20"/>
        <v>12</v>
      </c>
      <c r="X319" t="str">
        <f t="shared" si="21"/>
        <v>2023-12</v>
      </c>
    </row>
    <row r="320" spans="17:24" x14ac:dyDescent="0.3">
      <c r="Q320" t="s">
        <v>47</v>
      </c>
      <c r="R320" t="s">
        <v>199</v>
      </c>
      <c r="S320" t="s">
        <v>249</v>
      </c>
      <c r="T320">
        <v>19391</v>
      </c>
      <c r="U320">
        <v>5</v>
      </c>
      <c r="V320">
        <f t="shared" si="19"/>
        <v>2023</v>
      </c>
      <c r="W320">
        <f t="shared" si="20"/>
        <v>12</v>
      </c>
      <c r="X320" t="str">
        <f t="shared" si="21"/>
        <v>2023-12</v>
      </c>
    </row>
    <row r="321" spans="17:24" x14ac:dyDescent="0.3">
      <c r="Q321" t="s">
        <v>21</v>
      </c>
      <c r="R321" t="s">
        <v>217</v>
      </c>
      <c r="S321" t="s">
        <v>249</v>
      </c>
      <c r="T321">
        <v>36498</v>
      </c>
      <c r="U321">
        <v>8</v>
      </c>
      <c r="V321">
        <f t="shared" si="19"/>
        <v>2023</v>
      </c>
      <c r="W321">
        <f t="shared" si="20"/>
        <v>12</v>
      </c>
      <c r="X321" t="str">
        <f t="shared" si="21"/>
        <v>2023-12</v>
      </c>
    </row>
    <row r="322" spans="17:24" x14ac:dyDescent="0.3">
      <c r="Q322" t="s">
        <v>10</v>
      </c>
      <c r="R322" t="s">
        <v>49</v>
      </c>
      <c r="S322" t="s">
        <v>249</v>
      </c>
      <c r="T322">
        <v>57828</v>
      </c>
      <c r="U322">
        <v>6</v>
      </c>
      <c r="V322">
        <f t="shared" si="19"/>
        <v>2023</v>
      </c>
      <c r="W322">
        <f t="shared" si="20"/>
        <v>12</v>
      </c>
      <c r="X322" t="str">
        <f t="shared" si="21"/>
        <v>2023-12</v>
      </c>
    </row>
    <row r="323" spans="17:24" x14ac:dyDescent="0.3">
      <c r="Q323" t="s">
        <v>47</v>
      </c>
      <c r="R323" t="s">
        <v>250</v>
      </c>
      <c r="S323" t="s">
        <v>249</v>
      </c>
      <c r="T323">
        <v>86257</v>
      </c>
      <c r="U323">
        <v>2</v>
      </c>
      <c r="V323">
        <f t="shared" ref="V323:V386" si="22">YEAR(S323)</f>
        <v>2023</v>
      </c>
      <c r="W323">
        <f t="shared" ref="W323:W386" si="23">MONTH(S323)</f>
        <v>12</v>
      </c>
      <c r="X323" t="str">
        <f t="shared" ref="X323:X386" si="24">V323&amp;"-"&amp;W323</f>
        <v>2023-12</v>
      </c>
    </row>
    <row r="324" spans="17:24" x14ac:dyDescent="0.3">
      <c r="Q324" t="s">
        <v>12</v>
      </c>
      <c r="R324" t="s">
        <v>71</v>
      </c>
      <c r="S324" t="s">
        <v>249</v>
      </c>
      <c r="T324">
        <v>22345</v>
      </c>
      <c r="U324">
        <v>7</v>
      </c>
      <c r="V324">
        <f t="shared" si="22"/>
        <v>2023</v>
      </c>
      <c r="W324">
        <f t="shared" si="23"/>
        <v>12</v>
      </c>
      <c r="X324" t="str">
        <f t="shared" si="24"/>
        <v>2023-12</v>
      </c>
    </row>
    <row r="325" spans="17:24" x14ac:dyDescent="0.3">
      <c r="Q325" t="s">
        <v>50</v>
      </c>
      <c r="R325" t="s">
        <v>251</v>
      </c>
      <c r="S325" t="s">
        <v>249</v>
      </c>
      <c r="T325">
        <v>25351</v>
      </c>
      <c r="U325">
        <v>7</v>
      </c>
      <c r="V325">
        <f t="shared" si="22"/>
        <v>2023</v>
      </c>
      <c r="W325">
        <f t="shared" si="23"/>
        <v>12</v>
      </c>
      <c r="X325" t="str">
        <f t="shared" si="24"/>
        <v>2023-12</v>
      </c>
    </row>
    <row r="326" spans="17:24" x14ac:dyDescent="0.3">
      <c r="Q326" t="s">
        <v>28</v>
      </c>
      <c r="R326" t="s">
        <v>180</v>
      </c>
      <c r="S326" t="s">
        <v>249</v>
      </c>
      <c r="T326">
        <v>63595</v>
      </c>
      <c r="U326">
        <v>7</v>
      </c>
      <c r="V326">
        <f t="shared" si="22"/>
        <v>2023</v>
      </c>
      <c r="W326">
        <f t="shared" si="23"/>
        <v>12</v>
      </c>
      <c r="X326" t="str">
        <f t="shared" si="24"/>
        <v>2023-12</v>
      </c>
    </row>
    <row r="327" spans="17:24" x14ac:dyDescent="0.3">
      <c r="Q327" t="s">
        <v>21</v>
      </c>
      <c r="R327" t="s">
        <v>111</v>
      </c>
      <c r="S327" t="s">
        <v>249</v>
      </c>
      <c r="T327">
        <v>52643</v>
      </c>
      <c r="U327">
        <v>2</v>
      </c>
      <c r="V327">
        <f t="shared" si="22"/>
        <v>2023</v>
      </c>
      <c r="W327">
        <f t="shared" si="23"/>
        <v>12</v>
      </c>
      <c r="X327" t="str">
        <f t="shared" si="24"/>
        <v>2023-12</v>
      </c>
    </row>
    <row r="328" spans="17:24" x14ac:dyDescent="0.3">
      <c r="Q328" t="s">
        <v>12</v>
      </c>
      <c r="R328" t="s">
        <v>81</v>
      </c>
      <c r="S328" t="s">
        <v>249</v>
      </c>
      <c r="T328">
        <v>77078</v>
      </c>
      <c r="U328">
        <v>6</v>
      </c>
      <c r="V328">
        <f t="shared" si="22"/>
        <v>2023</v>
      </c>
      <c r="W328">
        <f t="shared" si="23"/>
        <v>12</v>
      </c>
      <c r="X328" t="str">
        <f t="shared" si="24"/>
        <v>2023-12</v>
      </c>
    </row>
    <row r="329" spans="17:24" x14ac:dyDescent="0.3">
      <c r="Q329" t="s">
        <v>21</v>
      </c>
      <c r="R329" t="s">
        <v>252</v>
      </c>
      <c r="S329" t="s">
        <v>249</v>
      </c>
      <c r="T329">
        <v>39389</v>
      </c>
      <c r="U329">
        <v>2</v>
      </c>
      <c r="V329">
        <f t="shared" si="22"/>
        <v>2023</v>
      </c>
      <c r="W329">
        <f t="shared" si="23"/>
        <v>12</v>
      </c>
      <c r="X329" t="str">
        <f t="shared" si="24"/>
        <v>2023-12</v>
      </c>
    </row>
    <row r="330" spans="17:24" x14ac:dyDescent="0.3">
      <c r="Q330" t="s">
        <v>45</v>
      </c>
      <c r="R330" t="s">
        <v>70</v>
      </c>
      <c r="S330" t="s">
        <v>249</v>
      </c>
      <c r="T330">
        <v>77503</v>
      </c>
      <c r="U330">
        <v>8</v>
      </c>
      <c r="V330">
        <f t="shared" si="22"/>
        <v>2023</v>
      </c>
      <c r="W330">
        <f t="shared" si="23"/>
        <v>12</v>
      </c>
      <c r="X330" t="str">
        <f t="shared" si="24"/>
        <v>2023-12</v>
      </c>
    </row>
    <row r="331" spans="17:24" x14ac:dyDescent="0.3">
      <c r="Q331" t="s">
        <v>45</v>
      </c>
      <c r="R331" t="s">
        <v>222</v>
      </c>
      <c r="S331" t="s">
        <v>253</v>
      </c>
      <c r="T331">
        <v>13722</v>
      </c>
      <c r="U331">
        <v>5</v>
      </c>
      <c r="V331">
        <f t="shared" si="22"/>
        <v>2023</v>
      </c>
      <c r="W331">
        <f t="shared" si="23"/>
        <v>12</v>
      </c>
      <c r="X331" t="str">
        <f t="shared" si="24"/>
        <v>2023-12</v>
      </c>
    </row>
    <row r="332" spans="17:24" x14ac:dyDescent="0.3">
      <c r="Q332" t="s">
        <v>21</v>
      </c>
      <c r="R332" t="s">
        <v>160</v>
      </c>
      <c r="S332" t="s">
        <v>253</v>
      </c>
      <c r="T332">
        <v>77707</v>
      </c>
      <c r="U332">
        <v>2</v>
      </c>
      <c r="V332">
        <f t="shared" si="22"/>
        <v>2023</v>
      </c>
      <c r="W332">
        <f t="shared" si="23"/>
        <v>12</v>
      </c>
      <c r="X332" t="str">
        <f t="shared" si="24"/>
        <v>2023-12</v>
      </c>
    </row>
    <row r="333" spans="17:24" x14ac:dyDescent="0.3">
      <c r="Q333" t="s">
        <v>50</v>
      </c>
      <c r="R333" t="s">
        <v>191</v>
      </c>
      <c r="S333" t="s">
        <v>253</v>
      </c>
      <c r="T333">
        <v>95109</v>
      </c>
      <c r="U333">
        <v>8</v>
      </c>
      <c r="V333">
        <f t="shared" si="22"/>
        <v>2023</v>
      </c>
      <c r="W333">
        <f t="shared" si="23"/>
        <v>12</v>
      </c>
      <c r="X333" t="str">
        <f t="shared" si="24"/>
        <v>2023-12</v>
      </c>
    </row>
    <row r="334" spans="17:24" x14ac:dyDescent="0.3">
      <c r="Q334" t="s">
        <v>5</v>
      </c>
      <c r="R334" t="s">
        <v>232</v>
      </c>
      <c r="S334" t="s">
        <v>253</v>
      </c>
      <c r="T334">
        <v>43681</v>
      </c>
      <c r="U334">
        <v>8</v>
      </c>
      <c r="V334">
        <f t="shared" si="22"/>
        <v>2023</v>
      </c>
      <c r="W334">
        <f t="shared" si="23"/>
        <v>12</v>
      </c>
      <c r="X334" t="str">
        <f t="shared" si="24"/>
        <v>2023-12</v>
      </c>
    </row>
    <row r="335" spans="17:24" x14ac:dyDescent="0.3">
      <c r="Q335" t="s">
        <v>47</v>
      </c>
      <c r="R335" t="s">
        <v>150</v>
      </c>
      <c r="S335" t="s">
        <v>254</v>
      </c>
      <c r="T335">
        <v>97859</v>
      </c>
      <c r="U335">
        <v>7</v>
      </c>
      <c r="V335">
        <f t="shared" si="22"/>
        <v>2023</v>
      </c>
      <c r="W335">
        <f t="shared" si="23"/>
        <v>12</v>
      </c>
      <c r="X335" t="str">
        <f t="shared" si="24"/>
        <v>2023-12</v>
      </c>
    </row>
    <row r="336" spans="17:24" x14ac:dyDescent="0.3">
      <c r="Q336" t="s">
        <v>10</v>
      </c>
      <c r="R336" t="s">
        <v>25</v>
      </c>
      <c r="S336" t="s">
        <v>254</v>
      </c>
      <c r="T336">
        <v>77303</v>
      </c>
      <c r="U336">
        <v>9</v>
      </c>
      <c r="V336">
        <f t="shared" si="22"/>
        <v>2023</v>
      </c>
      <c r="W336">
        <f t="shared" si="23"/>
        <v>12</v>
      </c>
      <c r="X336" t="str">
        <f t="shared" si="24"/>
        <v>2023-12</v>
      </c>
    </row>
    <row r="337" spans="17:24" x14ac:dyDescent="0.3">
      <c r="Q337" t="s">
        <v>10</v>
      </c>
      <c r="R337" t="s">
        <v>154</v>
      </c>
      <c r="S337" t="s">
        <v>254</v>
      </c>
      <c r="T337">
        <v>96655</v>
      </c>
      <c r="U337">
        <v>2</v>
      </c>
      <c r="V337">
        <f t="shared" si="22"/>
        <v>2023</v>
      </c>
      <c r="W337">
        <f t="shared" si="23"/>
        <v>12</v>
      </c>
      <c r="X337" t="str">
        <f t="shared" si="24"/>
        <v>2023-12</v>
      </c>
    </row>
    <row r="338" spans="17:24" x14ac:dyDescent="0.3">
      <c r="Q338" t="s">
        <v>45</v>
      </c>
      <c r="R338" t="s">
        <v>99</v>
      </c>
      <c r="S338" t="s">
        <v>254</v>
      </c>
      <c r="T338">
        <v>84080</v>
      </c>
      <c r="U338">
        <v>3</v>
      </c>
      <c r="V338">
        <f t="shared" si="22"/>
        <v>2023</v>
      </c>
      <c r="W338">
        <f t="shared" si="23"/>
        <v>12</v>
      </c>
      <c r="X338" t="str">
        <f t="shared" si="24"/>
        <v>2023-12</v>
      </c>
    </row>
    <row r="339" spans="17:24" x14ac:dyDescent="0.3">
      <c r="Q339" t="s">
        <v>14</v>
      </c>
      <c r="R339" t="s">
        <v>245</v>
      </c>
      <c r="S339" t="s">
        <v>255</v>
      </c>
      <c r="T339">
        <v>95696</v>
      </c>
      <c r="U339">
        <v>10</v>
      </c>
      <c r="V339">
        <f t="shared" si="22"/>
        <v>2023</v>
      </c>
      <c r="W339">
        <f t="shared" si="23"/>
        <v>12</v>
      </c>
      <c r="X339" t="str">
        <f t="shared" si="24"/>
        <v>2023-12</v>
      </c>
    </row>
    <row r="340" spans="17:24" x14ac:dyDescent="0.3">
      <c r="Q340" t="s">
        <v>45</v>
      </c>
      <c r="R340" t="s">
        <v>256</v>
      </c>
      <c r="S340" t="s">
        <v>257</v>
      </c>
      <c r="T340">
        <v>94978</v>
      </c>
      <c r="U340">
        <v>1</v>
      </c>
      <c r="V340">
        <f t="shared" si="22"/>
        <v>2024</v>
      </c>
      <c r="W340">
        <f t="shared" si="23"/>
        <v>1</v>
      </c>
      <c r="X340" t="str">
        <f t="shared" si="24"/>
        <v>2024-1</v>
      </c>
    </row>
    <row r="341" spans="17:24" x14ac:dyDescent="0.3">
      <c r="Q341" t="s">
        <v>28</v>
      </c>
      <c r="R341" t="s">
        <v>258</v>
      </c>
      <c r="S341" t="s">
        <v>257</v>
      </c>
      <c r="T341">
        <v>37489</v>
      </c>
      <c r="U341">
        <v>8</v>
      </c>
      <c r="V341">
        <f t="shared" si="22"/>
        <v>2024</v>
      </c>
      <c r="W341">
        <f t="shared" si="23"/>
        <v>1</v>
      </c>
      <c r="X341" t="str">
        <f t="shared" si="24"/>
        <v>2024-1</v>
      </c>
    </row>
    <row r="342" spans="17:24" x14ac:dyDescent="0.3">
      <c r="Q342" t="s">
        <v>14</v>
      </c>
      <c r="R342" t="s">
        <v>251</v>
      </c>
      <c r="S342" t="s">
        <v>257</v>
      </c>
      <c r="T342">
        <v>65041</v>
      </c>
      <c r="U342">
        <v>2</v>
      </c>
      <c r="V342">
        <f t="shared" si="22"/>
        <v>2024</v>
      </c>
      <c r="W342">
        <f t="shared" si="23"/>
        <v>1</v>
      </c>
      <c r="X342" t="str">
        <f t="shared" si="24"/>
        <v>2024-1</v>
      </c>
    </row>
    <row r="343" spans="17:24" x14ac:dyDescent="0.3">
      <c r="Q343" t="s">
        <v>18</v>
      </c>
      <c r="R343" t="s">
        <v>11</v>
      </c>
      <c r="S343" t="s">
        <v>257</v>
      </c>
      <c r="T343">
        <v>63425</v>
      </c>
      <c r="U343">
        <v>7</v>
      </c>
      <c r="V343">
        <f t="shared" si="22"/>
        <v>2024</v>
      </c>
      <c r="W343">
        <f t="shared" si="23"/>
        <v>1</v>
      </c>
      <c r="X343" t="str">
        <f t="shared" si="24"/>
        <v>2024-1</v>
      </c>
    </row>
    <row r="344" spans="17:24" x14ac:dyDescent="0.3">
      <c r="Q344" t="s">
        <v>5</v>
      </c>
      <c r="R344" t="s">
        <v>48</v>
      </c>
      <c r="S344" t="s">
        <v>257</v>
      </c>
      <c r="T344">
        <v>99559</v>
      </c>
      <c r="U344">
        <v>6</v>
      </c>
      <c r="V344">
        <f t="shared" si="22"/>
        <v>2024</v>
      </c>
      <c r="W344">
        <f t="shared" si="23"/>
        <v>1</v>
      </c>
      <c r="X344" t="str">
        <f t="shared" si="24"/>
        <v>2024-1</v>
      </c>
    </row>
    <row r="345" spans="17:24" x14ac:dyDescent="0.3">
      <c r="Q345" t="s">
        <v>14</v>
      </c>
      <c r="R345" t="s">
        <v>165</v>
      </c>
      <c r="S345" t="s">
        <v>259</v>
      </c>
      <c r="T345">
        <v>75010</v>
      </c>
      <c r="U345">
        <v>2</v>
      </c>
      <c r="V345">
        <f t="shared" si="22"/>
        <v>2024</v>
      </c>
      <c r="W345">
        <f t="shared" si="23"/>
        <v>1</v>
      </c>
      <c r="X345" t="str">
        <f t="shared" si="24"/>
        <v>2024-1</v>
      </c>
    </row>
    <row r="346" spans="17:24" x14ac:dyDescent="0.3">
      <c r="Q346" t="s">
        <v>8</v>
      </c>
      <c r="R346" t="s">
        <v>166</v>
      </c>
      <c r="S346" t="s">
        <v>259</v>
      </c>
      <c r="T346">
        <v>74658</v>
      </c>
      <c r="U346">
        <v>8</v>
      </c>
      <c r="V346">
        <f t="shared" si="22"/>
        <v>2024</v>
      </c>
      <c r="W346">
        <f t="shared" si="23"/>
        <v>1</v>
      </c>
      <c r="X346" t="str">
        <f t="shared" si="24"/>
        <v>2024-1</v>
      </c>
    </row>
    <row r="347" spans="17:24" x14ac:dyDescent="0.3">
      <c r="Q347" t="s">
        <v>5</v>
      </c>
      <c r="R347" t="s">
        <v>251</v>
      </c>
      <c r="S347" t="s">
        <v>259</v>
      </c>
      <c r="T347">
        <v>73562</v>
      </c>
      <c r="U347">
        <v>7</v>
      </c>
      <c r="V347">
        <f t="shared" si="22"/>
        <v>2024</v>
      </c>
      <c r="W347">
        <f t="shared" si="23"/>
        <v>1</v>
      </c>
      <c r="X347" t="str">
        <f t="shared" si="24"/>
        <v>2024-1</v>
      </c>
    </row>
    <row r="348" spans="17:24" x14ac:dyDescent="0.3">
      <c r="Q348" t="s">
        <v>18</v>
      </c>
      <c r="R348" t="s">
        <v>242</v>
      </c>
      <c r="S348" t="s">
        <v>259</v>
      </c>
      <c r="T348">
        <v>65988</v>
      </c>
      <c r="U348">
        <v>7</v>
      </c>
      <c r="V348">
        <f t="shared" si="22"/>
        <v>2024</v>
      </c>
      <c r="W348">
        <f t="shared" si="23"/>
        <v>1</v>
      </c>
      <c r="X348" t="str">
        <f t="shared" si="24"/>
        <v>2024-1</v>
      </c>
    </row>
    <row r="349" spans="17:24" x14ac:dyDescent="0.3">
      <c r="Q349" t="s">
        <v>45</v>
      </c>
      <c r="R349" t="s">
        <v>116</v>
      </c>
      <c r="S349" t="s">
        <v>260</v>
      </c>
      <c r="T349">
        <v>38620</v>
      </c>
      <c r="U349">
        <v>7</v>
      </c>
      <c r="V349">
        <f t="shared" si="22"/>
        <v>2024</v>
      </c>
      <c r="W349">
        <f t="shared" si="23"/>
        <v>1</v>
      </c>
      <c r="X349" t="str">
        <f t="shared" si="24"/>
        <v>2024-1</v>
      </c>
    </row>
    <row r="350" spans="17:24" x14ac:dyDescent="0.3">
      <c r="Q350" t="s">
        <v>18</v>
      </c>
      <c r="R350" t="s">
        <v>190</v>
      </c>
      <c r="S350" t="s">
        <v>261</v>
      </c>
      <c r="T350">
        <v>68584</v>
      </c>
      <c r="U350">
        <v>6</v>
      </c>
      <c r="V350">
        <f t="shared" si="22"/>
        <v>2024</v>
      </c>
      <c r="W350">
        <f t="shared" si="23"/>
        <v>1</v>
      </c>
      <c r="X350" t="str">
        <f t="shared" si="24"/>
        <v>2024-1</v>
      </c>
    </row>
    <row r="351" spans="17:24" x14ac:dyDescent="0.3">
      <c r="Q351" t="s">
        <v>14</v>
      </c>
      <c r="R351" t="s">
        <v>262</v>
      </c>
      <c r="S351" t="s">
        <v>261</v>
      </c>
      <c r="T351">
        <v>51596</v>
      </c>
      <c r="U351">
        <v>1</v>
      </c>
      <c r="V351">
        <f t="shared" si="22"/>
        <v>2024</v>
      </c>
      <c r="W351">
        <f t="shared" si="23"/>
        <v>1</v>
      </c>
      <c r="X351" t="str">
        <f t="shared" si="24"/>
        <v>2024-1</v>
      </c>
    </row>
    <row r="352" spans="17:24" x14ac:dyDescent="0.3">
      <c r="Q352" t="s">
        <v>12</v>
      </c>
      <c r="R352" t="s">
        <v>263</v>
      </c>
      <c r="S352" t="s">
        <v>264</v>
      </c>
      <c r="T352">
        <v>63840</v>
      </c>
      <c r="U352">
        <v>2</v>
      </c>
      <c r="V352">
        <f t="shared" si="22"/>
        <v>2024</v>
      </c>
      <c r="W352">
        <f t="shared" si="23"/>
        <v>1</v>
      </c>
      <c r="X352" t="str">
        <f t="shared" si="24"/>
        <v>2024-1</v>
      </c>
    </row>
    <row r="353" spans="17:24" x14ac:dyDescent="0.3">
      <c r="Q353" t="s">
        <v>14</v>
      </c>
      <c r="R353" t="s">
        <v>114</v>
      </c>
      <c r="S353" t="s">
        <v>264</v>
      </c>
      <c r="T353">
        <v>65232</v>
      </c>
      <c r="U353">
        <v>8</v>
      </c>
      <c r="V353">
        <f t="shared" si="22"/>
        <v>2024</v>
      </c>
      <c r="W353">
        <f t="shared" si="23"/>
        <v>1</v>
      </c>
      <c r="X353" t="str">
        <f t="shared" si="24"/>
        <v>2024-1</v>
      </c>
    </row>
    <row r="354" spans="17:24" x14ac:dyDescent="0.3">
      <c r="Q354" t="s">
        <v>18</v>
      </c>
      <c r="R354" t="s">
        <v>114</v>
      </c>
      <c r="S354" t="s">
        <v>265</v>
      </c>
      <c r="T354">
        <v>45815</v>
      </c>
      <c r="U354">
        <v>7</v>
      </c>
      <c r="V354">
        <f t="shared" si="22"/>
        <v>2024</v>
      </c>
      <c r="W354">
        <f t="shared" si="23"/>
        <v>1</v>
      </c>
      <c r="X354" t="str">
        <f t="shared" si="24"/>
        <v>2024-1</v>
      </c>
    </row>
    <row r="355" spans="17:24" x14ac:dyDescent="0.3">
      <c r="Q355" t="s">
        <v>8</v>
      </c>
      <c r="R355" t="s">
        <v>200</v>
      </c>
      <c r="S355" t="s">
        <v>265</v>
      </c>
      <c r="T355">
        <v>11843</v>
      </c>
      <c r="U355">
        <v>1</v>
      </c>
      <c r="V355">
        <f t="shared" si="22"/>
        <v>2024</v>
      </c>
      <c r="W355">
        <f t="shared" si="23"/>
        <v>1</v>
      </c>
      <c r="X355" t="str">
        <f t="shared" si="24"/>
        <v>2024-1</v>
      </c>
    </row>
    <row r="356" spans="17:24" x14ac:dyDescent="0.3">
      <c r="Q356" t="s">
        <v>45</v>
      </c>
      <c r="R356" t="s">
        <v>46</v>
      </c>
      <c r="S356" t="s">
        <v>265</v>
      </c>
      <c r="T356">
        <v>57698</v>
      </c>
      <c r="U356">
        <v>5</v>
      </c>
      <c r="V356">
        <f t="shared" si="22"/>
        <v>2024</v>
      </c>
      <c r="W356">
        <f t="shared" si="23"/>
        <v>1</v>
      </c>
      <c r="X356" t="str">
        <f t="shared" si="24"/>
        <v>2024-1</v>
      </c>
    </row>
    <row r="357" spans="17:24" x14ac:dyDescent="0.3">
      <c r="Q357" t="s">
        <v>21</v>
      </c>
      <c r="R357" t="s">
        <v>74</v>
      </c>
      <c r="S357" t="s">
        <v>265</v>
      </c>
      <c r="T357">
        <v>83321</v>
      </c>
      <c r="U357">
        <v>8</v>
      </c>
      <c r="V357">
        <f t="shared" si="22"/>
        <v>2024</v>
      </c>
      <c r="W357">
        <f t="shared" si="23"/>
        <v>1</v>
      </c>
      <c r="X357" t="str">
        <f t="shared" si="24"/>
        <v>2024-1</v>
      </c>
    </row>
    <row r="358" spans="17:24" x14ac:dyDescent="0.3">
      <c r="Q358" t="s">
        <v>47</v>
      </c>
      <c r="R358" t="s">
        <v>25</v>
      </c>
      <c r="S358" t="s">
        <v>265</v>
      </c>
      <c r="T358">
        <v>31232</v>
      </c>
      <c r="U358">
        <v>7</v>
      </c>
      <c r="V358">
        <f t="shared" si="22"/>
        <v>2024</v>
      </c>
      <c r="W358">
        <f t="shared" si="23"/>
        <v>1</v>
      </c>
      <c r="X358" t="str">
        <f t="shared" si="24"/>
        <v>2024-1</v>
      </c>
    </row>
    <row r="359" spans="17:24" x14ac:dyDescent="0.3">
      <c r="Q359" t="s">
        <v>12</v>
      </c>
      <c r="R359" t="s">
        <v>192</v>
      </c>
      <c r="S359" t="s">
        <v>266</v>
      </c>
      <c r="T359">
        <v>96531</v>
      </c>
      <c r="U359">
        <v>5</v>
      </c>
      <c r="V359">
        <f t="shared" si="22"/>
        <v>2024</v>
      </c>
      <c r="W359">
        <f t="shared" si="23"/>
        <v>1</v>
      </c>
      <c r="X359" t="str">
        <f t="shared" si="24"/>
        <v>2024-1</v>
      </c>
    </row>
    <row r="360" spans="17:24" x14ac:dyDescent="0.3">
      <c r="Q360" t="s">
        <v>18</v>
      </c>
      <c r="R360" t="s">
        <v>263</v>
      </c>
      <c r="S360" t="s">
        <v>266</v>
      </c>
      <c r="T360">
        <v>87620</v>
      </c>
      <c r="U360">
        <v>7</v>
      </c>
      <c r="V360">
        <f t="shared" si="22"/>
        <v>2024</v>
      </c>
      <c r="W360">
        <f t="shared" si="23"/>
        <v>1</v>
      </c>
      <c r="X360" t="str">
        <f t="shared" si="24"/>
        <v>2024-1</v>
      </c>
    </row>
    <row r="361" spans="17:24" x14ac:dyDescent="0.3">
      <c r="Q361" t="s">
        <v>47</v>
      </c>
      <c r="R361" t="s">
        <v>32</v>
      </c>
      <c r="S361" t="s">
        <v>266</v>
      </c>
      <c r="T361">
        <v>41090</v>
      </c>
      <c r="U361">
        <v>7</v>
      </c>
      <c r="V361">
        <f t="shared" si="22"/>
        <v>2024</v>
      </c>
      <c r="W361">
        <f t="shared" si="23"/>
        <v>1</v>
      </c>
      <c r="X361" t="str">
        <f t="shared" si="24"/>
        <v>2024-1</v>
      </c>
    </row>
    <row r="362" spans="17:24" x14ac:dyDescent="0.3">
      <c r="Q362" t="s">
        <v>8</v>
      </c>
      <c r="R362" t="s">
        <v>61</v>
      </c>
      <c r="S362" t="s">
        <v>266</v>
      </c>
      <c r="T362">
        <v>67351</v>
      </c>
      <c r="U362">
        <v>7</v>
      </c>
      <c r="V362">
        <f t="shared" si="22"/>
        <v>2024</v>
      </c>
      <c r="W362">
        <f t="shared" si="23"/>
        <v>1</v>
      </c>
      <c r="X362" t="str">
        <f t="shared" si="24"/>
        <v>2024-1</v>
      </c>
    </row>
    <row r="363" spans="17:24" x14ac:dyDescent="0.3">
      <c r="Q363" t="s">
        <v>10</v>
      </c>
      <c r="R363" t="s">
        <v>58</v>
      </c>
      <c r="S363" t="s">
        <v>266</v>
      </c>
      <c r="T363">
        <v>47419</v>
      </c>
      <c r="U363">
        <v>6</v>
      </c>
      <c r="V363">
        <f t="shared" si="22"/>
        <v>2024</v>
      </c>
      <c r="W363">
        <f t="shared" si="23"/>
        <v>1</v>
      </c>
      <c r="X363" t="str">
        <f t="shared" si="24"/>
        <v>2024-1</v>
      </c>
    </row>
    <row r="364" spans="17:24" x14ac:dyDescent="0.3">
      <c r="Q364" t="s">
        <v>5</v>
      </c>
      <c r="R364" t="s">
        <v>135</v>
      </c>
      <c r="S364" t="s">
        <v>267</v>
      </c>
      <c r="T364">
        <v>96827</v>
      </c>
      <c r="U364">
        <v>0</v>
      </c>
      <c r="V364">
        <f t="shared" si="22"/>
        <v>2024</v>
      </c>
      <c r="W364">
        <f t="shared" si="23"/>
        <v>1</v>
      </c>
      <c r="X364" t="str">
        <f t="shared" si="24"/>
        <v>2024-1</v>
      </c>
    </row>
    <row r="365" spans="17:24" x14ac:dyDescent="0.3">
      <c r="Q365" t="s">
        <v>8</v>
      </c>
      <c r="R365" t="s">
        <v>191</v>
      </c>
      <c r="S365" t="s">
        <v>267</v>
      </c>
      <c r="T365">
        <v>47285</v>
      </c>
      <c r="U365">
        <v>5</v>
      </c>
      <c r="V365">
        <f t="shared" si="22"/>
        <v>2024</v>
      </c>
      <c r="W365">
        <f t="shared" si="23"/>
        <v>1</v>
      </c>
      <c r="X365" t="str">
        <f t="shared" si="24"/>
        <v>2024-1</v>
      </c>
    </row>
    <row r="366" spans="17:24" x14ac:dyDescent="0.3">
      <c r="Q366" t="s">
        <v>21</v>
      </c>
      <c r="R366" t="s">
        <v>268</v>
      </c>
      <c r="S366" t="s">
        <v>269</v>
      </c>
      <c r="T366">
        <v>66360</v>
      </c>
      <c r="U366">
        <v>8</v>
      </c>
      <c r="V366">
        <f t="shared" si="22"/>
        <v>2024</v>
      </c>
      <c r="W366">
        <f t="shared" si="23"/>
        <v>1</v>
      </c>
      <c r="X366" t="str">
        <f t="shared" si="24"/>
        <v>2024-1</v>
      </c>
    </row>
    <row r="367" spans="17:24" x14ac:dyDescent="0.3">
      <c r="Q367" t="s">
        <v>21</v>
      </c>
      <c r="R367" t="s">
        <v>70</v>
      </c>
      <c r="S367" t="s">
        <v>269</v>
      </c>
      <c r="T367">
        <v>31532</v>
      </c>
      <c r="U367">
        <v>2</v>
      </c>
      <c r="V367">
        <f t="shared" si="22"/>
        <v>2024</v>
      </c>
      <c r="W367">
        <f t="shared" si="23"/>
        <v>1</v>
      </c>
      <c r="X367" t="str">
        <f t="shared" si="24"/>
        <v>2024-1</v>
      </c>
    </row>
    <row r="368" spans="17:24" x14ac:dyDescent="0.3">
      <c r="Q368" t="s">
        <v>12</v>
      </c>
      <c r="R368" t="s">
        <v>116</v>
      </c>
      <c r="S368" t="s">
        <v>269</v>
      </c>
      <c r="T368">
        <v>32440</v>
      </c>
      <c r="U368">
        <v>0</v>
      </c>
      <c r="V368">
        <f t="shared" si="22"/>
        <v>2024</v>
      </c>
      <c r="W368">
        <f t="shared" si="23"/>
        <v>1</v>
      </c>
      <c r="X368" t="str">
        <f t="shared" si="24"/>
        <v>2024-1</v>
      </c>
    </row>
    <row r="369" spans="17:24" x14ac:dyDescent="0.3">
      <c r="Q369" t="s">
        <v>21</v>
      </c>
      <c r="R369" t="s">
        <v>63</v>
      </c>
      <c r="S369" t="s">
        <v>269</v>
      </c>
      <c r="T369">
        <v>44619</v>
      </c>
      <c r="U369">
        <v>0</v>
      </c>
      <c r="V369">
        <f t="shared" si="22"/>
        <v>2024</v>
      </c>
      <c r="W369">
        <f t="shared" si="23"/>
        <v>1</v>
      </c>
      <c r="X369" t="str">
        <f t="shared" si="24"/>
        <v>2024-1</v>
      </c>
    </row>
    <row r="370" spans="17:24" x14ac:dyDescent="0.3">
      <c r="Q370" t="s">
        <v>50</v>
      </c>
      <c r="R370" t="s">
        <v>270</v>
      </c>
      <c r="S370" t="s">
        <v>269</v>
      </c>
      <c r="T370">
        <v>19090</v>
      </c>
      <c r="U370">
        <v>5</v>
      </c>
      <c r="V370">
        <f t="shared" si="22"/>
        <v>2024</v>
      </c>
      <c r="W370">
        <f t="shared" si="23"/>
        <v>1</v>
      </c>
      <c r="X370" t="str">
        <f t="shared" si="24"/>
        <v>2024-1</v>
      </c>
    </row>
    <row r="371" spans="17:24" x14ac:dyDescent="0.3">
      <c r="Q371" t="s">
        <v>10</v>
      </c>
      <c r="R371" t="s">
        <v>87</v>
      </c>
      <c r="S371" t="s">
        <v>269</v>
      </c>
      <c r="T371">
        <v>67224</v>
      </c>
      <c r="U371">
        <v>3</v>
      </c>
      <c r="V371">
        <f t="shared" si="22"/>
        <v>2024</v>
      </c>
      <c r="W371">
        <f t="shared" si="23"/>
        <v>1</v>
      </c>
      <c r="X371" t="str">
        <f t="shared" si="24"/>
        <v>2024-1</v>
      </c>
    </row>
    <row r="372" spans="17:24" x14ac:dyDescent="0.3">
      <c r="Q372" t="s">
        <v>40</v>
      </c>
      <c r="R372" t="s">
        <v>141</v>
      </c>
      <c r="S372" t="s">
        <v>271</v>
      </c>
      <c r="T372">
        <v>84692</v>
      </c>
      <c r="U372">
        <v>6</v>
      </c>
      <c r="V372">
        <f t="shared" si="22"/>
        <v>2024</v>
      </c>
      <c r="W372">
        <f t="shared" si="23"/>
        <v>1</v>
      </c>
      <c r="X372" t="str">
        <f t="shared" si="24"/>
        <v>2024-1</v>
      </c>
    </row>
    <row r="373" spans="17:24" x14ac:dyDescent="0.3">
      <c r="Q373" t="s">
        <v>10</v>
      </c>
      <c r="R373" t="s">
        <v>60</v>
      </c>
      <c r="S373" t="s">
        <v>271</v>
      </c>
      <c r="T373">
        <v>13245</v>
      </c>
      <c r="U373">
        <v>4</v>
      </c>
      <c r="V373">
        <f t="shared" si="22"/>
        <v>2024</v>
      </c>
      <c r="W373">
        <f t="shared" si="23"/>
        <v>1</v>
      </c>
      <c r="X373" t="str">
        <f t="shared" si="24"/>
        <v>2024-1</v>
      </c>
    </row>
    <row r="374" spans="17:24" x14ac:dyDescent="0.3">
      <c r="Q374" t="s">
        <v>47</v>
      </c>
      <c r="R374" t="s">
        <v>69</v>
      </c>
      <c r="S374" t="s">
        <v>271</v>
      </c>
      <c r="T374">
        <v>43189</v>
      </c>
      <c r="U374">
        <v>5</v>
      </c>
      <c r="V374">
        <f t="shared" si="22"/>
        <v>2024</v>
      </c>
      <c r="W374">
        <f t="shared" si="23"/>
        <v>1</v>
      </c>
      <c r="X374" t="str">
        <f t="shared" si="24"/>
        <v>2024-1</v>
      </c>
    </row>
    <row r="375" spans="17:24" x14ac:dyDescent="0.3">
      <c r="Q375" t="s">
        <v>14</v>
      </c>
      <c r="R375" t="s">
        <v>112</v>
      </c>
      <c r="S375" t="s">
        <v>271</v>
      </c>
      <c r="T375">
        <v>90296</v>
      </c>
      <c r="U375">
        <v>4</v>
      </c>
      <c r="V375">
        <f t="shared" si="22"/>
        <v>2024</v>
      </c>
      <c r="W375">
        <f t="shared" si="23"/>
        <v>1</v>
      </c>
      <c r="X375" t="str">
        <f t="shared" si="24"/>
        <v>2024-1</v>
      </c>
    </row>
    <row r="376" spans="17:24" x14ac:dyDescent="0.3">
      <c r="Q376" t="s">
        <v>45</v>
      </c>
      <c r="R376" t="s">
        <v>268</v>
      </c>
      <c r="S376" t="s">
        <v>271</v>
      </c>
      <c r="T376">
        <v>24819</v>
      </c>
      <c r="U376">
        <v>9</v>
      </c>
      <c r="V376">
        <f t="shared" si="22"/>
        <v>2024</v>
      </c>
      <c r="W376">
        <f t="shared" si="23"/>
        <v>1</v>
      </c>
      <c r="X376" t="str">
        <f t="shared" si="24"/>
        <v>2024-1</v>
      </c>
    </row>
    <row r="377" spans="17:24" x14ac:dyDescent="0.3">
      <c r="Q377" t="s">
        <v>8</v>
      </c>
      <c r="R377" t="s">
        <v>149</v>
      </c>
      <c r="S377" t="s">
        <v>271</v>
      </c>
      <c r="T377">
        <v>92407</v>
      </c>
      <c r="U377">
        <v>6</v>
      </c>
      <c r="V377">
        <f t="shared" si="22"/>
        <v>2024</v>
      </c>
      <c r="W377">
        <f t="shared" si="23"/>
        <v>1</v>
      </c>
      <c r="X377" t="str">
        <f t="shared" si="24"/>
        <v>2024-1</v>
      </c>
    </row>
    <row r="378" spans="17:24" x14ac:dyDescent="0.3">
      <c r="Q378" t="s">
        <v>12</v>
      </c>
      <c r="R378" t="s">
        <v>202</v>
      </c>
      <c r="S378" t="s">
        <v>271</v>
      </c>
      <c r="T378">
        <v>51365</v>
      </c>
      <c r="U378">
        <v>3</v>
      </c>
      <c r="V378">
        <f t="shared" si="22"/>
        <v>2024</v>
      </c>
      <c r="W378">
        <f t="shared" si="23"/>
        <v>1</v>
      </c>
      <c r="X378" t="str">
        <f t="shared" si="24"/>
        <v>2024-1</v>
      </c>
    </row>
    <row r="379" spans="17:24" x14ac:dyDescent="0.3">
      <c r="Q379" t="s">
        <v>40</v>
      </c>
      <c r="R379" t="s">
        <v>147</v>
      </c>
      <c r="S379" t="s">
        <v>271</v>
      </c>
      <c r="T379">
        <v>23301</v>
      </c>
      <c r="U379">
        <v>3</v>
      </c>
      <c r="V379">
        <f t="shared" si="22"/>
        <v>2024</v>
      </c>
      <c r="W379">
        <f t="shared" si="23"/>
        <v>1</v>
      </c>
      <c r="X379" t="str">
        <f t="shared" si="24"/>
        <v>2024-1</v>
      </c>
    </row>
    <row r="380" spans="17:24" x14ac:dyDescent="0.3">
      <c r="Q380" t="s">
        <v>21</v>
      </c>
      <c r="R380" t="s">
        <v>103</v>
      </c>
      <c r="S380" t="s">
        <v>271</v>
      </c>
      <c r="T380">
        <v>89448</v>
      </c>
      <c r="U380">
        <v>7</v>
      </c>
      <c r="V380">
        <f t="shared" si="22"/>
        <v>2024</v>
      </c>
      <c r="W380">
        <f t="shared" si="23"/>
        <v>1</v>
      </c>
      <c r="X380" t="str">
        <f t="shared" si="24"/>
        <v>2024-1</v>
      </c>
    </row>
    <row r="381" spans="17:24" x14ac:dyDescent="0.3">
      <c r="Q381" t="s">
        <v>8</v>
      </c>
      <c r="R381" t="s">
        <v>180</v>
      </c>
      <c r="S381" t="s">
        <v>271</v>
      </c>
      <c r="T381">
        <v>78728</v>
      </c>
      <c r="U381">
        <v>7</v>
      </c>
      <c r="V381">
        <f t="shared" si="22"/>
        <v>2024</v>
      </c>
      <c r="W381">
        <f t="shared" si="23"/>
        <v>1</v>
      </c>
      <c r="X381" t="str">
        <f t="shared" si="24"/>
        <v>2024-1</v>
      </c>
    </row>
    <row r="382" spans="17:24" x14ac:dyDescent="0.3">
      <c r="Q382" t="s">
        <v>18</v>
      </c>
      <c r="R382" t="s">
        <v>58</v>
      </c>
      <c r="S382" t="s">
        <v>271</v>
      </c>
      <c r="T382">
        <v>56944</v>
      </c>
      <c r="U382">
        <v>10</v>
      </c>
      <c r="V382">
        <f t="shared" si="22"/>
        <v>2024</v>
      </c>
      <c r="W382">
        <f t="shared" si="23"/>
        <v>1</v>
      </c>
      <c r="X382" t="str">
        <f t="shared" si="24"/>
        <v>2024-1</v>
      </c>
    </row>
    <row r="383" spans="17:24" x14ac:dyDescent="0.3">
      <c r="Q383" t="s">
        <v>47</v>
      </c>
      <c r="R383" t="s">
        <v>52</v>
      </c>
      <c r="S383" t="s">
        <v>271</v>
      </c>
      <c r="T383">
        <v>92404</v>
      </c>
      <c r="U383">
        <v>8</v>
      </c>
      <c r="V383">
        <f t="shared" si="22"/>
        <v>2024</v>
      </c>
      <c r="W383">
        <f t="shared" si="23"/>
        <v>1</v>
      </c>
      <c r="X383" t="str">
        <f t="shared" si="24"/>
        <v>2024-1</v>
      </c>
    </row>
    <row r="384" spans="17:24" x14ac:dyDescent="0.3">
      <c r="Q384" t="s">
        <v>47</v>
      </c>
      <c r="R384" t="s">
        <v>17</v>
      </c>
      <c r="S384" t="s">
        <v>271</v>
      </c>
      <c r="T384">
        <v>78403</v>
      </c>
      <c r="U384">
        <v>9</v>
      </c>
      <c r="V384">
        <f t="shared" si="22"/>
        <v>2024</v>
      </c>
      <c r="W384">
        <f t="shared" si="23"/>
        <v>1</v>
      </c>
      <c r="X384" t="str">
        <f t="shared" si="24"/>
        <v>2024-1</v>
      </c>
    </row>
    <row r="385" spans="17:24" x14ac:dyDescent="0.3">
      <c r="Q385" t="s">
        <v>18</v>
      </c>
      <c r="R385" t="s">
        <v>17</v>
      </c>
      <c r="S385" t="s">
        <v>271</v>
      </c>
      <c r="T385">
        <v>14250</v>
      </c>
      <c r="U385">
        <v>4</v>
      </c>
      <c r="V385">
        <f t="shared" si="22"/>
        <v>2024</v>
      </c>
      <c r="W385">
        <f t="shared" si="23"/>
        <v>1</v>
      </c>
      <c r="X385" t="str">
        <f t="shared" si="24"/>
        <v>2024-1</v>
      </c>
    </row>
    <row r="386" spans="17:24" x14ac:dyDescent="0.3">
      <c r="Q386" t="s">
        <v>21</v>
      </c>
      <c r="R386" t="s">
        <v>174</v>
      </c>
      <c r="S386" t="s">
        <v>272</v>
      </c>
      <c r="T386">
        <v>62580</v>
      </c>
      <c r="U386">
        <v>4</v>
      </c>
      <c r="V386">
        <f t="shared" si="22"/>
        <v>2024</v>
      </c>
      <c r="W386">
        <f t="shared" si="23"/>
        <v>1</v>
      </c>
      <c r="X386" t="str">
        <f t="shared" si="24"/>
        <v>2024-1</v>
      </c>
    </row>
    <row r="387" spans="17:24" x14ac:dyDescent="0.3">
      <c r="Q387" t="s">
        <v>14</v>
      </c>
      <c r="R387" t="s">
        <v>111</v>
      </c>
      <c r="S387" t="s">
        <v>272</v>
      </c>
      <c r="T387">
        <v>40136</v>
      </c>
      <c r="U387">
        <v>8</v>
      </c>
      <c r="V387">
        <f t="shared" ref="V387:V450" si="25">YEAR(S387)</f>
        <v>2024</v>
      </c>
      <c r="W387">
        <f t="shared" ref="W387:W450" si="26">MONTH(S387)</f>
        <v>1</v>
      </c>
      <c r="X387" t="str">
        <f t="shared" ref="X387:X450" si="27">V387&amp;"-"&amp;W387</f>
        <v>2024-1</v>
      </c>
    </row>
    <row r="388" spans="17:24" x14ac:dyDescent="0.3">
      <c r="Q388" t="s">
        <v>21</v>
      </c>
      <c r="R388" t="s">
        <v>169</v>
      </c>
      <c r="S388" t="s">
        <v>272</v>
      </c>
      <c r="T388">
        <v>26878</v>
      </c>
      <c r="U388">
        <v>8</v>
      </c>
      <c r="V388">
        <f t="shared" si="25"/>
        <v>2024</v>
      </c>
      <c r="W388">
        <f t="shared" si="26"/>
        <v>1</v>
      </c>
      <c r="X388" t="str">
        <f t="shared" si="27"/>
        <v>2024-1</v>
      </c>
    </row>
    <row r="389" spans="17:24" x14ac:dyDescent="0.3">
      <c r="Q389" t="s">
        <v>14</v>
      </c>
      <c r="R389" t="s">
        <v>194</v>
      </c>
      <c r="S389" t="s">
        <v>272</v>
      </c>
      <c r="T389">
        <v>47743</v>
      </c>
      <c r="U389">
        <v>3</v>
      </c>
      <c r="V389">
        <f t="shared" si="25"/>
        <v>2024</v>
      </c>
      <c r="W389">
        <f t="shared" si="26"/>
        <v>1</v>
      </c>
      <c r="X389" t="str">
        <f t="shared" si="27"/>
        <v>2024-1</v>
      </c>
    </row>
    <row r="390" spans="17:24" x14ac:dyDescent="0.3">
      <c r="Q390" t="s">
        <v>8</v>
      </c>
      <c r="R390" t="s">
        <v>273</v>
      </c>
      <c r="S390" t="s">
        <v>272</v>
      </c>
      <c r="T390">
        <v>74856</v>
      </c>
      <c r="U390">
        <v>3</v>
      </c>
      <c r="V390">
        <f t="shared" si="25"/>
        <v>2024</v>
      </c>
      <c r="W390">
        <f t="shared" si="26"/>
        <v>1</v>
      </c>
      <c r="X390" t="str">
        <f t="shared" si="27"/>
        <v>2024-1</v>
      </c>
    </row>
    <row r="391" spans="17:24" x14ac:dyDescent="0.3">
      <c r="Q391" t="s">
        <v>28</v>
      </c>
      <c r="R391" t="s">
        <v>78</v>
      </c>
      <c r="S391" t="s">
        <v>274</v>
      </c>
      <c r="T391">
        <v>10099</v>
      </c>
      <c r="U391">
        <v>9</v>
      </c>
      <c r="V391">
        <f t="shared" si="25"/>
        <v>2024</v>
      </c>
      <c r="W391">
        <f t="shared" si="26"/>
        <v>1</v>
      </c>
      <c r="X391" t="str">
        <f t="shared" si="27"/>
        <v>2024-1</v>
      </c>
    </row>
    <row r="392" spans="17:24" x14ac:dyDescent="0.3">
      <c r="Q392" t="s">
        <v>28</v>
      </c>
      <c r="R392" t="s">
        <v>84</v>
      </c>
      <c r="S392" t="s">
        <v>275</v>
      </c>
      <c r="T392">
        <v>25387</v>
      </c>
      <c r="U392">
        <v>8</v>
      </c>
      <c r="V392">
        <f t="shared" si="25"/>
        <v>2024</v>
      </c>
      <c r="W392">
        <f t="shared" si="26"/>
        <v>1</v>
      </c>
      <c r="X392" t="str">
        <f t="shared" si="27"/>
        <v>2024-1</v>
      </c>
    </row>
    <row r="393" spans="17:24" x14ac:dyDescent="0.3">
      <c r="Q393" t="s">
        <v>21</v>
      </c>
      <c r="R393" t="s">
        <v>276</v>
      </c>
      <c r="S393" t="s">
        <v>275</v>
      </c>
      <c r="T393">
        <v>50442</v>
      </c>
      <c r="U393">
        <v>9</v>
      </c>
      <c r="V393">
        <f t="shared" si="25"/>
        <v>2024</v>
      </c>
      <c r="W393">
        <f t="shared" si="26"/>
        <v>1</v>
      </c>
      <c r="X393" t="str">
        <f t="shared" si="27"/>
        <v>2024-1</v>
      </c>
    </row>
    <row r="394" spans="17:24" x14ac:dyDescent="0.3">
      <c r="Q394" t="s">
        <v>21</v>
      </c>
      <c r="R394" t="s">
        <v>277</v>
      </c>
      <c r="S394" t="s">
        <v>275</v>
      </c>
      <c r="T394">
        <v>67545</v>
      </c>
      <c r="U394">
        <v>4</v>
      </c>
      <c r="V394">
        <f t="shared" si="25"/>
        <v>2024</v>
      </c>
      <c r="W394">
        <f t="shared" si="26"/>
        <v>1</v>
      </c>
      <c r="X394" t="str">
        <f t="shared" si="27"/>
        <v>2024-1</v>
      </c>
    </row>
    <row r="395" spans="17:24" x14ac:dyDescent="0.3">
      <c r="Q395" t="s">
        <v>50</v>
      </c>
      <c r="R395" t="s">
        <v>217</v>
      </c>
      <c r="S395" t="s">
        <v>275</v>
      </c>
      <c r="T395">
        <v>77803</v>
      </c>
      <c r="U395">
        <v>7</v>
      </c>
      <c r="V395">
        <f t="shared" si="25"/>
        <v>2024</v>
      </c>
      <c r="W395">
        <f t="shared" si="26"/>
        <v>1</v>
      </c>
      <c r="X395" t="str">
        <f t="shared" si="27"/>
        <v>2024-1</v>
      </c>
    </row>
    <row r="396" spans="17:24" x14ac:dyDescent="0.3">
      <c r="Q396" t="s">
        <v>40</v>
      </c>
      <c r="R396" t="s">
        <v>76</v>
      </c>
      <c r="S396" t="s">
        <v>275</v>
      </c>
      <c r="T396">
        <v>53687</v>
      </c>
      <c r="U396">
        <v>9</v>
      </c>
      <c r="V396">
        <f t="shared" si="25"/>
        <v>2024</v>
      </c>
      <c r="W396">
        <f t="shared" si="26"/>
        <v>1</v>
      </c>
      <c r="X396" t="str">
        <f t="shared" si="27"/>
        <v>2024-1</v>
      </c>
    </row>
    <row r="397" spans="17:24" x14ac:dyDescent="0.3">
      <c r="Q397" t="s">
        <v>8</v>
      </c>
      <c r="R397" t="s">
        <v>103</v>
      </c>
      <c r="S397" t="s">
        <v>278</v>
      </c>
      <c r="T397">
        <v>47832</v>
      </c>
      <c r="U397">
        <v>7</v>
      </c>
      <c r="V397">
        <f t="shared" si="25"/>
        <v>2024</v>
      </c>
      <c r="W397">
        <f t="shared" si="26"/>
        <v>1</v>
      </c>
      <c r="X397" t="str">
        <f t="shared" si="27"/>
        <v>2024-1</v>
      </c>
    </row>
    <row r="398" spans="17:24" x14ac:dyDescent="0.3">
      <c r="Q398" t="s">
        <v>50</v>
      </c>
      <c r="R398" t="s">
        <v>279</v>
      </c>
      <c r="S398" t="s">
        <v>278</v>
      </c>
      <c r="T398">
        <v>73424</v>
      </c>
      <c r="U398">
        <v>4</v>
      </c>
      <c r="V398">
        <f t="shared" si="25"/>
        <v>2024</v>
      </c>
      <c r="W398">
        <f t="shared" si="26"/>
        <v>1</v>
      </c>
      <c r="X398" t="str">
        <f t="shared" si="27"/>
        <v>2024-1</v>
      </c>
    </row>
    <row r="399" spans="17:24" x14ac:dyDescent="0.3">
      <c r="Q399" t="s">
        <v>5</v>
      </c>
      <c r="R399" t="s">
        <v>280</v>
      </c>
      <c r="S399" t="s">
        <v>278</v>
      </c>
      <c r="T399">
        <v>18996</v>
      </c>
      <c r="U399">
        <v>6</v>
      </c>
      <c r="V399">
        <f t="shared" si="25"/>
        <v>2024</v>
      </c>
      <c r="W399">
        <f t="shared" si="26"/>
        <v>1</v>
      </c>
      <c r="X399" t="str">
        <f t="shared" si="27"/>
        <v>2024-1</v>
      </c>
    </row>
    <row r="400" spans="17:24" x14ac:dyDescent="0.3">
      <c r="Q400" t="s">
        <v>18</v>
      </c>
      <c r="R400" t="s">
        <v>231</v>
      </c>
      <c r="S400" t="s">
        <v>278</v>
      </c>
      <c r="T400">
        <v>31870</v>
      </c>
      <c r="U400">
        <v>8</v>
      </c>
      <c r="V400">
        <f t="shared" si="25"/>
        <v>2024</v>
      </c>
      <c r="W400">
        <f t="shared" si="26"/>
        <v>1</v>
      </c>
      <c r="X400" t="str">
        <f t="shared" si="27"/>
        <v>2024-1</v>
      </c>
    </row>
    <row r="401" spans="17:24" x14ac:dyDescent="0.3">
      <c r="Q401" t="s">
        <v>18</v>
      </c>
      <c r="R401" t="s">
        <v>166</v>
      </c>
      <c r="S401" t="s">
        <v>278</v>
      </c>
      <c r="T401">
        <v>43964</v>
      </c>
      <c r="U401">
        <v>9</v>
      </c>
      <c r="V401">
        <f t="shared" si="25"/>
        <v>2024</v>
      </c>
      <c r="W401">
        <f t="shared" si="26"/>
        <v>1</v>
      </c>
      <c r="X401" t="str">
        <f t="shared" si="27"/>
        <v>2024-1</v>
      </c>
    </row>
    <row r="402" spans="17:24" x14ac:dyDescent="0.3">
      <c r="Q402" t="s">
        <v>8</v>
      </c>
      <c r="R402" t="s">
        <v>90</v>
      </c>
      <c r="S402" t="s">
        <v>281</v>
      </c>
      <c r="T402">
        <v>37514</v>
      </c>
      <c r="U402">
        <v>7</v>
      </c>
      <c r="V402">
        <f t="shared" si="25"/>
        <v>2024</v>
      </c>
      <c r="W402">
        <f t="shared" si="26"/>
        <v>1</v>
      </c>
      <c r="X402" t="str">
        <f t="shared" si="27"/>
        <v>2024-1</v>
      </c>
    </row>
    <row r="403" spans="17:24" x14ac:dyDescent="0.3">
      <c r="Q403" t="s">
        <v>50</v>
      </c>
      <c r="R403" t="s">
        <v>234</v>
      </c>
      <c r="S403" t="s">
        <v>281</v>
      </c>
      <c r="T403">
        <v>45363</v>
      </c>
      <c r="U403">
        <v>4</v>
      </c>
      <c r="V403">
        <f t="shared" si="25"/>
        <v>2024</v>
      </c>
      <c r="W403">
        <f t="shared" si="26"/>
        <v>1</v>
      </c>
      <c r="X403" t="str">
        <f t="shared" si="27"/>
        <v>2024-1</v>
      </c>
    </row>
    <row r="404" spans="17:24" x14ac:dyDescent="0.3">
      <c r="Q404" t="s">
        <v>12</v>
      </c>
      <c r="R404" t="s">
        <v>244</v>
      </c>
      <c r="S404" t="s">
        <v>281</v>
      </c>
      <c r="T404">
        <v>67875</v>
      </c>
      <c r="U404">
        <v>9</v>
      </c>
      <c r="V404">
        <f t="shared" si="25"/>
        <v>2024</v>
      </c>
      <c r="W404">
        <f t="shared" si="26"/>
        <v>1</v>
      </c>
      <c r="X404" t="str">
        <f t="shared" si="27"/>
        <v>2024-1</v>
      </c>
    </row>
    <row r="405" spans="17:24" x14ac:dyDescent="0.3">
      <c r="Q405" t="s">
        <v>40</v>
      </c>
      <c r="R405" t="s">
        <v>151</v>
      </c>
      <c r="S405" t="s">
        <v>281</v>
      </c>
      <c r="T405">
        <v>67919</v>
      </c>
      <c r="U405">
        <v>9</v>
      </c>
      <c r="V405">
        <f t="shared" si="25"/>
        <v>2024</v>
      </c>
      <c r="W405">
        <f t="shared" si="26"/>
        <v>1</v>
      </c>
      <c r="X405" t="str">
        <f t="shared" si="27"/>
        <v>2024-1</v>
      </c>
    </row>
    <row r="406" spans="17:24" x14ac:dyDescent="0.3">
      <c r="Q406" t="s">
        <v>21</v>
      </c>
      <c r="R406" t="s">
        <v>282</v>
      </c>
      <c r="S406" t="s">
        <v>281</v>
      </c>
      <c r="T406">
        <v>64725</v>
      </c>
      <c r="U406">
        <v>8</v>
      </c>
      <c r="V406">
        <f t="shared" si="25"/>
        <v>2024</v>
      </c>
      <c r="W406">
        <f t="shared" si="26"/>
        <v>1</v>
      </c>
      <c r="X406" t="str">
        <f t="shared" si="27"/>
        <v>2024-1</v>
      </c>
    </row>
    <row r="407" spans="17:24" x14ac:dyDescent="0.3">
      <c r="Q407" t="s">
        <v>14</v>
      </c>
      <c r="R407" t="s">
        <v>52</v>
      </c>
      <c r="S407" t="s">
        <v>281</v>
      </c>
      <c r="T407">
        <v>32174</v>
      </c>
      <c r="U407">
        <v>9</v>
      </c>
      <c r="V407">
        <f t="shared" si="25"/>
        <v>2024</v>
      </c>
      <c r="W407">
        <f t="shared" si="26"/>
        <v>1</v>
      </c>
      <c r="X407" t="str">
        <f t="shared" si="27"/>
        <v>2024-1</v>
      </c>
    </row>
    <row r="408" spans="17:24" x14ac:dyDescent="0.3">
      <c r="Q408" t="s">
        <v>14</v>
      </c>
      <c r="R408" t="s">
        <v>110</v>
      </c>
      <c r="S408" t="s">
        <v>281</v>
      </c>
      <c r="T408">
        <v>81534</v>
      </c>
      <c r="U408">
        <v>8</v>
      </c>
      <c r="V408">
        <f t="shared" si="25"/>
        <v>2024</v>
      </c>
      <c r="W408">
        <f t="shared" si="26"/>
        <v>1</v>
      </c>
      <c r="X408" t="str">
        <f t="shared" si="27"/>
        <v>2024-1</v>
      </c>
    </row>
    <row r="409" spans="17:24" x14ac:dyDescent="0.3">
      <c r="Q409" t="s">
        <v>14</v>
      </c>
      <c r="R409" t="s">
        <v>85</v>
      </c>
      <c r="S409" t="s">
        <v>281</v>
      </c>
      <c r="T409">
        <v>88440</v>
      </c>
      <c r="U409">
        <v>6</v>
      </c>
      <c r="V409">
        <f t="shared" si="25"/>
        <v>2024</v>
      </c>
      <c r="W409">
        <f t="shared" si="26"/>
        <v>1</v>
      </c>
      <c r="X409" t="str">
        <f t="shared" si="27"/>
        <v>2024-1</v>
      </c>
    </row>
    <row r="410" spans="17:24" x14ac:dyDescent="0.3">
      <c r="Q410" t="s">
        <v>28</v>
      </c>
      <c r="R410" t="s">
        <v>95</v>
      </c>
      <c r="S410" t="s">
        <v>281</v>
      </c>
      <c r="T410">
        <v>79842</v>
      </c>
      <c r="U410">
        <v>7</v>
      </c>
      <c r="V410">
        <f t="shared" si="25"/>
        <v>2024</v>
      </c>
      <c r="W410">
        <f t="shared" si="26"/>
        <v>1</v>
      </c>
      <c r="X410" t="str">
        <f t="shared" si="27"/>
        <v>2024-1</v>
      </c>
    </row>
    <row r="411" spans="17:24" x14ac:dyDescent="0.3">
      <c r="Q411" t="s">
        <v>50</v>
      </c>
      <c r="R411" t="s">
        <v>185</v>
      </c>
      <c r="S411" t="s">
        <v>281</v>
      </c>
      <c r="T411">
        <v>37199</v>
      </c>
      <c r="U411">
        <v>6</v>
      </c>
      <c r="V411">
        <f t="shared" si="25"/>
        <v>2024</v>
      </c>
      <c r="W411">
        <f t="shared" si="26"/>
        <v>1</v>
      </c>
      <c r="X411" t="str">
        <f t="shared" si="27"/>
        <v>2024-1</v>
      </c>
    </row>
    <row r="412" spans="17:24" x14ac:dyDescent="0.3">
      <c r="Q412" t="s">
        <v>18</v>
      </c>
      <c r="R412" t="s">
        <v>101</v>
      </c>
      <c r="S412" t="s">
        <v>283</v>
      </c>
      <c r="T412">
        <v>66376</v>
      </c>
      <c r="U412">
        <v>7</v>
      </c>
      <c r="V412">
        <f t="shared" si="25"/>
        <v>2024</v>
      </c>
      <c r="W412">
        <f t="shared" si="26"/>
        <v>1</v>
      </c>
      <c r="X412" t="str">
        <f t="shared" si="27"/>
        <v>2024-1</v>
      </c>
    </row>
    <row r="413" spans="17:24" x14ac:dyDescent="0.3">
      <c r="Q413" t="s">
        <v>45</v>
      </c>
      <c r="R413" t="s">
        <v>199</v>
      </c>
      <c r="S413" t="s">
        <v>283</v>
      </c>
      <c r="T413">
        <v>23053</v>
      </c>
      <c r="U413">
        <v>7</v>
      </c>
      <c r="V413">
        <f t="shared" si="25"/>
        <v>2024</v>
      </c>
      <c r="W413">
        <f t="shared" si="26"/>
        <v>1</v>
      </c>
      <c r="X413" t="str">
        <f t="shared" si="27"/>
        <v>2024-1</v>
      </c>
    </row>
    <row r="414" spans="17:24" x14ac:dyDescent="0.3">
      <c r="Q414" t="s">
        <v>50</v>
      </c>
      <c r="R414" t="s">
        <v>284</v>
      </c>
      <c r="S414" t="s">
        <v>283</v>
      </c>
      <c r="T414">
        <v>77716</v>
      </c>
      <c r="U414">
        <v>7</v>
      </c>
      <c r="V414">
        <f t="shared" si="25"/>
        <v>2024</v>
      </c>
      <c r="W414">
        <f t="shared" si="26"/>
        <v>1</v>
      </c>
      <c r="X414" t="str">
        <f t="shared" si="27"/>
        <v>2024-1</v>
      </c>
    </row>
    <row r="415" spans="17:24" x14ac:dyDescent="0.3">
      <c r="Q415" t="s">
        <v>12</v>
      </c>
      <c r="R415" t="s">
        <v>83</v>
      </c>
      <c r="S415" t="s">
        <v>285</v>
      </c>
      <c r="T415">
        <v>96088</v>
      </c>
      <c r="U415">
        <v>6</v>
      </c>
      <c r="V415">
        <f t="shared" si="25"/>
        <v>2024</v>
      </c>
      <c r="W415">
        <f t="shared" si="26"/>
        <v>1</v>
      </c>
      <c r="X415" t="str">
        <f t="shared" si="27"/>
        <v>2024-1</v>
      </c>
    </row>
    <row r="416" spans="17:24" x14ac:dyDescent="0.3">
      <c r="Q416" t="s">
        <v>10</v>
      </c>
      <c r="R416" t="s">
        <v>67</v>
      </c>
      <c r="S416" t="s">
        <v>285</v>
      </c>
      <c r="T416">
        <v>68404</v>
      </c>
      <c r="U416">
        <v>7</v>
      </c>
      <c r="V416">
        <f t="shared" si="25"/>
        <v>2024</v>
      </c>
      <c r="W416">
        <f t="shared" si="26"/>
        <v>1</v>
      </c>
      <c r="X416" t="str">
        <f t="shared" si="27"/>
        <v>2024-1</v>
      </c>
    </row>
    <row r="417" spans="17:24" x14ac:dyDescent="0.3">
      <c r="Q417" t="s">
        <v>45</v>
      </c>
      <c r="R417" t="s">
        <v>105</v>
      </c>
      <c r="S417" t="s">
        <v>285</v>
      </c>
      <c r="T417">
        <v>33898</v>
      </c>
      <c r="U417">
        <v>8</v>
      </c>
      <c r="V417">
        <f t="shared" si="25"/>
        <v>2024</v>
      </c>
      <c r="W417">
        <f t="shared" si="26"/>
        <v>1</v>
      </c>
      <c r="X417" t="str">
        <f t="shared" si="27"/>
        <v>2024-1</v>
      </c>
    </row>
    <row r="418" spans="17:24" x14ac:dyDescent="0.3">
      <c r="Q418" t="s">
        <v>50</v>
      </c>
      <c r="R418" t="s">
        <v>209</v>
      </c>
      <c r="S418" t="s">
        <v>286</v>
      </c>
      <c r="T418">
        <v>36936</v>
      </c>
      <c r="U418">
        <v>5</v>
      </c>
      <c r="V418">
        <f t="shared" si="25"/>
        <v>2024</v>
      </c>
      <c r="W418">
        <f t="shared" si="26"/>
        <v>1</v>
      </c>
      <c r="X418" t="str">
        <f t="shared" si="27"/>
        <v>2024-1</v>
      </c>
    </row>
    <row r="419" spans="17:24" x14ac:dyDescent="0.3">
      <c r="Q419" t="s">
        <v>50</v>
      </c>
      <c r="R419" t="s">
        <v>89</v>
      </c>
      <c r="S419" t="s">
        <v>286</v>
      </c>
      <c r="T419">
        <v>79744</v>
      </c>
      <c r="U419">
        <v>7</v>
      </c>
      <c r="V419">
        <f t="shared" si="25"/>
        <v>2024</v>
      </c>
      <c r="W419">
        <f t="shared" si="26"/>
        <v>1</v>
      </c>
      <c r="X419" t="str">
        <f t="shared" si="27"/>
        <v>2024-1</v>
      </c>
    </row>
    <row r="420" spans="17:24" x14ac:dyDescent="0.3">
      <c r="Q420" t="s">
        <v>10</v>
      </c>
      <c r="R420" t="s">
        <v>81</v>
      </c>
      <c r="S420" t="s">
        <v>287</v>
      </c>
      <c r="T420">
        <v>38482</v>
      </c>
      <c r="U420">
        <v>8</v>
      </c>
      <c r="V420">
        <f t="shared" si="25"/>
        <v>2024</v>
      </c>
      <c r="W420">
        <f t="shared" si="26"/>
        <v>1</v>
      </c>
      <c r="X420" t="str">
        <f t="shared" si="27"/>
        <v>2024-1</v>
      </c>
    </row>
    <row r="421" spans="17:24" x14ac:dyDescent="0.3">
      <c r="Q421" t="s">
        <v>21</v>
      </c>
      <c r="R421" t="s">
        <v>256</v>
      </c>
      <c r="S421" t="s">
        <v>288</v>
      </c>
      <c r="T421">
        <v>14979</v>
      </c>
      <c r="U421">
        <v>10</v>
      </c>
      <c r="V421">
        <f t="shared" si="25"/>
        <v>2024</v>
      </c>
      <c r="W421">
        <f t="shared" si="26"/>
        <v>1</v>
      </c>
      <c r="X421" t="str">
        <f t="shared" si="27"/>
        <v>2024-1</v>
      </c>
    </row>
    <row r="422" spans="17:24" x14ac:dyDescent="0.3">
      <c r="Q422" t="s">
        <v>50</v>
      </c>
      <c r="R422" t="s">
        <v>85</v>
      </c>
      <c r="S422" t="s">
        <v>288</v>
      </c>
      <c r="T422">
        <v>50532</v>
      </c>
      <c r="U422">
        <v>4</v>
      </c>
      <c r="V422">
        <f t="shared" si="25"/>
        <v>2024</v>
      </c>
      <c r="W422">
        <f t="shared" si="26"/>
        <v>1</v>
      </c>
      <c r="X422" t="str">
        <f t="shared" si="27"/>
        <v>2024-1</v>
      </c>
    </row>
    <row r="423" spans="17:24" x14ac:dyDescent="0.3">
      <c r="Q423" t="s">
        <v>14</v>
      </c>
      <c r="R423" t="s">
        <v>289</v>
      </c>
      <c r="S423" t="s">
        <v>288</v>
      </c>
      <c r="T423">
        <v>59760</v>
      </c>
      <c r="U423">
        <v>7</v>
      </c>
      <c r="V423">
        <f t="shared" si="25"/>
        <v>2024</v>
      </c>
      <c r="W423">
        <f t="shared" si="26"/>
        <v>1</v>
      </c>
      <c r="X423" t="str">
        <f t="shared" si="27"/>
        <v>2024-1</v>
      </c>
    </row>
    <row r="424" spans="17:24" x14ac:dyDescent="0.3">
      <c r="Q424" t="s">
        <v>5</v>
      </c>
      <c r="R424" t="s">
        <v>116</v>
      </c>
      <c r="S424" t="s">
        <v>288</v>
      </c>
      <c r="T424">
        <v>35275</v>
      </c>
      <c r="U424">
        <v>6</v>
      </c>
      <c r="V424">
        <f t="shared" si="25"/>
        <v>2024</v>
      </c>
      <c r="W424">
        <f t="shared" si="26"/>
        <v>1</v>
      </c>
      <c r="X424" t="str">
        <f t="shared" si="27"/>
        <v>2024-1</v>
      </c>
    </row>
    <row r="425" spans="17:24" x14ac:dyDescent="0.3">
      <c r="Q425" t="s">
        <v>45</v>
      </c>
      <c r="R425" t="s">
        <v>101</v>
      </c>
      <c r="S425" t="s">
        <v>288</v>
      </c>
      <c r="T425">
        <v>96328</v>
      </c>
      <c r="U425">
        <v>5</v>
      </c>
      <c r="V425">
        <f t="shared" si="25"/>
        <v>2024</v>
      </c>
      <c r="W425">
        <f t="shared" si="26"/>
        <v>1</v>
      </c>
      <c r="X425" t="str">
        <f t="shared" si="27"/>
        <v>2024-1</v>
      </c>
    </row>
    <row r="426" spans="17:24" x14ac:dyDescent="0.3">
      <c r="Q426" t="s">
        <v>50</v>
      </c>
      <c r="R426" t="s">
        <v>290</v>
      </c>
      <c r="S426" t="s">
        <v>288</v>
      </c>
      <c r="T426">
        <v>57850</v>
      </c>
      <c r="U426">
        <v>9</v>
      </c>
      <c r="V426">
        <f t="shared" si="25"/>
        <v>2024</v>
      </c>
      <c r="W426">
        <f t="shared" si="26"/>
        <v>1</v>
      </c>
      <c r="X426" t="str">
        <f t="shared" si="27"/>
        <v>2024-1</v>
      </c>
    </row>
    <row r="427" spans="17:24" x14ac:dyDescent="0.3">
      <c r="Q427" t="s">
        <v>47</v>
      </c>
      <c r="R427" t="s">
        <v>279</v>
      </c>
      <c r="S427" t="s">
        <v>288</v>
      </c>
      <c r="T427">
        <v>86060</v>
      </c>
      <c r="U427">
        <v>7</v>
      </c>
      <c r="V427">
        <f t="shared" si="25"/>
        <v>2024</v>
      </c>
      <c r="W427">
        <f t="shared" si="26"/>
        <v>1</v>
      </c>
      <c r="X427" t="str">
        <f t="shared" si="27"/>
        <v>2024-1</v>
      </c>
    </row>
    <row r="428" spans="17:24" x14ac:dyDescent="0.3">
      <c r="Q428" t="s">
        <v>18</v>
      </c>
      <c r="R428" t="s">
        <v>221</v>
      </c>
      <c r="S428" t="s">
        <v>288</v>
      </c>
      <c r="T428">
        <v>29679</v>
      </c>
      <c r="U428">
        <v>3</v>
      </c>
      <c r="V428">
        <f t="shared" si="25"/>
        <v>2024</v>
      </c>
      <c r="W428">
        <f t="shared" si="26"/>
        <v>1</v>
      </c>
      <c r="X428" t="str">
        <f t="shared" si="27"/>
        <v>2024-1</v>
      </c>
    </row>
    <row r="429" spans="17:24" x14ac:dyDescent="0.3">
      <c r="Q429" t="s">
        <v>47</v>
      </c>
      <c r="R429" t="s">
        <v>291</v>
      </c>
      <c r="S429" t="s">
        <v>288</v>
      </c>
      <c r="T429">
        <v>14024</v>
      </c>
      <c r="U429">
        <v>7</v>
      </c>
      <c r="V429">
        <f t="shared" si="25"/>
        <v>2024</v>
      </c>
      <c r="W429">
        <f t="shared" si="26"/>
        <v>1</v>
      </c>
      <c r="X429" t="str">
        <f t="shared" si="27"/>
        <v>2024-1</v>
      </c>
    </row>
    <row r="430" spans="17:24" x14ac:dyDescent="0.3">
      <c r="Q430" t="s">
        <v>40</v>
      </c>
      <c r="R430" t="s">
        <v>103</v>
      </c>
      <c r="S430" t="s">
        <v>292</v>
      </c>
      <c r="T430">
        <v>10790</v>
      </c>
      <c r="U430">
        <v>5</v>
      </c>
      <c r="V430">
        <f t="shared" si="25"/>
        <v>2024</v>
      </c>
      <c r="W430">
        <f t="shared" si="26"/>
        <v>1</v>
      </c>
      <c r="X430" t="str">
        <f t="shared" si="27"/>
        <v>2024-1</v>
      </c>
    </row>
    <row r="431" spans="17:24" x14ac:dyDescent="0.3">
      <c r="Q431" t="s">
        <v>14</v>
      </c>
      <c r="R431" t="s">
        <v>186</v>
      </c>
      <c r="S431" t="s">
        <v>292</v>
      </c>
      <c r="T431">
        <v>76735</v>
      </c>
      <c r="U431">
        <v>7</v>
      </c>
      <c r="V431">
        <f t="shared" si="25"/>
        <v>2024</v>
      </c>
      <c r="W431">
        <f t="shared" si="26"/>
        <v>1</v>
      </c>
      <c r="X431" t="str">
        <f t="shared" si="27"/>
        <v>2024-1</v>
      </c>
    </row>
    <row r="432" spans="17:24" x14ac:dyDescent="0.3">
      <c r="Q432" t="s">
        <v>5</v>
      </c>
      <c r="R432" t="s">
        <v>65</v>
      </c>
      <c r="S432" t="s">
        <v>292</v>
      </c>
      <c r="T432">
        <v>83144</v>
      </c>
      <c r="U432">
        <v>5</v>
      </c>
      <c r="V432">
        <f t="shared" si="25"/>
        <v>2024</v>
      </c>
      <c r="W432">
        <f t="shared" si="26"/>
        <v>1</v>
      </c>
      <c r="X432" t="str">
        <f t="shared" si="27"/>
        <v>2024-1</v>
      </c>
    </row>
    <row r="433" spans="17:24" x14ac:dyDescent="0.3">
      <c r="Q433" t="s">
        <v>12</v>
      </c>
      <c r="R433" t="s">
        <v>19</v>
      </c>
      <c r="S433" t="s">
        <v>292</v>
      </c>
      <c r="T433">
        <v>95191</v>
      </c>
      <c r="U433">
        <v>8</v>
      </c>
      <c r="V433">
        <f t="shared" si="25"/>
        <v>2024</v>
      </c>
      <c r="W433">
        <f t="shared" si="26"/>
        <v>1</v>
      </c>
      <c r="X433" t="str">
        <f t="shared" si="27"/>
        <v>2024-1</v>
      </c>
    </row>
    <row r="434" spans="17:24" x14ac:dyDescent="0.3">
      <c r="Q434" t="s">
        <v>14</v>
      </c>
      <c r="R434" t="s">
        <v>227</v>
      </c>
      <c r="S434" t="s">
        <v>293</v>
      </c>
      <c r="T434">
        <v>33239</v>
      </c>
      <c r="U434">
        <v>8</v>
      </c>
      <c r="V434">
        <f t="shared" si="25"/>
        <v>2024</v>
      </c>
      <c r="W434">
        <f t="shared" si="26"/>
        <v>1</v>
      </c>
      <c r="X434" t="str">
        <f t="shared" si="27"/>
        <v>2024-1</v>
      </c>
    </row>
    <row r="435" spans="17:24" x14ac:dyDescent="0.3">
      <c r="Q435" t="s">
        <v>14</v>
      </c>
      <c r="R435" t="s">
        <v>171</v>
      </c>
      <c r="S435" t="s">
        <v>293</v>
      </c>
      <c r="T435">
        <v>95312</v>
      </c>
      <c r="U435">
        <v>8</v>
      </c>
      <c r="V435">
        <f t="shared" si="25"/>
        <v>2024</v>
      </c>
      <c r="W435">
        <f t="shared" si="26"/>
        <v>1</v>
      </c>
      <c r="X435" t="str">
        <f t="shared" si="27"/>
        <v>2024-1</v>
      </c>
    </row>
    <row r="436" spans="17:24" x14ac:dyDescent="0.3">
      <c r="Q436" t="s">
        <v>12</v>
      </c>
      <c r="R436" t="s">
        <v>105</v>
      </c>
      <c r="S436" t="s">
        <v>293</v>
      </c>
      <c r="T436">
        <v>66146</v>
      </c>
      <c r="U436">
        <v>4</v>
      </c>
      <c r="V436">
        <f t="shared" si="25"/>
        <v>2024</v>
      </c>
      <c r="W436">
        <f t="shared" si="26"/>
        <v>1</v>
      </c>
      <c r="X436" t="str">
        <f t="shared" si="27"/>
        <v>2024-1</v>
      </c>
    </row>
    <row r="437" spans="17:24" x14ac:dyDescent="0.3">
      <c r="Q437" t="s">
        <v>8</v>
      </c>
      <c r="R437" t="s">
        <v>193</v>
      </c>
      <c r="S437" t="s">
        <v>293</v>
      </c>
      <c r="T437">
        <v>37501</v>
      </c>
      <c r="U437">
        <v>6</v>
      </c>
      <c r="V437">
        <f t="shared" si="25"/>
        <v>2024</v>
      </c>
      <c r="W437">
        <f t="shared" si="26"/>
        <v>1</v>
      </c>
      <c r="X437" t="str">
        <f t="shared" si="27"/>
        <v>2024-1</v>
      </c>
    </row>
    <row r="438" spans="17:24" x14ac:dyDescent="0.3">
      <c r="Q438" t="s">
        <v>18</v>
      </c>
      <c r="R438" t="s">
        <v>221</v>
      </c>
      <c r="S438" t="s">
        <v>294</v>
      </c>
      <c r="T438">
        <v>14600</v>
      </c>
      <c r="U438">
        <v>7</v>
      </c>
      <c r="V438">
        <f t="shared" si="25"/>
        <v>2024</v>
      </c>
      <c r="W438">
        <f t="shared" si="26"/>
        <v>2</v>
      </c>
      <c r="X438" t="str">
        <f t="shared" si="27"/>
        <v>2024-2</v>
      </c>
    </row>
    <row r="439" spans="17:24" x14ac:dyDescent="0.3">
      <c r="Q439" t="s">
        <v>21</v>
      </c>
      <c r="R439" t="s">
        <v>251</v>
      </c>
      <c r="S439" t="s">
        <v>294</v>
      </c>
      <c r="T439">
        <v>89143</v>
      </c>
      <c r="U439">
        <v>6</v>
      </c>
      <c r="V439">
        <f t="shared" si="25"/>
        <v>2024</v>
      </c>
      <c r="W439">
        <f t="shared" si="26"/>
        <v>2</v>
      </c>
      <c r="X439" t="str">
        <f t="shared" si="27"/>
        <v>2024-2</v>
      </c>
    </row>
    <row r="440" spans="17:24" x14ac:dyDescent="0.3">
      <c r="Q440" t="s">
        <v>12</v>
      </c>
      <c r="R440" t="s">
        <v>49</v>
      </c>
      <c r="S440" t="s">
        <v>294</v>
      </c>
      <c r="T440">
        <v>50587</v>
      </c>
      <c r="U440">
        <v>0</v>
      </c>
      <c r="V440">
        <f t="shared" si="25"/>
        <v>2024</v>
      </c>
      <c r="W440">
        <f t="shared" si="26"/>
        <v>2</v>
      </c>
      <c r="X440" t="str">
        <f t="shared" si="27"/>
        <v>2024-2</v>
      </c>
    </row>
    <row r="441" spans="17:24" x14ac:dyDescent="0.3">
      <c r="Q441" t="s">
        <v>12</v>
      </c>
      <c r="R441" t="s">
        <v>162</v>
      </c>
      <c r="S441" t="s">
        <v>294</v>
      </c>
      <c r="T441">
        <v>65729</v>
      </c>
      <c r="U441">
        <v>4</v>
      </c>
      <c r="V441">
        <f t="shared" si="25"/>
        <v>2024</v>
      </c>
      <c r="W441">
        <f t="shared" si="26"/>
        <v>2</v>
      </c>
      <c r="X441" t="str">
        <f t="shared" si="27"/>
        <v>2024-2</v>
      </c>
    </row>
    <row r="442" spans="17:24" x14ac:dyDescent="0.3">
      <c r="Q442" t="s">
        <v>47</v>
      </c>
      <c r="R442" t="s">
        <v>78</v>
      </c>
      <c r="S442" t="s">
        <v>294</v>
      </c>
      <c r="T442">
        <v>36182</v>
      </c>
      <c r="U442">
        <v>7</v>
      </c>
      <c r="V442">
        <f t="shared" si="25"/>
        <v>2024</v>
      </c>
      <c r="W442">
        <f t="shared" si="26"/>
        <v>2</v>
      </c>
      <c r="X442" t="str">
        <f t="shared" si="27"/>
        <v>2024-2</v>
      </c>
    </row>
    <row r="443" spans="17:24" x14ac:dyDescent="0.3">
      <c r="Q443" t="s">
        <v>18</v>
      </c>
      <c r="R443" t="s">
        <v>35</v>
      </c>
      <c r="S443" t="s">
        <v>295</v>
      </c>
      <c r="T443">
        <v>80965</v>
      </c>
      <c r="U443">
        <v>10</v>
      </c>
      <c r="V443">
        <f t="shared" si="25"/>
        <v>2024</v>
      </c>
      <c r="W443">
        <f t="shared" si="26"/>
        <v>2</v>
      </c>
      <c r="X443" t="str">
        <f t="shared" si="27"/>
        <v>2024-2</v>
      </c>
    </row>
    <row r="444" spans="17:24" x14ac:dyDescent="0.3">
      <c r="Q444" t="s">
        <v>40</v>
      </c>
      <c r="R444" t="s">
        <v>116</v>
      </c>
      <c r="S444" t="s">
        <v>295</v>
      </c>
      <c r="T444">
        <v>99254</v>
      </c>
      <c r="U444">
        <v>0</v>
      </c>
      <c r="V444">
        <f t="shared" si="25"/>
        <v>2024</v>
      </c>
      <c r="W444">
        <f t="shared" si="26"/>
        <v>2</v>
      </c>
      <c r="X444" t="str">
        <f t="shared" si="27"/>
        <v>2024-2</v>
      </c>
    </row>
    <row r="445" spans="17:24" x14ac:dyDescent="0.3">
      <c r="Q445" t="s">
        <v>10</v>
      </c>
      <c r="R445" t="s">
        <v>105</v>
      </c>
      <c r="S445" t="s">
        <v>295</v>
      </c>
      <c r="T445">
        <v>17683</v>
      </c>
      <c r="U445">
        <v>1</v>
      </c>
      <c r="V445">
        <f t="shared" si="25"/>
        <v>2024</v>
      </c>
      <c r="W445">
        <f t="shared" si="26"/>
        <v>2</v>
      </c>
      <c r="X445" t="str">
        <f t="shared" si="27"/>
        <v>2024-2</v>
      </c>
    </row>
    <row r="446" spans="17:24" x14ac:dyDescent="0.3">
      <c r="Q446" t="s">
        <v>50</v>
      </c>
      <c r="R446" t="s">
        <v>9</v>
      </c>
      <c r="S446" t="s">
        <v>296</v>
      </c>
      <c r="T446">
        <v>78176</v>
      </c>
      <c r="U446">
        <v>6</v>
      </c>
      <c r="V446">
        <f t="shared" si="25"/>
        <v>2024</v>
      </c>
      <c r="W446">
        <f t="shared" si="26"/>
        <v>2</v>
      </c>
      <c r="X446" t="str">
        <f t="shared" si="27"/>
        <v>2024-2</v>
      </c>
    </row>
    <row r="447" spans="17:24" x14ac:dyDescent="0.3">
      <c r="Q447" t="s">
        <v>5</v>
      </c>
      <c r="R447" t="s">
        <v>111</v>
      </c>
      <c r="S447" t="s">
        <v>296</v>
      </c>
      <c r="T447">
        <v>68888</v>
      </c>
      <c r="U447">
        <v>2</v>
      </c>
      <c r="V447">
        <f t="shared" si="25"/>
        <v>2024</v>
      </c>
      <c r="W447">
        <f t="shared" si="26"/>
        <v>2</v>
      </c>
      <c r="X447" t="str">
        <f t="shared" si="27"/>
        <v>2024-2</v>
      </c>
    </row>
    <row r="448" spans="17:24" x14ac:dyDescent="0.3">
      <c r="Q448" t="s">
        <v>28</v>
      </c>
      <c r="R448" t="s">
        <v>180</v>
      </c>
      <c r="S448" t="s">
        <v>296</v>
      </c>
      <c r="T448">
        <v>99856</v>
      </c>
      <c r="U448">
        <v>6</v>
      </c>
      <c r="V448">
        <f t="shared" si="25"/>
        <v>2024</v>
      </c>
      <c r="W448">
        <f t="shared" si="26"/>
        <v>2</v>
      </c>
      <c r="X448" t="str">
        <f t="shared" si="27"/>
        <v>2024-2</v>
      </c>
    </row>
    <row r="449" spans="17:24" x14ac:dyDescent="0.3">
      <c r="Q449" t="s">
        <v>47</v>
      </c>
      <c r="R449" t="s">
        <v>140</v>
      </c>
      <c r="S449" t="s">
        <v>296</v>
      </c>
      <c r="T449">
        <v>93573</v>
      </c>
      <c r="U449">
        <v>0</v>
      </c>
      <c r="V449">
        <f t="shared" si="25"/>
        <v>2024</v>
      </c>
      <c r="W449">
        <f t="shared" si="26"/>
        <v>2</v>
      </c>
      <c r="X449" t="str">
        <f t="shared" si="27"/>
        <v>2024-2</v>
      </c>
    </row>
    <row r="450" spans="17:24" x14ac:dyDescent="0.3">
      <c r="Q450" t="s">
        <v>21</v>
      </c>
      <c r="R450" t="s">
        <v>92</v>
      </c>
      <c r="S450" t="s">
        <v>296</v>
      </c>
      <c r="T450">
        <v>44472</v>
      </c>
      <c r="U450">
        <v>8</v>
      </c>
      <c r="V450">
        <f t="shared" si="25"/>
        <v>2024</v>
      </c>
      <c r="W450">
        <f t="shared" si="26"/>
        <v>2</v>
      </c>
      <c r="X450" t="str">
        <f t="shared" si="27"/>
        <v>2024-2</v>
      </c>
    </row>
    <row r="451" spans="17:24" x14ac:dyDescent="0.3">
      <c r="Q451" t="s">
        <v>10</v>
      </c>
      <c r="R451" t="s">
        <v>6</v>
      </c>
      <c r="S451" t="s">
        <v>296</v>
      </c>
      <c r="T451">
        <v>36012</v>
      </c>
      <c r="U451">
        <v>6</v>
      </c>
      <c r="V451">
        <f t="shared" ref="V451:V514" si="28">YEAR(S451)</f>
        <v>2024</v>
      </c>
      <c r="W451">
        <f t="shared" ref="W451:W514" si="29">MONTH(S451)</f>
        <v>2</v>
      </c>
      <c r="X451" t="str">
        <f t="shared" ref="X451:X514" si="30">V451&amp;"-"&amp;W451</f>
        <v>2024-2</v>
      </c>
    </row>
    <row r="452" spans="17:24" x14ac:dyDescent="0.3">
      <c r="Q452" t="s">
        <v>40</v>
      </c>
      <c r="R452" t="s">
        <v>247</v>
      </c>
      <c r="S452" t="s">
        <v>296</v>
      </c>
      <c r="T452">
        <v>69905</v>
      </c>
      <c r="U452">
        <v>7</v>
      </c>
      <c r="V452">
        <f t="shared" si="28"/>
        <v>2024</v>
      </c>
      <c r="W452">
        <f t="shared" si="29"/>
        <v>2</v>
      </c>
      <c r="X452" t="str">
        <f t="shared" si="30"/>
        <v>2024-2</v>
      </c>
    </row>
    <row r="453" spans="17:24" x14ac:dyDescent="0.3">
      <c r="Q453" t="s">
        <v>14</v>
      </c>
      <c r="R453" t="s">
        <v>297</v>
      </c>
      <c r="S453" t="s">
        <v>296</v>
      </c>
      <c r="T453">
        <v>43049</v>
      </c>
      <c r="U453">
        <v>6</v>
      </c>
      <c r="V453">
        <f t="shared" si="28"/>
        <v>2024</v>
      </c>
      <c r="W453">
        <f t="shared" si="29"/>
        <v>2</v>
      </c>
      <c r="X453" t="str">
        <f t="shared" si="30"/>
        <v>2024-2</v>
      </c>
    </row>
    <row r="454" spans="17:24" x14ac:dyDescent="0.3">
      <c r="Q454" t="s">
        <v>10</v>
      </c>
      <c r="R454" t="s">
        <v>193</v>
      </c>
      <c r="S454" t="s">
        <v>296</v>
      </c>
      <c r="T454">
        <v>86086</v>
      </c>
      <c r="U454">
        <v>7</v>
      </c>
      <c r="V454">
        <f t="shared" si="28"/>
        <v>2024</v>
      </c>
      <c r="W454">
        <f t="shared" si="29"/>
        <v>2</v>
      </c>
      <c r="X454" t="str">
        <f t="shared" si="30"/>
        <v>2024-2</v>
      </c>
    </row>
    <row r="455" spans="17:24" x14ac:dyDescent="0.3">
      <c r="Q455" t="s">
        <v>21</v>
      </c>
      <c r="R455" t="s">
        <v>65</v>
      </c>
      <c r="S455" t="s">
        <v>296</v>
      </c>
      <c r="T455">
        <v>42224</v>
      </c>
      <c r="U455">
        <v>4</v>
      </c>
      <c r="V455">
        <f t="shared" si="28"/>
        <v>2024</v>
      </c>
      <c r="W455">
        <f t="shared" si="29"/>
        <v>2</v>
      </c>
      <c r="X455" t="str">
        <f t="shared" si="30"/>
        <v>2024-2</v>
      </c>
    </row>
    <row r="456" spans="17:24" x14ac:dyDescent="0.3">
      <c r="Q456" t="s">
        <v>28</v>
      </c>
      <c r="R456" t="s">
        <v>119</v>
      </c>
      <c r="S456" t="s">
        <v>296</v>
      </c>
      <c r="T456">
        <v>50368</v>
      </c>
      <c r="U456">
        <v>9</v>
      </c>
      <c r="V456">
        <f t="shared" si="28"/>
        <v>2024</v>
      </c>
      <c r="W456">
        <f t="shared" si="29"/>
        <v>2</v>
      </c>
      <c r="X456" t="str">
        <f t="shared" si="30"/>
        <v>2024-2</v>
      </c>
    </row>
    <row r="457" spans="17:24" x14ac:dyDescent="0.3">
      <c r="Q457" t="s">
        <v>10</v>
      </c>
      <c r="R457" t="s">
        <v>221</v>
      </c>
      <c r="S457" t="s">
        <v>298</v>
      </c>
      <c r="T457">
        <v>17020</v>
      </c>
      <c r="U457">
        <v>6</v>
      </c>
      <c r="V457">
        <f t="shared" si="28"/>
        <v>2024</v>
      </c>
      <c r="W457">
        <f t="shared" si="29"/>
        <v>2</v>
      </c>
      <c r="X457" t="str">
        <f t="shared" si="30"/>
        <v>2024-2</v>
      </c>
    </row>
    <row r="458" spans="17:24" x14ac:dyDescent="0.3">
      <c r="Q458" t="s">
        <v>40</v>
      </c>
      <c r="R458" t="s">
        <v>221</v>
      </c>
      <c r="S458" t="s">
        <v>298</v>
      </c>
      <c r="T458">
        <v>91028</v>
      </c>
      <c r="U458">
        <v>5</v>
      </c>
      <c r="V458">
        <f t="shared" si="28"/>
        <v>2024</v>
      </c>
      <c r="W458">
        <f t="shared" si="29"/>
        <v>2</v>
      </c>
      <c r="X458" t="str">
        <f t="shared" si="30"/>
        <v>2024-2</v>
      </c>
    </row>
    <row r="459" spans="17:24" x14ac:dyDescent="0.3">
      <c r="Q459" t="s">
        <v>8</v>
      </c>
      <c r="R459" t="s">
        <v>289</v>
      </c>
      <c r="S459" t="s">
        <v>299</v>
      </c>
      <c r="T459">
        <v>14081</v>
      </c>
      <c r="U459">
        <v>6</v>
      </c>
      <c r="V459">
        <f t="shared" si="28"/>
        <v>2024</v>
      </c>
      <c r="W459">
        <f t="shared" si="29"/>
        <v>2</v>
      </c>
      <c r="X459" t="str">
        <f t="shared" si="30"/>
        <v>2024-2</v>
      </c>
    </row>
    <row r="460" spans="17:24" x14ac:dyDescent="0.3">
      <c r="Q460" t="s">
        <v>50</v>
      </c>
      <c r="R460" t="s">
        <v>300</v>
      </c>
      <c r="S460" t="s">
        <v>299</v>
      </c>
      <c r="T460">
        <v>69384</v>
      </c>
      <c r="U460">
        <v>9</v>
      </c>
      <c r="V460">
        <f t="shared" si="28"/>
        <v>2024</v>
      </c>
      <c r="W460">
        <f t="shared" si="29"/>
        <v>2</v>
      </c>
      <c r="X460" t="str">
        <f t="shared" si="30"/>
        <v>2024-2</v>
      </c>
    </row>
    <row r="461" spans="17:24" x14ac:dyDescent="0.3">
      <c r="Q461" t="s">
        <v>47</v>
      </c>
      <c r="R461" t="s">
        <v>37</v>
      </c>
      <c r="S461" t="s">
        <v>299</v>
      </c>
      <c r="T461">
        <v>75942</v>
      </c>
      <c r="U461">
        <v>10</v>
      </c>
      <c r="V461">
        <f t="shared" si="28"/>
        <v>2024</v>
      </c>
      <c r="W461">
        <f t="shared" si="29"/>
        <v>2</v>
      </c>
      <c r="X461" t="str">
        <f t="shared" si="30"/>
        <v>2024-2</v>
      </c>
    </row>
    <row r="462" spans="17:24" x14ac:dyDescent="0.3">
      <c r="Q462" t="s">
        <v>40</v>
      </c>
      <c r="R462" t="s">
        <v>25</v>
      </c>
      <c r="S462" t="s">
        <v>301</v>
      </c>
      <c r="T462">
        <v>54915</v>
      </c>
      <c r="U462">
        <v>5</v>
      </c>
      <c r="V462">
        <f t="shared" si="28"/>
        <v>2024</v>
      </c>
      <c r="W462">
        <f t="shared" si="29"/>
        <v>2</v>
      </c>
      <c r="X462" t="str">
        <f t="shared" si="30"/>
        <v>2024-2</v>
      </c>
    </row>
    <row r="463" spans="17:24" x14ac:dyDescent="0.3">
      <c r="Q463" t="s">
        <v>10</v>
      </c>
      <c r="R463" t="s">
        <v>302</v>
      </c>
      <c r="S463" t="s">
        <v>301</v>
      </c>
      <c r="T463">
        <v>86388</v>
      </c>
      <c r="U463">
        <v>9</v>
      </c>
      <c r="V463">
        <f t="shared" si="28"/>
        <v>2024</v>
      </c>
      <c r="W463">
        <f t="shared" si="29"/>
        <v>2</v>
      </c>
      <c r="X463" t="str">
        <f t="shared" si="30"/>
        <v>2024-2</v>
      </c>
    </row>
    <row r="464" spans="17:24" x14ac:dyDescent="0.3">
      <c r="Q464" t="s">
        <v>40</v>
      </c>
      <c r="R464" t="s">
        <v>37</v>
      </c>
      <c r="S464" t="s">
        <v>301</v>
      </c>
      <c r="T464">
        <v>76169</v>
      </c>
      <c r="U464">
        <v>6</v>
      </c>
      <c r="V464">
        <f t="shared" si="28"/>
        <v>2024</v>
      </c>
      <c r="W464">
        <f t="shared" si="29"/>
        <v>2</v>
      </c>
      <c r="X464" t="str">
        <f t="shared" si="30"/>
        <v>2024-2</v>
      </c>
    </row>
    <row r="465" spans="17:24" x14ac:dyDescent="0.3">
      <c r="Q465" t="s">
        <v>21</v>
      </c>
      <c r="R465" t="s">
        <v>77</v>
      </c>
      <c r="S465" t="s">
        <v>303</v>
      </c>
      <c r="T465">
        <v>24977</v>
      </c>
      <c r="U465">
        <v>8</v>
      </c>
      <c r="V465">
        <f t="shared" si="28"/>
        <v>2024</v>
      </c>
      <c r="W465">
        <f t="shared" si="29"/>
        <v>2</v>
      </c>
      <c r="X465" t="str">
        <f t="shared" si="30"/>
        <v>2024-2</v>
      </c>
    </row>
    <row r="466" spans="17:24" x14ac:dyDescent="0.3">
      <c r="Q466" t="s">
        <v>18</v>
      </c>
      <c r="R466" t="s">
        <v>107</v>
      </c>
      <c r="S466" t="s">
        <v>303</v>
      </c>
      <c r="T466">
        <v>16122</v>
      </c>
      <c r="U466">
        <v>4</v>
      </c>
      <c r="V466">
        <f t="shared" si="28"/>
        <v>2024</v>
      </c>
      <c r="W466">
        <f t="shared" si="29"/>
        <v>2</v>
      </c>
      <c r="X466" t="str">
        <f t="shared" si="30"/>
        <v>2024-2</v>
      </c>
    </row>
    <row r="467" spans="17:24" x14ac:dyDescent="0.3">
      <c r="Q467" t="s">
        <v>50</v>
      </c>
      <c r="R467" t="s">
        <v>49</v>
      </c>
      <c r="S467" t="s">
        <v>303</v>
      </c>
      <c r="T467">
        <v>98082</v>
      </c>
      <c r="U467">
        <v>3</v>
      </c>
      <c r="V467">
        <f t="shared" si="28"/>
        <v>2024</v>
      </c>
      <c r="W467">
        <f t="shared" si="29"/>
        <v>2</v>
      </c>
      <c r="X467" t="str">
        <f t="shared" si="30"/>
        <v>2024-2</v>
      </c>
    </row>
    <row r="468" spans="17:24" x14ac:dyDescent="0.3">
      <c r="Q468" t="s">
        <v>18</v>
      </c>
      <c r="R468" t="s">
        <v>291</v>
      </c>
      <c r="S468" t="s">
        <v>303</v>
      </c>
      <c r="T468">
        <v>13527</v>
      </c>
      <c r="U468">
        <v>7</v>
      </c>
      <c r="V468">
        <f t="shared" si="28"/>
        <v>2024</v>
      </c>
      <c r="W468">
        <f t="shared" si="29"/>
        <v>2</v>
      </c>
      <c r="X468" t="str">
        <f t="shared" si="30"/>
        <v>2024-2</v>
      </c>
    </row>
    <row r="469" spans="17:24" x14ac:dyDescent="0.3">
      <c r="Q469" t="s">
        <v>5</v>
      </c>
      <c r="R469" t="s">
        <v>52</v>
      </c>
      <c r="S469" t="s">
        <v>304</v>
      </c>
      <c r="T469">
        <v>95539</v>
      </c>
      <c r="U469">
        <v>6</v>
      </c>
      <c r="V469">
        <f t="shared" si="28"/>
        <v>2024</v>
      </c>
      <c r="W469">
        <f t="shared" si="29"/>
        <v>2</v>
      </c>
      <c r="X469" t="str">
        <f t="shared" si="30"/>
        <v>2024-2</v>
      </c>
    </row>
    <row r="470" spans="17:24" x14ac:dyDescent="0.3">
      <c r="Q470" t="s">
        <v>47</v>
      </c>
      <c r="R470" t="s">
        <v>41</v>
      </c>
      <c r="S470" t="s">
        <v>304</v>
      </c>
      <c r="T470">
        <v>77564</v>
      </c>
      <c r="U470">
        <v>5</v>
      </c>
      <c r="V470">
        <f t="shared" si="28"/>
        <v>2024</v>
      </c>
      <c r="W470">
        <f t="shared" si="29"/>
        <v>2</v>
      </c>
      <c r="X470" t="str">
        <f t="shared" si="30"/>
        <v>2024-2</v>
      </c>
    </row>
    <row r="471" spans="17:24" x14ac:dyDescent="0.3">
      <c r="Q471" t="s">
        <v>12</v>
      </c>
      <c r="R471" t="s">
        <v>115</v>
      </c>
      <c r="S471" t="s">
        <v>304</v>
      </c>
      <c r="T471">
        <v>82385</v>
      </c>
      <c r="U471">
        <v>8</v>
      </c>
      <c r="V471">
        <f t="shared" si="28"/>
        <v>2024</v>
      </c>
      <c r="W471">
        <f t="shared" si="29"/>
        <v>2</v>
      </c>
      <c r="X471" t="str">
        <f t="shared" si="30"/>
        <v>2024-2</v>
      </c>
    </row>
    <row r="472" spans="17:24" x14ac:dyDescent="0.3">
      <c r="Q472" t="s">
        <v>14</v>
      </c>
      <c r="R472" t="s">
        <v>119</v>
      </c>
      <c r="S472" t="s">
        <v>304</v>
      </c>
      <c r="T472">
        <v>51464</v>
      </c>
      <c r="U472">
        <v>9</v>
      </c>
      <c r="V472">
        <f t="shared" si="28"/>
        <v>2024</v>
      </c>
      <c r="W472">
        <f t="shared" si="29"/>
        <v>2</v>
      </c>
      <c r="X472" t="str">
        <f t="shared" si="30"/>
        <v>2024-2</v>
      </c>
    </row>
    <row r="473" spans="17:24" x14ac:dyDescent="0.3">
      <c r="Q473" t="s">
        <v>28</v>
      </c>
      <c r="R473" t="s">
        <v>290</v>
      </c>
      <c r="S473" t="s">
        <v>304</v>
      </c>
      <c r="T473">
        <v>39522</v>
      </c>
      <c r="U473">
        <v>7</v>
      </c>
      <c r="V473">
        <f t="shared" si="28"/>
        <v>2024</v>
      </c>
      <c r="W473">
        <f t="shared" si="29"/>
        <v>2</v>
      </c>
      <c r="X473" t="str">
        <f t="shared" si="30"/>
        <v>2024-2</v>
      </c>
    </row>
    <row r="474" spans="17:24" x14ac:dyDescent="0.3">
      <c r="Q474" t="s">
        <v>21</v>
      </c>
      <c r="R474" t="s">
        <v>305</v>
      </c>
      <c r="S474" t="s">
        <v>304</v>
      </c>
      <c r="T474">
        <v>27764</v>
      </c>
      <c r="U474">
        <v>2</v>
      </c>
      <c r="V474">
        <f t="shared" si="28"/>
        <v>2024</v>
      </c>
      <c r="W474">
        <f t="shared" si="29"/>
        <v>2</v>
      </c>
      <c r="X474" t="str">
        <f t="shared" si="30"/>
        <v>2024-2</v>
      </c>
    </row>
    <row r="475" spans="17:24" x14ac:dyDescent="0.3">
      <c r="Q475" t="s">
        <v>10</v>
      </c>
      <c r="R475" t="s">
        <v>191</v>
      </c>
      <c r="S475" t="s">
        <v>304</v>
      </c>
      <c r="T475">
        <v>15965</v>
      </c>
      <c r="U475">
        <v>0</v>
      </c>
      <c r="V475">
        <f t="shared" si="28"/>
        <v>2024</v>
      </c>
      <c r="W475">
        <f t="shared" si="29"/>
        <v>2</v>
      </c>
      <c r="X475" t="str">
        <f t="shared" si="30"/>
        <v>2024-2</v>
      </c>
    </row>
    <row r="476" spans="17:24" x14ac:dyDescent="0.3">
      <c r="Q476" t="s">
        <v>28</v>
      </c>
      <c r="R476" t="s">
        <v>191</v>
      </c>
      <c r="S476" t="s">
        <v>304</v>
      </c>
      <c r="T476">
        <v>10559</v>
      </c>
      <c r="U476">
        <v>5</v>
      </c>
      <c r="V476">
        <f t="shared" si="28"/>
        <v>2024</v>
      </c>
      <c r="W476">
        <f t="shared" si="29"/>
        <v>2</v>
      </c>
      <c r="X476" t="str">
        <f t="shared" si="30"/>
        <v>2024-2</v>
      </c>
    </row>
    <row r="477" spans="17:24" x14ac:dyDescent="0.3">
      <c r="Q477" t="s">
        <v>21</v>
      </c>
      <c r="R477" t="s">
        <v>11</v>
      </c>
      <c r="S477" t="s">
        <v>306</v>
      </c>
      <c r="T477">
        <v>54188</v>
      </c>
      <c r="U477">
        <v>10</v>
      </c>
      <c r="V477">
        <f t="shared" si="28"/>
        <v>2024</v>
      </c>
      <c r="W477">
        <f t="shared" si="29"/>
        <v>2</v>
      </c>
      <c r="X477" t="str">
        <f t="shared" si="30"/>
        <v>2024-2</v>
      </c>
    </row>
    <row r="478" spans="17:24" x14ac:dyDescent="0.3">
      <c r="Q478" t="s">
        <v>10</v>
      </c>
      <c r="R478" t="s">
        <v>61</v>
      </c>
      <c r="S478" t="s">
        <v>307</v>
      </c>
      <c r="T478">
        <v>74640</v>
      </c>
      <c r="U478">
        <v>1</v>
      </c>
      <c r="V478">
        <f t="shared" si="28"/>
        <v>2024</v>
      </c>
      <c r="W478">
        <f t="shared" si="29"/>
        <v>2</v>
      </c>
      <c r="X478" t="str">
        <f t="shared" si="30"/>
        <v>2024-2</v>
      </c>
    </row>
    <row r="479" spans="17:24" x14ac:dyDescent="0.3">
      <c r="Q479" t="s">
        <v>10</v>
      </c>
      <c r="R479" t="s">
        <v>105</v>
      </c>
      <c r="S479" t="s">
        <v>307</v>
      </c>
      <c r="T479">
        <v>26918</v>
      </c>
      <c r="U479">
        <v>6</v>
      </c>
      <c r="V479">
        <f t="shared" si="28"/>
        <v>2024</v>
      </c>
      <c r="W479">
        <f t="shared" si="29"/>
        <v>2</v>
      </c>
      <c r="X479" t="str">
        <f t="shared" si="30"/>
        <v>2024-2</v>
      </c>
    </row>
    <row r="480" spans="17:24" x14ac:dyDescent="0.3">
      <c r="Q480" t="s">
        <v>40</v>
      </c>
      <c r="R480" t="s">
        <v>112</v>
      </c>
      <c r="S480" t="s">
        <v>308</v>
      </c>
      <c r="T480">
        <v>47812</v>
      </c>
      <c r="U480">
        <v>7</v>
      </c>
      <c r="V480">
        <f t="shared" si="28"/>
        <v>2024</v>
      </c>
      <c r="W480">
        <f t="shared" si="29"/>
        <v>2</v>
      </c>
      <c r="X480" t="str">
        <f t="shared" si="30"/>
        <v>2024-2</v>
      </c>
    </row>
    <row r="481" spans="17:24" x14ac:dyDescent="0.3">
      <c r="Q481" t="s">
        <v>28</v>
      </c>
      <c r="R481" t="s">
        <v>205</v>
      </c>
      <c r="S481" t="s">
        <v>308</v>
      </c>
      <c r="T481">
        <v>20136</v>
      </c>
      <c r="U481">
        <v>4</v>
      </c>
      <c r="V481">
        <f t="shared" si="28"/>
        <v>2024</v>
      </c>
      <c r="W481">
        <f t="shared" si="29"/>
        <v>2</v>
      </c>
      <c r="X481" t="str">
        <f t="shared" si="30"/>
        <v>2024-2</v>
      </c>
    </row>
    <row r="482" spans="17:24" x14ac:dyDescent="0.3">
      <c r="Q482" t="s">
        <v>50</v>
      </c>
      <c r="R482" t="s">
        <v>174</v>
      </c>
      <c r="S482" t="s">
        <v>308</v>
      </c>
      <c r="T482">
        <v>92036</v>
      </c>
      <c r="U482">
        <v>6</v>
      </c>
      <c r="V482">
        <f t="shared" si="28"/>
        <v>2024</v>
      </c>
      <c r="W482">
        <f t="shared" si="29"/>
        <v>2</v>
      </c>
      <c r="X482" t="str">
        <f t="shared" si="30"/>
        <v>2024-2</v>
      </c>
    </row>
    <row r="483" spans="17:24" x14ac:dyDescent="0.3">
      <c r="Q483" t="s">
        <v>50</v>
      </c>
      <c r="R483" t="s">
        <v>124</v>
      </c>
      <c r="S483" t="s">
        <v>308</v>
      </c>
      <c r="T483">
        <v>95532</v>
      </c>
      <c r="U483">
        <v>4</v>
      </c>
      <c r="V483">
        <f t="shared" si="28"/>
        <v>2024</v>
      </c>
      <c r="W483">
        <f t="shared" si="29"/>
        <v>2</v>
      </c>
      <c r="X483" t="str">
        <f t="shared" si="30"/>
        <v>2024-2</v>
      </c>
    </row>
    <row r="484" spans="17:24" x14ac:dyDescent="0.3">
      <c r="Q484" t="s">
        <v>45</v>
      </c>
      <c r="R484" t="s">
        <v>300</v>
      </c>
      <c r="S484" t="s">
        <v>309</v>
      </c>
      <c r="T484">
        <v>17994</v>
      </c>
      <c r="U484">
        <v>8</v>
      </c>
      <c r="V484">
        <f t="shared" si="28"/>
        <v>2024</v>
      </c>
      <c r="W484">
        <f t="shared" si="29"/>
        <v>2</v>
      </c>
      <c r="X484" t="str">
        <f t="shared" si="30"/>
        <v>2024-2</v>
      </c>
    </row>
    <row r="485" spans="17:24" x14ac:dyDescent="0.3">
      <c r="Q485" t="s">
        <v>21</v>
      </c>
      <c r="R485" t="s">
        <v>24</v>
      </c>
      <c r="S485" t="s">
        <v>309</v>
      </c>
      <c r="T485">
        <v>81897</v>
      </c>
      <c r="U485">
        <v>7</v>
      </c>
      <c r="V485">
        <f t="shared" si="28"/>
        <v>2024</v>
      </c>
      <c r="W485">
        <f t="shared" si="29"/>
        <v>2</v>
      </c>
      <c r="X485" t="str">
        <f t="shared" si="30"/>
        <v>2024-2</v>
      </c>
    </row>
    <row r="486" spans="17:24" x14ac:dyDescent="0.3">
      <c r="Q486" t="s">
        <v>50</v>
      </c>
      <c r="R486" t="s">
        <v>51</v>
      </c>
      <c r="S486" t="s">
        <v>310</v>
      </c>
      <c r="T486">
        <v>80002</v>
      </c>
      <c r="U486">
        <v>7</v>
      </c>
      <c r="V486">
        <f t="shared" si="28"/>
        <v>2024</v>
      </c>
      <c r="W486">
        <f t="shared" si="29"/>
        <v>2</v>
      </c>
      <c r="X486" t="str">
        <f t="shared" si="30"/>
        <v>2024-2</v>
      </c>
    </row>
    <row r="487" spans="17:24" x14ac:dyDescent="0.3">
      <c r="Q487" t="s">
        <v>45</v>
      </c>
      <c r="R487" t="s">
        <v>311</v>
      </c>
      <c r="S487" t="s">
        <v>310</v>
      </c>
      <c r="T487">
        <v>59515</v>
      </c>
      <c r="U487">
        <v>3</v>
      </c>
      <c r="V487">
        <f t="shared" si="28"/>
        <v>2024</v>
      </c>
      <c r="W487">
        <f t="shared" si="29"/>
        <v>2</v>
      </c>
      <c r="X487" t="str">
        <f t="shared" si="30"/>
        <v>2024-2</v>
      </c>
    </row>
    <row r="488" spans="17:24" x14ac:dyDescent="0.3">
      <c r="Q488" t="s">
        <v>8</v>
      </c>
      <c r="R488" t="s">
        <v>95</v>
      </c>
      <c r="S488" t="s">
        <v>310</v>
      </c>
      <c r="T488">
        <v>23812</v>
      </c>
      <c r="U488">
        <v>2</v>
      </c>
      <c r="V488">
        <f t="shared" si="28"/>
        <v>2024</v>
      </c>
      <c r="W488">
        <f t="shared" si="29"/>
        <v>2</v>
      </c>
      <c r="X488" t="str">
        <f t="shared" si="30"/>
        <v>2024-2</v>
      </c>
    </row>
    <row r="489" spans="17:24" x14ac:dyDescent="0.3">
      <c r="Q489" t="s">
        <v>14</v>
      </c>
      <c r="R489" t="s">
        <v>217</v>
      </c>
      <c r="S489" t="s">
        <v>310</v>
      </c>
      <c r="T489">
        <v>71850</v>
      </c>
      <c r="U489">
        <v>10</v>
      </c>
      <c r="V489">
        <f t="shared" si="28"/>
        <v>2024</v>
      </c>
      <c r="W489">
        <f t="shared" si="29"/>
        <v>2</v>
      </c>
      <c r="X489" t="str">
        <f t="shared" si="30"/>
        <v>2024-2</v>
      </c>
    </row>
    <row r="490" spans="17:24" x14ac:dyDescent="0.3">
      <c r="Q490" t="s">
        <v>45</v>
      </c>
      <c r="R490" t="s">
        <v>124</v>
      </c>
      <c r="S490" t="s">
        <v>310</v>
      </c>
      <c r="T490">
        <v>11783</v>
      </c>
      <c r="U490">
        <v>9</v>
      </c>
      <c r="V490">
        <f t="shared" si="28"/>
        <v>2024</v>
      </c>
      <c r="W490">
        <f t="shared" si="29"/>
        <v>2</v>
      </c>
      <c r="X490" t="str">
        <f t="shared" si="30"/>
        <v>2024-2</v>
      </c>
    </row>
    <row r="491" spans="17:24" x14ac:dyDescent="0.3">
      <c r="Q491" t="s">
        <v>45</v>
      </c>
      <c r="R491" t="s">
        <v>54</v>
      </c>
      <c r="S491" t="s">
        <v>310</v>
      </c>
      <c r="T491">
        <v>33318</v>
      </c>
      <c r="U491">
        <v>8</v>
      </c>
      <c r="V491">
        <f t="shared" si="28"/>
        <v>2024</v>
      </c>
      <c r="W491">
        <f t="shared" si="29"/>
        <v>2</v>
      </c>
      <c r="X491" t="str">
        <f t="shared" si="30"/>
        <v>2024-2</v>
      </c>
    </row>
    <row r="492" spans="17:24" x14ac:dyDescent="0.3">
      <c r="Q492" t="s">
        <v>47</v>
      </c>
      <c r="R492" t="s">
        <v>152</v>
      </c>
      <c r="S492" t="s">
        <v>310</v>
      </c>
      <c r="T492">
        <v>66555</v>
      </c>
      <c r="U492">
        <v>8</v>
      </c>
      <c r="V492">
        <f t="shared" si="28"/>
        <v>2024</v>
      </c>
      <c r="W492">
        <f t="shared" si="29"/>
        <v>2</v>
      </c>
      <c r="X492" t="str">
        <f t="shared" si="30"/>
        <v>2024-2</v>
      </c>
    </row>
    <row r="493" spans="17:24" x14ac:dyDescent="0.3">
      <c r="Q493" t="s">
        <v>40</v>
      </c>
      <c r="R493" t="s">
        <v>103</v>
      </c>
      <c r="S493" t="s">
        <v>310</v>
      </c>
      <c r="T493">
        <v>60323</v>
      </c>
      <c r="U493">
        <v>6</v>
      </c>
      <c r="V493">
        <f t="shared" si="28"/>
        <v>2024</v>
      </c>
      <c r="W493">
        <f t="shared" si="29"/>
        <v>2</v>
      </c>
      <c r="X493" t="str">
        <f t="shared" si="30"/>
        <v>2024-2</v>
      </c>
    </row>
    <row r="494" spans="17:24" x14ac:dyDescent="0.3">
      <c r="Q494" t="s">
        <v>40</v>
      </c>
      <c r="R494" t="s">
        <v>312</v>
      </c>
      <c r="S494" t="s">
        <v>310</v>
      </c>
      <c r="T494">
        <v>60275</v>
      </c>
      <c r="U494">
        <v>9</v>
      </c>
      <c r="V494">
        <f t="shared" si="28"/>
        <v>2024</v>
      </c>
      <c r="W494">
        <f t="shared" si="29"/>
        <v>2</v>
      </c>
      <c r="X494" t="str">
        <f t="shared" si="30"/>
        <v>2024-2</v>
      </c>
    </row>
    <row r="495" spans="17:24" x14ac:dyDescent="0.3">
      <c r="Q495" t="s">
        <v>12</v>
      </c>
      <c r="R495" t="s">
        <v>209</v>
      </c>
      <c r="S495" t="s">
        <v>313</v>
      </c>
      <c r="T495">
        <v>33092</v>
      </c>
      <c r="U495">
        <v>1</v>
      </c>
      <c r="V495">
        <f t="shared" si="28"/>
        <v>2024</v>
      </c>
      <c r="W495">
        <f t="shared" si="29"/>
        <v>2</v>
      </c>
      <c r="X495" t="str">
        <f t="shared" si="30"/>
        <v>2024-2</v>
      </c>
    </row>
    <row r="496" spans="17:24" x14ac:dyDescent="0.3">
      <c r="Q496" t="s">
        <v>47</v>
      </c>
      <c r="R496" t="s">
        <v>72</v>
      </c>
      <c r="S496" t="s">
        <v>313</v>
      </c>
      <c r="T496">
        <v>76626</v>
      </c>
      <c r="U496">
        <v>7</v>
      </c>
      <c r="V496">
        <f t="shared" si="28"/>
        <v>2024</v>
      </c>
      <c r="W496">
        <f t="shared" si="29"/>
        <v>2</v>
      </c>
      <c r="X496" t="str">
        <f t="shared" si="30"/>
        <v>2024-2</v>
      </c>
    </row>
    <row r="497" spans="17:24" x14ac:dyDescent="0.3">
      <c r="Q497" t="s">
        <v>18</v>
      </c>
      <c r="R497" t="s">
        <v>71</v>
      </c>
      <c r="S497" t="s">
        <v>313</v>
      </c>
      <c r="T497">
        <v>28821</v>
      </c>
      <c r="U497">
        <v>4</v>
      </c>
      <c r="V497">
        <f t="shared" si="28"/>
        <v>2024</v>
      </c>
      <c r="W497">
        <f t="shared" si="29"/>
        <v>2</v>
      </c>
      <c r="X497" t="str">
        <f t="shared" si="30"/>
        <v>2024-2</v>
      </c>
    </row>
    <row r="498" spans="17:24" x14ac:dyDescent="0.3">
      <c r="Q498" t="s">
        <v>47</v>
      </c>
      <c r="R498" t="s">
        <v>217</v>
      </c>
      <c r="S498" t="s">
        <v>313</v>
      </c>
      <c r="T498">
        <v>24681</v>
      </c>
      <c r="U498">
        <v>6</v>
      </c>
      <c r="V498">
        <f t="shared" si="28"/>
        <v>2024</v>
      </c>
      <c r="W498">
        <f t="shared" si="29"/>
        <v>2</v>
      </c>
      <c r="X498" t="str">
        <f t="shared" si="30"/>
        <v>2024-2</v>
      </c>
    </row>
    <row r="499" spans="17:24" x14ac:dyDescent="0.3">
      <c r="Q499" t="s">
        <v>47</v>
      </c>
      <c r="R499" t="s">
        <v>146</v>
      </c>
      <c r="S499" t="s">
        <v>313</v>
      </c>
      <c r="T499">
        <v>78387</v>
      </c>
      <c r="U499">
        <v>7</v>
      </c>
      <c r="V499">
        <f t="shared" si="28"/>
        <v>2024</v>
      </c>
      <c r="W499">
        <f t="shared" si="29"/>
        <v>2</v>
      </c>
      <c r="X499" t="str">
        <f t="shared" si="30"/>
        <v>2024-2</v>
      </c>
    </row>
    <row r="500" spans="17:24" x14ac:dyDescent="0.3">
      <c r="Q500" t="s">
        <v>8</v>
      </c>
      <c r="R500" t="s">
        <v>66</v>
      </c>
      <c r="S500" t="s">
        <v>313</v>
      </c>
      <c r="T500">
        <v>59864</v>
      </c>
      <c r="U500">
        <v>6</v>
      </c>
      <c r="V500">
        <f t="shared" si="28"/>
        <v>2024</v>
      </c>
      <c r="W500">
        <f t="shared" si="29"/>
        <v>2</v>
      </c>
      <c r="X500" t="str">
        <f t="shared" si="30"/>
        <v>2024-2</v>
      </c>
    </row>
    <row r="501" spans="17:24" x14ac:dyDescent="0.3">
      <c r="Q501" t="s">
        <v>18</v>
      </c>
      <c r="R501" t="s">
        <v>127</v>
      </c>
      <c r="S501" t="s">
        <v>314</v>
      </c>
      <c r="T501">
        <v>73979</v>
      </c>
      <c r="U501">
        <v>9</v>
      </c>
      <c r="V501">
        <f t="shared" si="28"/>
        <v>2024</v>
      </c>
      <c r="W501">
        <f t="shared" si="29"/>
        <v>2</v>
      </c>
      <c r="X501" t="str">
        <f t="shared" si="30"/>
        <v>2024-2</v>
      </c>
    </row>
    <row r="502" spans="17:24" x14ac:dyDescent="0.3">
      <c r="Q502" t="s">
        <v>47</v>
      </c>
      <c r="R502" t="s">
        <v>70</v>
      </c>
      <c r="S502" t="s">
        <v>314</v>
      </c>
      <c r="T502">
        <v>33776</v>
      </c>
      <c r="U502">
        <v>6</v>
      </c>
      <c r="V502">
        <f t="shared" si="28"/>
        <v>2024</v>
      </c>
      <c r="W502">
        <f t="shared" si="29"/>
        <v>2</v>
      </c>
      <c r="X502" t="str">
        <f t="shared" si="30"/>
        <v>2024-2</v>
      </c>
    </row>
    <row r="503" spans="17:24" x14ac:dyDescent="0.3">
      <c r="Q503" t="s">
        <v>10</v>
      </c>
      <c r="R503" t="s">
        <v>315</v>
      </c>
      <c r="S503" t="s">
        <v>316</v>
      </c>
      <c r="T503">
        <v>38559</v>
      </c>
      <c r="U503">
        <v>10</v>
      </c>
      <c r="V503">
        <f t="shared" si="28"/>
        <v>2024</v>
      </c>
      <c r="W503">
        <f t="shared" si="29"/>
        <v>2</v>
      </c>
      <c r="X503" t="str">
        <f t="shared" si="30"/>
        <v>2024-2</v>
      </c>
    </row>
    <row r="504" spans="17:24" x14ac:dyDescent="0.3">
      <c r="Q504" t="s">
        <v>12</v>
      </c>
      <c r="R504" t="s">
        <v>146</v>
      </c>
      <c r="S504" t="s">
        <v>317</v>
      </c>
      <c r="T504">
        <v>81999</v>
      </c>
      <c r="U504">
        <v>10</v>
      </c>
      <c r="V504">
        <f t="shared" si="28"/>
        <v>2024</v>
      </c>
      <c r="W504">
        <f t="shared" si="29"/>
        <v>2</v>
      </c>
      <c r="X504" t="str">
        <f t="shared" si="30"/>
        <v>2024-2</v>
      </c>
    </row>
    <row r="505" spans="17:24" x14ac:dyDescent="0.3">
      <c r="Q505" t="s">
        <v>12</v>
      </c>
      <c r="R505" t="s">
        <v>191</v>
      </c>
      <c r="S505" t="s">
        <v>317</v>
      </c>
      <c r="T505">
        <v>26674</v>
      </c>
      <c r="U505">
        <v>6</v>
      </c>
      <c r="V505">
        <f t="shared" si="28"/>
        <v>2024</v>
      </c>
      <c r="W505">
        <f t="shared" si="29"/>
        <v>2</v>
      </c>
      <c r="X505" t="str">
        <f t="shared" si="30"/>
        <v>2024-2</v>
      </c>
    </row>
    <row r="506" spans="17:24" x14ac:dyDescent="0.3">
      <c r="Q506" t="s">
        <v>12</v>
      </c>
      <c r="R506" t="s">
        <v>231</v>
      </c>
      <c r="S506" t="s">
        <v>317</v>
      </c>
      <c r="T506">
        <v>94925</v>
      </c>
      <c r="U506">
        <v>8</v>
      </c>
      <c r="V506">
        <f t="shared" si="28"/>
        <v>2024</v>
      </c>
      <c r="W506">
        <f t="shared" si="29"/>
        <v>2</v>
      </c>
      <c r="X506" t="str">
        <f t="shared" si="30"/>
        <v>2024-2</v>
      </c>
    </row>
    <row r="507" spans="17:24" x14ac:dyDescent="0.3">
      <c r="Q507" t="s">
        <v>12</v>
      </c>
      <c r="R507" t="s">
        <v>92</v>
      </c>
      <c r="S507" t="s">
        <v>317</v>
      </c>
      <c r="T507">
        <v>99601</v>
      </c>
      <c r="U507">
        <v>3</v>
      </c>
      <c r="V507">
        <f t="shared" si="28"/>
        <v>2024</v>
      </c>
      <c r="W507">
        <f t="shared" si="29"/>
        <v>2</v>
      </c>
      <c r="X507" t="str">
        <f t="shared" si="30"/>
        <v>2024-2</v>
      </c>
    </row>
    <row r="508" spans="17:24" x14ac:dyDescent="0.3">
      <c r="Q508" t="s">
        <v>50</v>
      </c>
      <c r="R508" t="s">
        <v>78</v>
      </c>
      <c r="S508" t="s">
        <v>317</v>
      </c>
      <c r="T508">
        <v>68462</v>
      </c>
      <c r="U508">
        <v>4</v>
      </c>
      <c r="V508">
        <f t="shared" si="28"/>
        <v>2024</v>
      </c>
      <c r="W508">
        <f t="shared" si="29"/>
        <v>2</v>
      </c>
      <c r="X508" t="str">
        <f t="shared" si="30"/>
        <v>2024-2</v>
      </c>
    </row>
    <row r="509" spans="17:24" x14ac:dyDescent="0.3">
      <c r="Q509" t="s">
        <v>28</v>
      </c>
      <c r="R509" t="s">
        <v>81</v>
      </c>
      <c r="S509" t="s">
        <v>317</v>
      </c>
      <c r="T509">
        <v>52789</v>
      </c>
      <c r="U509">
        <v>7</v>
      </c>
      <c r="V509">
        <f t="shared" si="28"/>
        <v>2024</v>
      </c>
      <c r="W509">
        <f t="shared" si="29"/>
        <v>2</v>
      </c>
      <c r="X509" t="str">
        <f t="shared" si="30"/>
        <v>2024-2</v>
      </c>
    </row>
    <row r="510" spans="17:24" x14ac:dyDescent="0.3">
      <c r="Q510" t="s">
        <v>8</v>
      </c>
      <c r="R510" t="s">
        <v>116</v>
      </c>
      <c r="S510" t="s">
        <v>317</v>
      </c>
      <c r="T510">
        <v>14865</v>
      </c>
      <c r="U510">
        <v>2</v>
      </c>
      <c r="V510">
        <f t="shared" si="28"/>
        <v>2024</v>
      </c>
      <c r="W510">
        <f t="shared" si="29"/>
        <v>2</v>
      </c>
      <c r="X510" t="str">
        <f t="shared" si="30"/>
        <v>2024-2</v>
      </c>
    </row>
    <row r="511" spans="17:24" x14ac:dyDescent="0.3">
      <c r="Q511" t="s">
        <v>14</v>
      </c>
      <c r="R511" t="s">
        <v>122</v>
      </c>
      <c r="S511" t="s">
        <v>317</v>
      </c>
      <c r="T511">
        <v>13307</v>
      </c>
      <c r="U511">
        <v>9</v>
      </c>
      <c r="V511">
        <f t="shared" si="28"/>
        <v>2024</v>
      </c>
      <c r="W511">
        <f t="shared" si="29"/>
        <v>2</v>
      </c>
      <c r="X511" t="str">
        <f t="shared" si="30"/>
        <v>2024-2</v>
      </c>
    </row>
    <row r="512" spans="17:24" x14ac:dyDescent="0.3">
      <c r="Q512" t="s">
        <v>50</v>
      </c>
      <c r="R512" t="s">
        <v>318</v>
      </c>
      <c r="S512" t="s">
        <v>317</v>
      </c>
      <c r="T512">
        <v>19686</v>
      </c>
      <c r="U512">
        <v>4</v>
      </c>
      <c r="V512">
        <f t="shared" si="28"/>
        <v>2024</v>
      </c>
      <c r="W512">
        <f t="shared" si="29"/>
        <v>2</v>
      </c>
      <c r="X512" t="str">
        <f t="shared" si="30"/>
        <v>2024-2</v>
      </c>
    </row>
    <row r="513" spans="17:24" x14ac:dyDescent="0.3">
      <c r="Q513" t="s">
        <v>50</v>
      </c>
      <c r="R513" t="s">
        <v>13</v>
      </c>
      <c r="S513" t="s">
        <v>317</v>
      </c>
      <c r="T513">
        <v>89241</v>
      </c>
      <c r="U513">
        <v>9</v>
      </c>
      <c r="V513">
        <f t="shared" si="28"/>
        <v>2024</v>
      </c>
      <c r="W513">
        <f t="shared" si="29"/>
        <v>2</v>
      </c>
      <c r="X513" t="str">
        <f t="shared" si="30"/>
        <v>2024-2</v>
      </c>
    </row>
    <row r="514" spans="17:24" x14ac:dyDescent="0.3">
      <c r="Q514" t="s">
        <v>10</v>
      </c>
      <c r="R514" t="s">
        <v>32</v>
      </c>
      <c r="S514" t="s">
        <v>319</v>
      </c>
      <c r="T514">
        <v>56582</v>
      </c>
      <c r="U514">
        <v>8</v>
      </c>
      <c r="V514">
        <f t="shared" si="28"/>
        <v>2024</v>
      </c>
      <c r="W514">
        <f t="shared" si="29"/>
        <v>2</v>
      </c>
      <c r="X514" t="str">
        <f t="shared" si="30"/>
        <v>2024-2</v>
      </c>
    </row>
    <row r="515" spans="17:24" x14ac:dyDescent="0.3">
      <c r="Q515" t="s">
        <v>21</v>
      </c>
      <c r="R515" t="s">
        <v>146</v>
      </c>
      <c r="S515" t="s">
        <v>319</v>
      </c>
      <c r="T515">
        <v>22896</v>
      </c>
      <c r="U515">
        <v>7</v>
      </c>
      <c r="V515">
        <f t="shared" ref="V515:V578" si="31">YEAR(S515)</f>
        <v>2024</v>
      </c>
      <c r="W515">
        <f t="shared" ref="W515:W578" si="32">MONTH(S515)</f>
        <v>2</v>
      </c>
      <c r="X515" t="str">
        <f t="shared" ref="X515:X578" si="33">V515&amp;"-"&amp;W515</f>
        <v>2024-2</v>
      </c>
    </row>
    <row r="516" spans="17:24" x14ac:dyDescent="0.3">
      <c r="Q516" t="s">
        <v>40</v>
      </c>
      <c r="R516" t="s">
        <v>99</v>
      </c>
      <c r="S516" t="s">
        <v>320</v>
      </c>
      <c r="T516">
        <v>83410</v>
      </c>
      <c r="U516">
        <v>0</v>
      </c>
      <c r="V516">
        <f t="shared" si="31"/>
        <v>2024</v>
      </c>
      <c r="W516">
        <f t="shared" si="32"/>
        <v>2</v>
      </c>
      <c r="X516" t="str">
        <f t="shared" si="33"/>
        <v>2024-2</v>
      </c>
    </row>
    <row r="517" spans="17:24" x14ac:dyDescent="0.3">
      <c r="Q517" t="s">
        <v>18</v>
      </c>
      <c r="R517" t="s">
        <v>315</v>
      </c>
      <c r="S517" t="s">
        <v>320</v>
      </c>
      <c r="T517">
        <v>53794</v>
      </c>
      <c r="U517">
        <v>8</v>
      </c>
      <c r="V517">
        <f t="shared" si="31"/>
        <v>2024</v>
      </c>
      <c r="W517">
        <f t="shared" si="32"/>
        <v>2</v>
      </c>
      <c r="X517" t="str">
        <f t="shared" si="33"/>
        <v>2024-2</v>
      </c>
    </row>
    <row r="518" spans="17:24" x14ac:dyDescent="0.3">
      <c r="Q518" t="s">
        <v>10</v>
      </c>
      <c r="R518" t="s">
        <v>69</v>
      </c>
      <c r="S518" t="s">
        <v>321</v>
      </c>
      <c r="T518">
        <v>10504</v>
      </c>
      <c r="U518">
        <v>2</v>
      </c>
      <c r="V518">
        <f t="shared" si="31"/>
        <v>2024</v>
      </c>
      <c r="W518">
        <f t="shared" si="32"/>
        <v>2</v>
      </c>
      <c r="X518" t="str">
        <f t="shared" si="33"/>
        <v>2024-2</v>
      </c>
    </row>
    <row r="519" spans="17:24" x14ac:dyDescent="0.3">
      <c r="Q519" t="s">
        <v>10</v>
      </c>
      <c r="R519" t="s">
        <v>190</v>
      </c>
      <c r="S519" t="s">
        <v>321</v>
      </c>
      <c r="T519">
        <v>21167</v>
      </c>
      <c r="U519">
        <v>4</v>
      </c>
      <c r="V519">
        <f t="shared" si="31"/>
        <v>2024</v>
      </c>
      <c r="W519">
        <f t="shared" si="32"/>
        <v>2</v>
      </c>
      <c r="X519" t="str">
        <f t="shared" si="33"/>
        <v>2024-2</v>
      </c>
    </row>
    <row r="520" spans="17:24" x14ac:dyDescent="0.3">
      <c r="Q520" t="s">
        <v>50</v>
      </c>
      <c r="R520" t="s">
        <v>245</v>
      </c>
      <c r="S520" t="s">
        <v>321</v>
      </c>
      <c r="T520">
        <v>64638</v>
      </c>
      <c r="U520">
        <v>7</v>
      </c>
      <c r="V520">
        <f t="shared" si="31"/>
        <v>2024</v>
      </c>
      <c r="W520">
        <f t="shared" si="32"/>
        <v>2</v>
      </c>
      <c r="X520" t="str">
        <f t="shared" si="33"/>
        <v>2024-2</v>
      </c>
    </row>
    <row r="521" spans="17:24" x14ac:dyDescent="0.3">
      <c r="Q521" t="s">
        <v>14</v>
      </c>
      <c r="R521" t="s">
        <v>199</v>
      </c>
      <c r="S521" t="s">
        <v>321</v>
      </c>
      <c r="T521">
        <v>42147</v>
      </c>
      <c r="U521">
        <v>7</v>
      </c>
      <c r="V521">
        <f t="shared" si="31"/>
        <v>2024</v>
      </c>
      <c r="W521">
        <f t="shared" si="32"/>
        <v>2</v>
      </c>
      <c r="X521" t="str">
        <f t="shared" si="33"/>
        <v>2024-2</v>
      </c>
    </row>
    <row r="522" spans="17:24" x14ac:dyDescent="0.3">
      <c r="Q522" t="s">
        <v>14</v>
      </c>
      <c r="R522" t="s">
        <v>23</v>
      </c>
      <c r="S522" t="s">
        <v>322</v>
      </c>
      <c r="T522">
        <v>72274</v>
      </c>
      <c r="U522">
        <v>7</v>
      </c>
      <c r="V522">
        <f t="shared" si="31"/>
        <v>2024</v>
      </c>
      <c r="W522">
        <f t="shared" si="32"/>
        <v>3</v>
      </c>
      <c r="X522" t="str">
        <f t="shared" si="33"/>
        <v>2024-3</v>
      </c>
    </row>
    <row r="523" spans="17:24" x14ac:dyDescent="0.3">
      <c r="Q523" t="s">
        <v>18</v>
      </c>
      <c r="R523" t="s">
        <v>22</v>
      </c>
      <c r="S523" t="s">
        <v>322</v>
      </c>
      <c r="T523">
        <v>86299</v>
      </c>
      <c r="U523">
        <v>6</v>
      </c>
      <c r="V523">
        <f t="shared" si="31"/>
        <v>2024</v>
      </c>
      <c r="W523">
        <f t="shared" si="32"/>
        <v>3</v>
      </c>
      <c r="X523" t="str">
        <f t="shared" si="33"/>
        <v>2024-3</v>
      </c>
    </row>
    <row r="524" spans="17:24" x14ac:dyDescent="0.3">
      <c r="Q524" t="s">
        <v>40</v>
      </c>
      <c r="R524" t="s">
        <v>323</v>
      </c>
      <c r="S524" t="s">
        <v>322</v>
      </c>
      <c r="T524">
        <v>62670</v>
      </c>
      <c r="U524">
        <v>2</v>
      </c>
      <c r="V524">
        <f t="shared" si="31"/>
        <v>2024</v>
      </c>
      <c r="W524">
        <f t="shared" si="32"/>
        <v>3</v>
      </c>
      <c r="X524" t="str">
        <f t="shared" si="33"/>
        <v>2024-3</v>
      </c>
    </row>
    <row r="525" spans="17:24" x14ac:dyDescent="0.3">
      <c r="Q525" t="s">
        <v>8</v>
      </c>
      <c r="R525" t="s">
        <v>217</v>
      </c>
      <c r="S525" t="s">
        <v>322</v>
      </c>
      <c r="T525">
        <v>21111</v>
      </c>
      <c r="U525">
        <v>9</v>
      </c>
      <c r="V525">
        <f t="shared" si="31"/>
        <v>2024</v>
      </c>
      <c r="W525">
        <f t="shared" si="32"/>
        <v>3</v>
      </c>
      <c r="X525" t="str">
        <f t="shared" si="33"/>
        <v>2024-3</v>
      </c>
    </row>
    <row r="526" spans="17:24" x14ac:dyDescent="0.3">
      <c r="Q526" t="s">
        <v>5</v>
      </c>
      <c r="R526" t="s">
        <v>312</v>
      </c>
      <c r="S526" t="s">
        <v>322</v>
      </c>
      <c r="T526">
        <v>29978</v>
      </c>
      <c r="U526">
        <v>6</v>
      </c>
      <c r="V526">
        <f t="shared" si="31"/>
        <v>2024</v>
      </c>
      <c r="W526">
        <f t="shared" si="32"/>
        <v>3</v>
      </c>
      <c r="X526" t="str">
        <f t="shared" si="33"/>
        <v>2024-3</v>
      </c>
    </row>
    <row r="527" spans="17:24" x14ac:dyDescent="0.3">
      <c r="Q527" t="s">
        <v>14</v>
      </c>
      <c r="R527" t="s">
        <v>324</v>
      </c>
      <c r="S527" t="s">
        <v>322</v>
      </c>
      <c r="T527">
        <v>50099</v>
      </c>
      <c r="U527">
        <v>8</v>
      </c>
      <c r="V527">
        <f t="shared" si="31"/>
        <v>2024</v>
      </c>
      <c r="W527">
        <f t="shared" si="32"/>
        <v>3</v>
      </c>
      <c r="X527" t="str">
        <f t="shared" si="33"/>
        <v>2024-3</v>
      </c>
    </row>
    <row r="528" spans="17:24" x14ac:dyDescent="0.3">
      <c r="Q528" t="s">
        <v>8</v>
      </c>
      <c r="R528" t="s">
        <v>225</v>
      </c>
      <c r="S528" t="s">
        <v>325</v>
      </c>
      <c r="T528">
        <v>30222</v>
      </c>
      <c r="U528">
        <v>9</v>
      </c>
      <c r="V528">
        <f t="shared" si="31"/>
        <v>2024</v>
      </c>
      <c r="W528">
        <f t="shared" si="32"/>
        <v>3</v>
      </c>
      <c r="X528" t="str">
        <f t="shared" si="33"/>
        <v>2024-3</v>
      </c>
    </row>
    <row r="529" spans="17:24" x14ac:dyDescent="0.3">
      <c r="Q529" t="s">
        <v>28</v>
      </c>
      <c r="R529" t="s">
        <v>183</v>
      </c>
      <c r="S529" t="s">
        <v>326</v>
      </c>
      <c r="T529">
        <v>21984</v>
      </c>
      <c r="U529">
        <v>1</v>
      </c>
      <c r="V529">
        <f t="shared" si="31"/>
        <v>2024</v>
      </c>
      <c r="W529">
        <f t="shared" si="32"/>
        <v>3</v>
      </c>
      <c r="X529" t="str">
        <f t="shared" si="33"/>
        <v>2024-3</v>
      </c>
    </row>
    <row r="530" spans="17:24" x14ac:dyDescent="0.3">
      <c r="Q530" t="s">
        <v>18</v>
      </c>
      <c r="R530" t="s">
        <v>55</v>
      </c>
      <c r="S530" t="s">
        <v>326</v>
      </c>
      <c r="T530">
        <v>83025</v>
      </c>
      <c r="U530">
        <v>6</v>
      </c>
      <c r="V530">
        <f t="shared" si="31"/>
        <v>2024</v>
      </c>
      <c r="W530">
        <f t="shared" si="32"/>
        <v>3</v>
      </c>
      <c r="X530" t="str">
        <f t="shared" si="33"/>
        <v>2024-3</v>
      </c>
    </row>
    <row r="531" spans="17:24" x14ac:dyDescent="0.3">
      <c r="Q531" t="s">
        <v>5</v>
      </c>
      <c r="R531" t="s">
        <v>69</v>
      </c>
      <c r="S531" t="s">
        <v>327</v>
      </c>
      <c r="T531">
        <v>66239</v>
      </c>
      <c r="U531">
        <v>6</v>
      </c>
      <c r="V531">
        <f t="shared" si="31"/>
        <v>2024</v>
      </c>
      <c r="W531">
        <f t="shared" si="32"/>
        <v>3</v>
      </c>
      <c r="X531" t="str">
        <f t="shared" si="33"/>
        <v>2024-3</v>
      </c>
    </row>
    <row r="532" spans="17:24" x14ac:dyDescent="0.3">
      <c r="Q532" t="s">
        <v>40</v>
      </c>
      <c r="R532" t="s">
        <v>22</v>
      </c>
      <c r="S532" t="s">
        <v>327</v>
      </c>
      <c r="T532">
        <v>54250</v>
      </c>
      <c r="U532">
        <v>8</v>
      </c>
      <c r="V532">
        <f t="shared" si="31"/>
        <v>2024</v>
      </c>
      <c r="W532">
        <f t="shared" si="32"/>
        <v>3</v>
      </c>
      <c r="X532" t="str">
        <f t="shared" si="33"/>
        <v>2024-3</v>
      </c>
    </row>
    <row r="533" spans="17:24" x14ac:dyDescent="0.3">
      <c r="Q533" t="s">
        <v>14</v>
      </c>
      <c r="R533" t="s">
        <v>168</v>
      </c>
      <c r="S533" t="s">
        <v>327</v>
      </c>
      <c r="T533">
        <v>24414</v>
      </c>
      <c r="U533">
        <v>6</v>
      </c>
      <c r="V533">
        <f t="shared" si="31"/>
        <v>2024</v>
      </c>
      <c r="W533">
        <f t="shared" si="32"/>
        <v>3</v>
      </c>
      <c r="X533" t="str">
        <f t="shared" si="33"/>
        <v>2024-3</v>
      </c>
    </row>
    <row r="534" spans="17:24" x14ac:dyDescent="0.3">
      <c r="Q534" t="s">
        <v>28</v>
      </c>
      <c r="R534" t="s">
        <v>60</v>
      </c>
      <c r="S534" t="s">
        <v>328</v>
      </c>
      <c r="T534">
        <v>62312</v>
      </c>
      <c r="U534">
        <v>9</v>
      </c>
      <c r="V534">
        <f t="shared" si="31"/>
        <v>2024</v>
      </c>
      <c r="W534">
        <f t="shared" si="32"/>
        <v>3</v>
      </c>
      <c r="X534" t="str">
        <f t="shared" si="33"/>
        <v>2024-3</v>
      </c>
    </row>
    <row r="535" spans="17:24" x14ac:dyDescent="0.3">
      <c r="Q535" t="s">
        <v>47</v>
      </c>
      <c r="R535" t="s">
        <v>83</v>
      </c>
      <c r="S535" t="s">
        <v>329</v>
      </c>
      <c r="T535">
        <v>47342</v>
      </c>
      <c r="U535">
        <v>9</v>
      </c>
      <c r="V535">
        <f t="shared" si="31"/>
        <v>2024</v>
      </c>
      <c r="W535">
        <f t="shared" si="32"/>
        <v>3</v>
      </c>
      <c r="X535" t="str">
        <f t="shared" si="33"/>
        <v>2024-3</v>
      </c>
    </row>
    <row r="536" spans="17:24" x14ac:dyDescent="0.3">
      <c r="Q536" t="s">
        <v>14</v>
      </c>
      <c r="R536" t="s">
        <v>20</v>
      </c>
      <c r="S536" t="s">
        <v>329</v>
      </c>
      <c r="T536">
        <v>74464</v>
      </c>
      <c r="U536">
        <v>8</v>
      </c>
      <c r="V536">
        <f t="shared" si="31"/>
        <v>2024</v>
      </c>
      <c r="W536">
        <f t="shared" si="32"/>
        <v>3</v>
      </c>
      <c r="X536" t="str">
        <f t="shared" si="33"/>
        <v>2024-3</v>
      </c>
    </row>
    <row r="537" spans="17:24" x14ac:dyDescent="0.3">
      <c r="Q537" t="s">
        <v>8</v>
      </c>
      <c r="R537" t="s">
        <v>150</v>
      </c>
      <c r="S537" t="s">
        <v>329</v>
      </c>
      <c r="T537">
        <v>30319</v>
      </c>
      <c r="U537">
        <v>9</v>
      </c>
      <c r="V537">
        <f t="shared" si="31"/>
        <v>2024</v>
      </c>
      <c r="W537">
        <f t="shared" si="32"/>
        <v>3</v>
      </c>
      <c r="X537" t="str">
        <f t="shared" si="33"/>
        <v>2024-3</v>
      </c>
    </row>
    <row r="538" spans="17:24" x14ac:dyDescent="0.3">
      <c r="Q538" t="s">
        <v>10</v>
      </c>
      <c r="R538" t="s">
        <v>126</v>
      </c>
      <c r="S538" t="s">
        <v>329</v>
      </c>
      <c r="T538">
        <v>61185</v>
      </c>
      <c r="U538">
        <v>7</v>
      </c>
      <c r="V538">
        <f t="shared" si="31"/>
        <v>2024</v>
      </c>
      <c r="W538">
        <f t="shared" si="32"/>
        <v>3</v>
      </c>
      <c r="X538" t="str">
        <f t="shared" si="33"/>
        <v>2024-3</v>
      </c>
    </row>
    <row r="539" spans="17:24" x14ac:dyDescent="0.3">
      <c r="Q539" t="s">
        <v>47</v>
      </c>
      <c r="R539" t="s">
        <v>232</v>
      </c>
      <c r="S539" t="s">
        <v>329</v>
      </c>
      <c r="T539">
        <v>48746</v>
      </c>
      <c r="U539">
        <v>9</v>
      </c>
      <c r="V539">
        <f t="shared" si="31"/>
        <v>2024</v>
      </c>
      <c r="W539">
        <f t="shared" si="32"/>
        <v>3</v>
      </c>
      <c r="X539" t="str">
        <f t="shared" si="33"/>
        <v>2024-3</v>
      </c>
    </row>
    <row r="540" spans="17:24" x14ac:dyDescent="0.3">
      <c r="Q540" t="s">
        <v>40</v>
      </c>
      <c r="R540" t="s">
        <v>200</v>
      </c>
      <c r="S540" t="s">
        <v>330</v>
      </c>
      <c r="T540">
        <v>55398</v>
      </c>
      <c r="U540">
        <v>2</v>
      </c>
      <c r="V540">
        <f t="shared" si="31"/>
        <v>2024</v>
      </c>
      <c r="W540">
        <f t="shared" si="32"/>
        <v>3</v>
      </c>
      <c r="X540" t="str">
        <f t="shared" si="33"/>
        <v>2024-3</v>
      </c>
    </row>
    <row r="541" spans="17:24" x14ac:dyDescent="0.3">
      <c r="Q541" t="s">
        <v>18</v>
      </c>
      <c r="R541" t="s">
        <v>140</v>
      </c>
      <c r="S541" t="s">
        <v>330</v>
      </c>
      <c r="T541">
        <v>81011</v>
      </c>
      <c r="U541">
        <v>7</v>
      </c>
      <c r="V541">
        <f t="shared" si="31"/>
        <v>2024</v>
      </c>
      <c r="W541">
        <f t="shared" si="32"/>
        <v>3</v>
      </c>
      <c r="X541" t="str">
        <f t="shared" si="33"/>
        <v>2024-3</v>
      </c>
    </row>
    <row r="542" spans="17:24" x14ac:dyDescent="0.3">
      <c r="Q542" t="s">
        <v>12</v>
      </c>
      <c r="R542" t="s">
        <v>141</v>
      </c>
      <c r="S542" t="s">
        <v>330</v>
      </c>
      <c r="T542">
        <v>67613</v>
      </c>
      <c r="U542">
        <v>7</v>
      </c>
      <c r="V542">
        <f t="shared" si="31"/>
        <v>2024</v>
      </c>
      <c r="W542">
        <f t="shared" si="32"/>
        <v>3</v>
      </c>
      <c r="X542" t="str">
        <f t="shared" si="33"/>
        <v>2024-3</v>
      </c>
    </row>
    <row r="543" spans="17:24" x14ac:dyDescent="0.3">
      <c r="Q543" t="s">
        <v>28</v>
      </c>
      <c r="R543" t="s">
        <v>49</v>
      </c>
      <c r="S543" t="s">
        <v>331</v>
      </c>
      <c r="T543">
        <v>70855</v>
      </c>
      <c r="U543">
        <v>7</v>
      </c>
      <c r="V543">
        <f t="shared" si="31"/>
        <v>2024</v>
      </c>
      <c r="W543">
        <f t="shared" si="32"/>
        <v>3</v>
      </c>
      <c r="X543" t="str">
        <f t="shared" si="33"/>
        <v>2024-3</v>
      </c>
    </row>
    <row r="544" spans="17:24" x14ac:dyDescent="0.3">
      <c r="Q544" t="s">
        <v>40</v>
      </c>
      <c r="R544" t="s">
        <v>190</v>
      </c>
      <c r="S544" t="s">
        <v>331</v>
      </c>
      <c r="T544">
        <v>28565</v>
      </c>
      <c r="U544">
        <v>3</v>
      </c>
      <c r="V544">
        <f t="shared" si="31"/>
        <v>2024</v>
      </c>
      <c r="W544">
        <f t="shared" si="32"/>
        <v>3</v>
      </c>
      <c r="X544" t="str">
        <f t="shared" si="33"/>
        <v>2024-3</v>
      </c>
    </row>
    <row r="545" spans="17:24" x14ac:dyDescent="0.3">
      <c r="Q545" t="s">
        <v>14</v>
      </c>
      <c r="R545" t="s">
        <v>53</v>
      </c>
      <c r="S545" t="s">
        <v>331</v>
      </c>
      <c r="T545">
        <v>72825</v>
      </c>
      <c r="U545">
        <v>7</v>
      </c>
      <c r="V545">
        <f t="shared" si="31"/>
        <v>2024</v>
      </c>
      <c r="W545">
        <f t="shared" si="32"/>
        <v>3</v>
      </c>
      <c r="X545" t="str">
        <f t="shared" si="33"/>
        <v>2024-3</v>
      </c>
    </row>
    <row r="546" spans="17:24" x14ac:dyDescent="0.3">
      <c r="Q546" t="s">
        <v>45</v>
      </c>
      <c r="R546" t="s">
        <v>332</v>
      </c>
      <c r="S546" t="s">
        <v>331</v>
      </c>
      <c r="T546">
        <v>23256</v>
      </c>
      <c r="U546">
        <v>5</v>
      </c>
      <c r="V546">
        <f t="shared" si="31"/>
        <v>2024</v>
      </c>
      <c r="W546">
        <f t="shared" si="32"/>
        <v>3</v>
      </c>
      <c r="X546" t="str">
        <f t="shared" si="33"/>
        <v>2024-3</v>
      </c>
    </row>
    <row r="547" spans="17:24" x14ac:dyDescent="0.3">
      <c r="Q547" t="s">
        <v>50</v>
      </c>
      <c r="R547" t="s">
        <v>191</v>
      </c>
      <c r="S547" t="s">
        <v>331</v>
      </c>
      <c r="T547">
        <v>28331</v>
      </c>
      <c r="U547">
        <v>6</v>
      </c>
      <c r="V547">
        <f t="shared" si="31"/>
        <v>2024</v>
      </c>
      <c r="W547">
        <f t="shared" si="32"/>
        <v>3</v>
      </c>
      <c r="X547" t="str">
        <f t="shared" si="33"/>
        <v>2024-3</v>
      </c>
    </row>
    <row r="548" spans="17:24" x14ac:dyDescent="0.3">
      <c r="Q548" t="s">
        <v>40</v>
      </c>
      <c r="R548" t="s">
        <v>100</v>
      </c>
      <c r="S548" t="s">
        <v>331</v>
      </c>
      <c r="T548">
        <v>47784</v>
      </c>
      <c r="U548">
        <v>8</v>
      </c>
      <c r="V548">
        <f t="shared" si="31"/>
        <v>2024</v>
      </c>
      <c r="W548">
        <f t="shared" si="32"/>
        <v>3</v>
      </c>
      <c r="X548" t="str">
        <f t="shared" si="33"/>
        <v>2024-3</v>
      </c>
    </row>
    <row r="549" spans="17:24" x14ac:dyDescent="0.3">
      <c r="Q549" t="s">
        <v>14</v>
      </c>
      <c r="R549" t="s">
        <v>146</v>
      </c>
      <c r="S549" t="s">
        <v>331</v>
      </c>
      <c r="T549">
        <v>61751</v>
      </c>
      <c r="U549">
        <v>6</v>
      </c>
      <c r="V549">
        <f t="shared" si="31"/>
        <v>2024</v>
      </c>
      <c r="W549">
        <f t="shared" si="32"/>
        <v>3</v>
      </c>
      <c r="X549" t="str">
        <f t="shared" si="33"/>
        <v>2024-3</v>
      </c>
    </row>
    <row r="550" spans="17:24" x14ac:dyDescent="0.3">
      <c r="Q550" t="s">
        <v>8</v>
      </c>
      <c r="R550" t="s">
        <v>84</v>
      </c>
      <c r="S550" t="s">
        <v>331</v>
      </c>
      <c r="T550">
        <v>98872</v>
      </c>
      <c r="U550">
        <v>4</v>
      </c>
      <c r="V550">
        <f t="shared" si="31"/>
        <v>2024</v>
      </c>
      <c r="W550">
        <f t="shared" si="32"/>
        <v>3</v>
      </c>
      <c r="X550" t="str">
        <f t="shared" si="33"/>
        <v>2024-3</v>
      </c>
    </row>
    <row r="551" spans="17:24" x14ac:dyDescent="0.3">
      <c r="Q551" t="s">
        <v>18</v>
      </c>
      <c r="R551" t="s">
        <v>48</v>
      </c>
      <c r="S551" t="s">
        <v>331</v>
      </c>
      <c r="T551">
        <v>87067</v>
      </c>
      <c r="U551">
        <v>2</v>
      </c>
      <c r="V551">
        <f t="shared" si="31"/>
        <v>2024</v>
      </c>
      <c r="W551">
        <f t="shared" si="32"/>
        <v>3</v>
      </c>
      <c r="X551" t="str">
        <f t="shared" si="33"/>
        <v>2024-3</v>
      </c>
    </row>
    <row r="552" spans="17:24" x14ac:dyDescent="0.3">
      <c r="Q552" t="s">
        <v>45</v>
      </c>
      <c r="R552" t="s">
        <v>36</v>
      </c>
      <c r="S552" t="s">
        <v>333</v>
      </c>
      <c r="T552">
        <v>39929</v>
      </c>
      <c r="U552">
        <v>6</v>
      </c>
      <c r="V552">
        <f t="shared" si="31"/>
        <v>2024</v>
      </c>
      <c r="W552">
        <f t="shared" si="32"/>
        <v>3</v>
      </c>
      <c r="X552" t="str">
        <f t="shared" si="33"/>
        <v>2024-3</v>
      </c>
    </row>
    <row r="553" spans="17:24" x14ac:dyDescent="0.3">
      <c r="Q553" t="s">
        <v>40</v>
      </c>
      <c r="R553" t="s">
        <v>51</v>
      </c>
      <c r="S553" t="s">
        <v>333</v>
      </c>
      <c r="T553">
        <v>67822</v>
      </c>
      <c r="U553">
        <v>7</v>
      </c>
      <c r="V553">
        <f t="shared" si="31"/>
        <v>2024</v>
      </c>
      <c r="W553">
        <f t="shared" si="32"/>
        <v>3</v>
      </c>
      <c r="X553" t="str">
        <f t="shared" si="33"/>
        <v>2024-3</v>
      </c>
    </row>
    <row r="554" spans="17:24" x14ac:dyDescent="0.3">
      <c r="Q554" t="s">
        <v>28</v>
      </c>
      <c r="R554" t="s">
        <v>193</v>
      </c>
      <c r="S554" t="s">
        <v>334</v>
      </c>
      <c r="T554">
        <v>25064</v>
      </c>
      <c r="U554">
        <v>3</v>
      </c>
      <c r="V554">
        <f t="shared" si="31"/>
        <v>2024</v>
      </c>
      <c r="W554">
        <f t="shared" si="32"/>
        <v>3</v>
      </c>
      <c r="X554" t="str">
        <f t="shared" si="33"/>
        <v>2024-3</v>
      </c>
    </row>
    <row r="555" spans="17:24" x14ac:dyDescent="0.3">
      <c r="Q555" t="s">
        <v>40</v>
      </c>
      <c r="R555" t="s">
        <v>262</v>
      </c>
      <c r="S555" t="s">
        <v>334</v>
      </c>
      <c r="T555">
        <v>32137</v>
      </c>
      <c r="U555">
        <v>7</v>
      </c>
      <c r="V555">
        <f t="shared" si="31"/>
        <v>2024</v>
      </c>
      <c r="W555">
        <f t="shared" si="32"/>
        <v>3</v>
      </c>
      <c r="X555" t="str">
        <f t="shared" si="33"/>
        <v>2024-3</v>
      </c>
    </row>
    <row r="556" spans="17:24" x14ac:dyDescent="0.3">
      <c r="Q556" t="s">
        <v>47</v>
      </c>
      <c r="R556" t="s">
        <v>200</v>
      </c>
      <c r="S556" t="s">
        <v>335</v>
      </c>
      <c r="T556">
        <v>16022</v>
      </c>
      <c r="U556">
        <v>4</v>
      </c>
      <c r="V556">
        <f t="shared" si="31"/>
        <v>2024</v>
      </c>
      <c r="W556">
        <f t="shared" si="32"/>
        <v>3</v>
      </c>
      <c r="X556" t="str">
        <f t="shared" si="33"/>
        <v>2024-3</v>
      </c>
    </row>
    <row r="557" spans="17:24" x14ac:dyDescent="0.3">
      <c r="Q557" t="s">
        <v>8</v>
      </c>
      <c r="R557" t="s">
        <v>166</v>
      </c>
      <c r="S557" t="s">
        <v>335</v>
      </c>
      <c r="T557">
        <v>92033</v>
      </c>
      <c r="U557">
        <v>4</v>
      </c>
      <c r="V557">
        <f t="shared" si="31"/>
        <v>2024</v>
      </c>
      <c r="W557">
        <f t="shared" si="32"/>
        <v>3</v>
      </c>
      <c r="X557" t="str">
        <f t="shared" si="33"/>
        <v>2024-3</v>
      </c>
    </row>
    <row r="558" spans="17:24" x14ac:dyDescent="0.3">
      <c r="Q558" t="s">
        <v>8</v>
      </c>
      <c r="R558" t="s">
        <v>258</v>
      </c>
      <c r="S558" t="s">
        <v>335</v>
      </c>
      <c r="T558">
        <v>77716</v>
      </c>
      <c r="U558">
        <v>6</v>
      </c>
      <c r="V558">
        <f t="shared" si="31"/>
        <v>2024</v>
      </c>
      <c r="W558">
        <f t="shared" si="32"/>
        <v>3</v>
      </c>
      <c r="X558" t="str">
        <f t="shared" si="33"/>
        <v>2024-3</v>
      </c>
    </row>
    <row r="559" spans="17:24" x14ac:dyDescent="0.3">
      <c r="Q559" t="s">
        <v>40</v>
      </c>
      <c r="R559" t="s">
        <v>311</v>
      </c>
      <c r="S559" t="s">
        <v>336</v>
      </c>
      <c r="T559">
        <v>41149</v>
      </c>
      <c r="U559">
        <v>8</v>
      </c>
      <c r="V559">
        <f t="shared" si="31"/>
        <v>2024</v>
      </c>
      <c r="W559">
        <f t="shared" si="32"/>
        <v>3</v>
      </c>
      <c r="X559" t="str">
        <f t="shared" si="33"/>
        <v>2024-3</v>
      </c>
    </row>
    <row r="560" spans="17:24" x14ac:dyDescent="0.3">
      <c r="Q560" t="s">
        <v>40</v>
      </c>
      <c r="R560" t="s">
        <v>87</v>
      </c>
      <c r="S560" t="s">
        <v>336</v>
      </c>
      <c r="T560">
        <v>29067</v>
      </c>
      <c r="U560">
        <v>3</v>
      </c>
      <c r="V560">
        <f t="shared" si="31"/>
        <v>2024</v>
      </c>
      <c r="W560">
        <f t="shared" si="32"/>
        <v>3</v>
      </c>
      <c r="X560" t="str">
        <f t="shared" si="33"/>
        <v>2024-3</v>
      </c>
    </row>
    <row r="561" spans="17:24" x14ac:dyDescent="0.3">
      <c r="Q561" t="s">
        <v>8</v>
      </c>
      <c r="R561" t="s">
        <v>147</v>
      </c>
      <c r="S561" t="s">
        <v>337</v>
      </c>
      <c r="T561">
        <v>89255</v>
      </c>
      <c r="U561">
        <v>8</v>
      </c>
      <c r="V561">
        <f t="shared" si="31"/>
        <v>2024</v>
      </c>
      <c r="W561">
        <f t="shared" si="32"/>
        <v>3</v>
      </c>
      <c r="X561" t="str">
        <f t="shared" si="33"/>
        <v>2024-3</v>
      </c>
    </row>
    <row r="562" spans="17:24" x14ac:dyDescent="0.3">
      <c r="Q562" t="s">
        <v>14</v>
      </c>
      <c r="R562" t="s">
        <v>176</v>
      </c>
      <c r="S562" t="s">
        <v>337</v>
      </c>
      <c r="T562">
        <v>88231</v>
      </c>
      <c r="U562">
        <v>7</v>
      </c>
      <c r="V562">
        <f t="shared" si="31"/>
        <v>2024</v>
      </c>
      <c r="W562">
        <f t="shared" si="32"/>
        <v>3</v>
      </c>
      <c r="X562" t="str">
        <f t="shared" si="33"/>
        <v>2024-3</v>
      </c>
    </row>
    <row r="563" spans="17:24" x14ac:dyDescent="0.3">
      <c r="Q563" t="s">
        <v>10</v>
      </c>
      <c r="R563" t="s">
        <v>17</v>
      </c>
      <c r="S563" t="s">
        <v>337</v>
      </c>
      <c r="T563">
        <v>93902</v>
      </c>
      <c r="U563">
        <v>7</v>
      </c>
      <c r="V563">
        <f t="shared" si="31"/>
        <v>2024</v>
      </c>
      <c r="W563">
        <f t="shared" si="32"/>
        <v>3</v>
      </c>
      <c r="X563" t="str">
        <f t="shared" si="33"/>
        <v>2024-3</v>
      </c>
    </row>
    <row r="564" spans="17:24" x14ac:dyDescent="0.3">
      <c r="Q564" t="s">
        <v>18</v>
      </c>
      <c r="R564" t="s">
        <v>35</v>
      </c>
      <c r="S564" t="s">
        <v>337</v>
      </c>
      <c r="T564">
        <v>76849</v>
      </c>
      <c r="U564">
        <v>8</v>
      </c>
      <c r="V564">
        <f t="shared" si="31"/>
        <v>2024</v>
      </c>
      <c r="W564">
        <f t="shared" si="32"/>
        <v>3</v>
      </c>
      <c r="X564" t="str">
        <f t="shared" si="33"/>
        <v>2024-3</v>
      </c>
    </row>
    <row r="565" spans="17:24" x14ac:dyDescent="0.3">
      <c r="Q565" t="s">
        <v>14</v>
      </c>
      <c r="R565" t="s">
        <v>136</v>
      </c>
      <c r="S565" t="s">
        <v>337</v>
      </c>
      <c r="T565">
        <v>55967</v>
      </c>
      <c r="U565">
        <v>2</v>
      </c>
      <c r="V565">
        <f t="shared" si="31"/>
        <v>2024</v>
      </c>
      <c r="W565">
        <f t="shared" si="32"/>
        <v>3</v>
      </c>
      <c r="X565" t="str">
        <f t="shared" si="33"/>
        <v>2024-3</v>
      </c>
    </row>
    <row r="566" spans="17:24" x14ac:dyDescent="0.3">
      <c r="Q566" t="s">
        <v>50</v>
      </c>
      <c r="R566" t="s">
        <v>338</v>
      </c>
      <c r="S566" t="s">
        <v>337</v>
      </c>
      <c r="T566">
        <v>47995</v>
      </c>
      <c r="U566">
        <v>7</v>
      </c>
      <c r="V566">
        <f t="shared" si="31"/>
        <v>2024</v>
      </c>
      <c r="W566">
        <f t="shared" si="32"/>
        <v>3</v>
      </c>
      <c r="X566" t="str">
        <f t="shared" si="33"/>
        <v>2024-3</v>
      </c>
    </row>
    <row r="567" spans="17:24" x14ac:dyDescent="0.3">
      <c r="Q567" t="s">
        <v>18</v>
      </c>
      <c r="R567" t="s">
        <v>185</v>
      </c>
      <c r="S567" t="s">
        <v>337</v>
      </c>
      <c r="T567">
        <v>12623</v>
      </c>
      <c r="U567">
        <v>7</v>
      </c>
      <c r="V567">
        <f t="shared" si="31"/>
        <v>2024</v>
      </c>
      <c r="W567">
        <f t="shared" si="32"/>
        <v>3</v>
      </c>
      <c r="X567" t="str">
        <f t="shared" si="33"/>
        <v>2024-3</v>
      </c>
    </row>
    <row r="568" spans="17:24" x14ac:dyDescent="0.3">
      <c r="Q568" t="s">
        <v>8</v>
      </c>
      <c r="R568" t="s">
        <v>25</v>
      </c>
      <c r="S568" t="s">
        <v>339</v>
      </c>
      <c r="T568">
        <v>31413</v>
      </c>
      <c r="U568">
        <v>3</v>
      </c>
      <c r="V568">
        <f t="shared" si="31"/>
        <v>2024</v>
      </c>
      <c r="W568">
        <f t="shared" si="32"/>
        <v>3</v>
      </c>
      <c r="X568" t="str">
        <f t="shared" si="33"/>
        <v>2024-3</v>
      </c>
    </row>
    <row r="569" spans="17:24" x14ac:dyDescent="0.3">
      <c r="Q569" t="s">
        <v>28</v>
      </c>
      <c r="R569" t="s">
        <v>312</v>
      </c>
      <c r="S569" t="s">
        <v>339</v>
      </c>
      <c r="T569">
        <v>41282</v>
      </c>
      <c r="U569">
        <v>8</v>
      </c>
      <c r="V569">
        <f t="shared" si="31"/>
        <v>2024</v>
      </c>
      <c r="W569">
        <f t="shared" si="32"/>
        <v>3</v>
      </c>
      <c r="X569" t="str">
        <f t="shared" si="33"/>
        <v>2024-3</v>
      </c>
    </row>
    <row r="570" spans="17:24" x14ac:dyDescent="0.3">
      <c r="Q570" t="s">
        <v>40</v>
      </c>
      <c r="R570" t="s">
        <v>191</v>
      </c>
      <c r="S570" t="s">
        <v>339</v>
      </c>
      <c r="T570">
        <v>95509</v>
      </c>
      <c r="U570">
        <v>3</v>
      </c>
      <c r="V570">
        <f t="shared" si="31"/>
        <v>2024</v>
      </c>
      <c r="W570">
        <f t="shared" si="32"/>
        <v>3</v>
      </c>
      <c r="X570" t="str">
        <f t="shared" si="33"/>
        <v>2024-3</v>
      </c>
    </row>
    <row r="571" spans="17:24" x14ac:dyDescent="0.3">
      <c r="Q571" t="s">
        <v>21</v>
      </c>
      <c r="R571" t="s">
        <v>9</v>
      </c>
      <c r="S571" t="s">
        <v>340</v>
      </c>
      <c r="T571">
        <v>89836</v>
      </c>
      <c r="U571">
        <v>9</v>
      </c>
      <c r="V571">
        <f t="shared" si="31"/>
        <v>2024</v>
      </c>
      <c r="W571">
        <f t="shared" si="32"/>
        <v>3</v>
      </c>
      <c r="X571" t="str">
        <f t="shared" si="33"/>
        <v>2024-3</v>
      </c>
    </row>
    <row r="572" spans="17:24" x14ac:dyDescent="0.3">
      <c r="Q572" t="s">
        <v>5</v>
      </c>
      <c r="R572" t="s">
        <v>178</v>
      </c>
      <c r="S572" t="s">
        <v>341</v>
      </c>
      <c r="T572">
        <v>61450</v>
      </c>
      <c r="U572">
        <v>2</v>
      </c>
      <c r="V572">
        <f t="shared" si="31"/>
        <v>2024</v>
      </c>
      <c r="W572">
        <f t="shared" si="32"/>
        <v>3</v>
      </c>
      <c r="X572" t="str">
        <f t="shared" si="33"/>
        <v>2024-3</v>
      </c>
    </row>
    <row r="573" spans="17:24" x14ac:dyDescent="0.3">
      <c r="Q573" t="s">
        <v>50</v>
      </c>
      <c r="R573" t="s">
        <v>71</v>
      </c>
      <c r="S573" t="s">
        <v>341</v>
      </c>
      <c r="T573">
        <v>64568</v>
      </c>
      <c r="U573">
        <v>9</v>
      </c>
      <c r="V573">
        <f t="shared" si="31"/>
        <v>2024</v>
      </c>
      <c r="W573">
        <f t="shared" si="32"/>
        <v>3</v>
      </c>
      <c r="X573" t="str">
        <f t="shared" si="33"/>
        <v>2024-3</v>
      </c>
    </row>
    <row r="574" spans="17:24" x14ac:dyDescent="0.3">
      <c r="Q574" t="s">
        <v>40</v>
      </c>
      <c r="R574" t="s">
        <v>124</v>
      </c>
      <c r="S574" t="s">
        <v>341</v>
      </c>
      <c r="T574">
        <v>22102</v>
      </c>
      <c r="U574">
        <v>1</v>
      </c>
      <c r="V574">
        <f t="shared" si="31"/>
        <v>2024</v>
      </c>
      <c r="W574">
        <f t="shared" si="32"/>
        <v>3</v>
      </c>
      <c r="X574" t="str">
        <f t="shared" si="33"/>
        <v>2024-3</v>
      </c>
    </row>
    <row r="575" spans="17:24" x14ac:dyDescent="0.3">
      <c r="Q575" t="s">
        <v>45</v>
      </c>
      <c r="R575" t="s">
        <v>227</v>
      </c>
      <c r="S575" t="s">
        <v>341</v>
      </c>
      <c r="T575">
        <v>43362</v>
      </c>
      <c r="U575">
        <v>5</v>
      </c>
      <c r="V575">
        <f t="shared" si="31"/>
        <v>2024</v>
      </c>
      <c r="W575">
        <f t="shared" si="32"/>
        <v>3</v>
      </c>
      <c r="X575" t="str">
        <f t="shared" si="33"/>
        <v>2024-3</v>
      </c>
    </row>
    <row r="576" spans="17:24" x14ac:dyDescent="0.3">
      <c r="Q576" t="s">
        <v>18</v>
      </c>
      <c r="R576" t="s">
        <v>117</v>
      </c>
      <c r="S576" t="s">
        <v>341</v>
      </c>
      <c r="T576">
        <v>26111</v>
      </c>
      <c r="U576">
        <v>0</v>
      </c>
      <c r="V576">
        <f t="shared" si="31"/>
        <v>2024</v>
      </c>
      <c r="W576">
        <f t="shared" si="32"/>
        <v>3</v>
      </c>
      <c r="X576" t="str">
        <f t="shared" si="33"/>
        <v>2024-3</v>
      </c>
    </row>
    <row r="577" spans="17:24" x14ac:dyDescent="0.3">
      <c r="Q577" t="s">
        <v>28</v>
      </c>
      <c r="R577" t="s">
        <v>315</v>
      </c>
      <c r="S577" t="s">
        <v>342</v>
      </c>
      <c r="T577">
        <v>48471</v>
      </c>
      <c r="U577">
        <v>9</v>
      </c>
      <c r="V577">
        <f t="shared" si="31"/>
        <v>2024</v>
      </c>
      <c r="W577">
        <f t="shared" si="32"/>
        <v>3</v>
      </c>
      <c r="X577" t="str">
        <f t="shared" si="33"/>
        <v>2024-3</v>
      </c>
    </row>
    <row r="578" spans="17:24" x14ac:dyDescent="0.3">
      <c r="Q578" t="s">
        <v>18</v>
      </c>
      <c r="R578" t="s">
        <v>270</v>
      </c>
      <c r="S578" t="s">
        <v>343</v>
      </c>
      <c r="T578">
        <v>87472</v>
      </c>
      <c r="U578">
        <v>8</v>
      </c>
      <c r="V578">
        <f t="shared" si="31"/>
        <v>2024</v>
      </c>
      <c r="W578">
        <f t="shared" si="32"/>
        <v>4</v>
      </c>
      <c r="X578" t="str">
        <f t="shared" si="33"/>
        <v>2024-4</v>
      </c>
    </row>
    <row r="579" spans="17:24" x14ac:dyDescent="0.3">
      <c r="Q579" t="s">
        <v>10</v>
      </c>
      <c r="R579" t="s">
        <v>208</v>
      </c>
      <c r="S579" t="s">
        <v>343</v>
      </c>
      <c r="T579">
        <v>79088</v>
      </c>
      <c r="U579">
        <v>7</v>
      </c>
      <c r="V579">
        <f t="shared" ref="V579:V642" si="34">YEAR(S579)</f>
        <v>2024</v>
      </c>
      <c r="W579">
        <f t="shared" ref="W579:W642" si="35">MONTH(S579)</f>
        <v>4</v>
      </c>
      <c r="X579" t="str">
        <f t="shared" ref="X579:X642" si="36">V579&amp;"-"&amp;W579</f>
        <v>2024-4</v>
      </c>
    </row>
    <row r="580" spans="17:24" x14ac:dyDescent="0.3">
      <c r="Q580" t="s">
        <v>45</v>
      </c>
      <c r="R580" t="s">
        <v>156</v>
      </c>
      <c r="S580" t="s">
        <v>343</v>
      </c>
      <c r="T580">
        <v>95906</v>
      </c>
      <c r="U580">
        <v>8</v>
      </c>
      <c r="V580">
        <f t="shared" si="34"/>
        <v>2024</v>
      </c>
      <c r="W580">
        <f t="shared" si="35"/>
        <v>4</v>
      </c>
      <c r="X580" t="str">
        <f t="shared" si="36"/>
        <v>2024-4</v>
      </c>
    </row>
    <row r="581" spans="17:24" x14ac:dyDescent="0.3">
      <c r="Q581" t="s">
        <v>8</v>
      </c>
      <c r="R581" t="s">
        <v>122</v>
      </c>
      <c r="S581" t="s">
        <v>343</v>
      </c>
      <c r="T581">
        <v>67572</v>
      </c>
      <c r="U581">
        <v>5</v>
      </c>
      <c r="V581">
        <f t="shared" si="34"/>
        <v>2024</v>
      </c>
      <c r="W581">
        <f t="shared" si="35"/>
        <v>4</v>
      </c>
      <c r="X581" t="str">
        <f t="shared" si="36"/>
        <v>2024-4</v>
      </c>
    </row>
    <row r="582" spans="17:24" x14ac:dyDescent="0.3">
      <c r="Q582" t="s">
        <v>8</v>
      </c>
      <c r="R582" t="s">
        <v>119</v>
      </c>
      <c r="S582" t="s">
        <v>343</v>
      </c>
      <c r="T582">
        <v>61038</v>
      </c>
      <c r="U582">
        <v>7</v>
      </c>
      <c r="V582">
        <f t="shared" si="34"/>
        <v>2024</v>
      </c>
      <c r="W582">
        <f t="shared" si="35"/>
        <v>4</v>
      </c>
      <c r="X582" t="str">
        <f t="shared" si="36"/>
        <v>2024-4</v>
      </c>
    </row>
    <row r="583" spans="17:24" x14ac:dyDescent="0.3">
      <c r="Q583" t="s">
        <v>10</v>
      </c>
      <c r="R583" t="s">
        <v>22</v>
      </c>
      <c r="S583" t="s">
        <v>343</v>
      </c>
      <c r="T583">
        <v>46547</v>
      </c>
      <c r="U583">
        <v>6</v>
      </c>
      <c r="V583">
        <f t="shared" si="34"/>
        <v>2024</v>
      </c>
      <c r="W583">
        <f t="shared" si="35"/>
        <v>4</v>
      </c>
      <c r="X583" t="str">
        <f t="shared" si="36"/>
        <v>2024-4</v>
      </c>
    </row>
    <row r="584" spans="17:24" x14ac:dyDescent="0.3">
      <c r="Q584" t="s">
        <v>47</v>
      </c>
      <c r="R584" t="s">
        <v>126</v>
      </c>
      <c r="S584" t="s">
        <v>343</v>
      </c>
      <c r="T584">
        <v>42538</v>
      </c>
      <c r="U584">
        <v>3</v>
      </c>
      <c r="V584">
        <f t="shared" si="34"/>
        <v>2024</v>
      </c>
      <c r="W584">
        <f t="shared" si="35"/>
        <v>4</v>
      </c>
      <c r="X584" t="str">
        <f t="shared" si="36"/>
        <v>2024-4</v>
      </c>
    </row>
    <row r="585" spans="17:24" x14ac:dyDescent="0.3">
      <c r="Q585" t="s">
        <v>21</v>
      </c>
      <c r="R585" t="s">
        <v>56</v>
      </c>
      <c r="S585" t="s">
        <v>343</v>
      </c>
      <c r="T585">
        <v>89539</v>
      </c>
      <c r="U585">
        <v>4</v>
      </c>
      <c r="V585">
        <f t="shared" si="34"/>
        <v>2024</v>
      </c>
      <c r="W585">
        <f t="shared" si="35"/>
        <v>4</v>
      </c>
      <c r="X585" t="str">
        <f t="shared" si="36"/>
        <v>2024-4</v>
      </c>
    </row>
    <row r="586" spans="17:24" x14ac:dyDescent="0.3">
      <c r="Q586" t="s">
        <v>50</v>
      </c>
      <c r="R586" t="s">
        <v>19</v>
      </c>
      <c r="S586" t="s">
        <v>343</v>
      </c>
      <c r="T586">
        <v>56060</v>
      </c>
      <c r="U586">
        <v>6</v>
      </c>
      <c r="V586">
        <f t="shared" si="34"/>
        <v>2024</v>
      </c>
      <c r="W586">
        <f t="shared" si="35"/>
        <v>4</v>
      </c>
      <c r="X586" t="str">
        <f t="shared" si="36"/>
        <v>2024-4</v>
      </c>
    </row>
    <row r="587" spans="17:24" x14ac:dyDescent="0.3">
      <c r="Q587" t="s">
        <v>50</v>
      </c>
      <c r="R587" t="s">
        <v>63</v>
      </c>
      <c r="S587" t="s">
        <v>343</v>
      </c>
      <c r="T587">
        <v>35691</v>
      </c>
      <c r="U587">
        <v>8</v>
      </c>
      <c r="V587">
        <f t="shared" si="34"/>
        <v>2024</v>
      </c>
      <c r="W587">
        <f t="shared" si="35"/>
        <v>4</v>
      </c>
      <c r="X587" t="str">
        <f t="shared" si="36"/>
        <v>2024-4</v>
      </c>
    </row>
    <row r="588" spans="17:24" x14ac:dyDescent="0.3">
      <c r="Q588" t="s">
        <v>10</v>
      </c>
      <c r="R588" t="s">
        <v>174</v>
      </c>
      <c r="S588" t="s">
        <v>343</v>
      </c>
      <c r="T588">
        <v>48772</v>
      </c>
      <c r="U588">
        <v>7</v>
      </c>
      <c r="V588">
        <f t="shared" si="34"/>
        <v>2024</v>
      </c>
      <c r="W588">
        <f t="shared" si="35"/>
        <v>4</v>
      </c>
      <c r="X588" t="str">
        <f t="shared" si="36"/>
        <v>2024-4</v>
      </c>
    </row>
    <row r="589" spans="17:24" x14ac:dyDescent="0.3">
      <c r="Q589" t="s">
        <v>21</v>
      </c>
      <c r="R589" t="s">
        <v>85</v>
      </c>
      <c r="S589" t="s">
        <v>344</v>
      </c>
      <c r="T589">
        <v>47029</v>
      </c>
      <c r="U589">
        <v>4</v>
      </c>
      <c r="V589">
        <f t="shared" si="34"/>
        <v>2024</v>
      </c>
      <c r="W589">
        <f t="shared" si="35"/>
        <v>4</v>
      </c>
      <c r="X589" t="str">
        <f t="shared" si="36"/>
        <v>2024-4</v>
      </c>
    </row>
    <row r="590" spans="17:24" x14ac:dyDescent="0.3">
      <c r="Q590" t="s">
        <v>12</v>
      </c>
      <c r="R590" t="s">
        <v>81</v>
      </c>
      <c r="S590" t="s">
        <v>344</v>
      </c>
      <c r="T590">
        <v>59936</v>
      </c>
      <c r="U590">
        <v>7</v>
      </c>
      <c r="V590">
        <f t="shared" si="34"/>
        <v>2024</v>
      </c>
      <c r="W590">
        <f t="shared" si="35"/>
        <v>4</v>
      </c>
      <c r="X590" t="str">
        <f t="shared" si="36"/>
        <v>2024-4</v>
      </c>
    </row>
    <row r="591" spans="17:24" x14ac:dyDescent="0.3">
      <c r="Q591" t="s">
        <v>8</v>
      </c>
      <c r="R591" t="s">
        <v>46</v>
      </c>
      <c r="S591" t="s">
        <v>344</v>
      </c>
      <c r="T591">
        <v>12592</v>
      </c>
      <c r="U591">
        <v>1</v>
      </c>
      <c r="V591">
        <f t="shared" si="34"/>
        <v>2024</v>
      </c>
      <c r="W591">
        <f t="shared" si="35"/>
        <v>4</v>
      </c>
      <c r="X591" t="str">
        <f t="shared" si="36"/>
        <v>2024-4</v>
      </c>
    </row>
    <row r="592" spans="17:24" x14ac:dyDescent="0.3">
      <c r="Q592" t="s">
        <v>8</v>
      </c>
      <c r="R592" t="s">
        <v>111</v>
      </c>
      <c r="S592" t="s">
        <v>344</v>
      </c>
      <c r="T592">
        <v>59337</v>
      </c>
      <c r="U592">
        <v>3</v>
      </c>
      <c r="V592">
        <f t="shared" si="34"/>
        <v>2024</v>
      </c>
      <c r="W592">
        <f t="shared" si="35"/>
        <v>4</v>
      </c>
      <c r="X592" t="str">
        <f t="shared" si="36"/>
        <v>2024-4</v>
      </c>
    </row>
    <row r="593" spans="17:24" x14ac:dyDescent="0.3">
      <c r="Q593" t="s">
        <v>12</v>
      </c>
      <c r="R593" t="s">
        <v>83</v>
      </c>
      <c r="S593" t="s">
        <v>345</v>
      </c>
      <c r="T593">
        <v>49633</v>
      </c>
      <c r="U593">
        <v>6</v>
      </c>
      <c r="V593">
        <f t="shared" si="34"/>
        <v>2024</v>
      </c>
      <c r="W593">
        <f t="shared" si="35"/>
        <v>4</v>
      </c>
      <c r="X593" t="str">
        <f t="shared" si="36"/>
        <v>2024-4</v>
      </c>
    </row>
    <row r="594" spans="17:24" x14ac:dyDescent="0.3">
      <c r="Q594" t="s">
        <v>45</v>
      </c>
      <c r="R594" t="s">
        <v>169</v>
      </c>
      <c r="S594" t="s">
        <v>345</v>
      </c>
      <c r="T594">
        <v>66389</v>
      </c>
      <c r="U594">
        <v>6</v>
      </c>
      <c r="V594">
        <f t="shared" si="34"/>
        <v>2024</v>
      </c>
      <c r="W594">
        <f t="shared" si="35"/>
        <v>4</v>
      </c>
      <c r="X594" t="str">
        <f t="shared" si="36"/>
        <v>2024-4</v>
      </c>
    </row>
    <row r="595" spans="17:24" x14ac:dyDescent="0.3">
      <c r="Q595" t="s">
        <v>18</v>
      </c>
      <c r="R595" t="s">
        <v>70</v>
      </c>
      <c r="S595" t="s">
        <v>345</v>
      </c>
      <c r="T595">
        <v>64474</v>
      </c>
      <c r="U595">
        <v>6</v>
      </c>
      <c r="V595">
        <f t="shared" si="34"/>
        <v>2024</v>
      </c>
      <c r="W595">
        <f t="shared" si="35"/>
        <v>4</v>
      </c>
      <c r="X595" t="str">
        <f t="shared" si="36"/>
        <v>2024-4</v>
      </c>
    </row>
    <row r="596" spans="17:24" x14ac:dyDescent="0.3">
      <c r="Q596" t="s">
        <v>45</v>
      </c>
      <c r="R596" t="s">
        <v>256</v>
      </c>
      <c r="S596" t="s">
        <v>346</v>
      </c>
      <c r="T596">
        <v>25680</v>
      </c>
      <c r="U596">
        <v>8</v>
      </c>
      <c r="V596">
        <f t="shared" si="34"/>
        <v>2024</v>
      </c>
      <c r="W596">
        <f t="shared" si="35"/>
        <v>4</v>
      </c>
      <c r="X596" t="str">
        <f t="shared" si="36"/>
        <v>2024-4</v>
      </c>
    </row>
    <row r="597" spans="17:24" x14ac:dyDescent="0.3">
      <c r="Q597" t="s">
        <v>14</v>
      </c>
      <c r="R597" t="s">
        <v>39</v>
      </c>
      <c r="S597" t="s">
        <v>347</v>
      </c>
      <c r="T597">
        <v>25014</v>
      </c>
      <c r="U597">
        <v>6</v>
      </c>
      <c r="V597">
        <f t="shared" si="34"/>
        <v>2024</v>
      </c>
      <c r="W597">
        <f t="shared" si="35"/>
        <v>4</v>
      </c>
      <c r="X597" t="str">
        <f t="shared" si="36"/>
        <v>2024-4</v>
      </c>
    </row>
    <row r="598" spans="17:24" x14ac:dyDescent="0.3">
      <c r="Q598" t="s">
        <v>21</v>
      </c>
      <c r="R598" t="s">
        <v>58</v>
      </c>
      <c r="S598" t="s">
        <v>347</v>
      </c>
      <c r="T598">
        <v>42324</v>
      </c>
      <c r="U598">
        <v>6</v>
      </c>
      <c r="V598">
        <f t="shared" si="34"/>
        <v>2024</v>
      </c>
      <c r="W598">
        <f t="shared" si="35"/>
        <v>4</v>
      </c>
      <c r="X598" t="str">
        <f t="shared" si="36"/>
        <v>2024-4</v>
      </c>
    </row>
    <row r="599" spans="17:24" x14ac:dyDescent="0.3">
      <c r="Q599" t="s">
        <v>14</v>
      </c>
      <c r="R599" t="s">
        <v>25</v>
      </c>
      <c r="S599" t="s">
        <v>347</v>
      </c>
      <c r="T599">
        <v>47577</v>
      </c>
      <c r="U599">
        <v>2</v>
      </c>
      <c r="V599">
        <f t="shared" si="34"/>
        <v>2024</v>
      </c>
      <c r="W599">
        <f t="shared" si="35"/>
        <v>4</v>
      </c>
      <c r="X599" t="str">
        <f t="shared" si="36"/>
        <v>2024-4</v>
      </c>
    </row>
    <row r="600" spans="17:24" x14ac:dyDescent="0.3">
      <c r="Q600" t="s">
        <v>8</v>
      </c>
      <c r="R600" t="s">
        <v>70</v>
      </c>
      <c r="S600" t="s">
        <v>347</v>
      </c>
      <c r="T600">
        <v>12232</v>
      </c>
      <c r="U600">
        <v>6</v>
      </c>
      <c r="V600">
        <f t="shared" si="34"/>
        <v>2024</v>
      </c>
      <c r="W600">
        <f t="shared" si="35"/>
        <v>4</v>
      </c>
      <c r="X600" t="str">
        <f t="shared" si="36"/>
        <v>2024-4</v>
      </c>
    </row>
    <row r="601" spans="17:24" x14ac:dyDescent="0.3">
      <c r="Q601" t="s">
        <v>21</v>
      </c>
      <c r="R601" t="s">
        <v>43</v>
      </c>
      <c r="S601" t="s">
        <v>348</v>
      </c>
      <c r="T601">
        <v>35969</v>
      </c>
      <c r="U601">
        <v>4</v>
      </c>
      <c r="V601">
        <f t="shared" si="34"/>
        <v>2024</v>
      </c>
      <c r="W601">
        <f t="shared" si="35"/>
        <v>4</v>
      </c>
      <c r="X601" t="str">
        <f t="shared" si="36"/>
        <v>2024-4</v>
      </c>
    </row>
    <row r="602" spans="17:24" x14ac:dyDescent="0.3">
      <c r="Q602" t="s">
        <v>47</v>
      </c>
      <c r="R602" t="s">
        <v>17</v>
      </c>
      <c r="S602" t="s">
        <v>348</v>
      </c>
      <c r="T602">
        <v>75582</v>
      </c>
      <c r="U602">
        <v>5</v>
      </c>
      <c r="V602">
        <f t="shared" si="34"/>
        <v>2024</v>
      </c>
      <c r="W602">
        <f t="shared" si="35"/>
        <v>4</v>
      </c>
      <c r="X602" t="str">
        <f t="shared" si="36"/>
        <v>2024-4</v>
      </c>
    </row>
    <row r="603" spans="17:24" x14ac:dyDescent="0.3">
      <c r="Q603" t="s">
        <v>14</v>
      </c>
      <c r="R603" t="s">
        <v>66</v>
      </c>
      <c r="S603" t="s">
        <v>348</v>
      </c>
      <c r="T603">
        <v>22897</v>
      </c>
      <c r="U603">
        <v>6</v>
      </c>
      <c r="V603">
        <f t="shared" si="34"/>
        <v>2024</v>
      </c>
      <c r="W603">
        <f t="shared" si="35"/>
        <v>4</v>
      </c>
      <c r="X603" t="str">
        <f t="shared" si="36"/>
        <v>2024-4</v>
      </c>
    </row>
    <row r="604" spans="17:24" x14ac:dyDescent="0.3">
      <c r="Q604" t="s">
        <v>18</v>
      </c>
      <c r="R604" t="s">
        <v>122</v>
      </c>
      <c r="S604" t="s">
        <v>348</v>
      </c>
      <c r="T604">
        <v>63420</v>
      </c>
      <c r="U604">
        <v>3</v>
      </c>
      <c r="V604">
        <f t="shared" si="34"/>
        <v>2024</v>
      </c>
      <c r="W604">
        <f t="shared" si="35"/>
        <v>4</v>
      </c>
      <c r="X604" t="str">
        <f t="shared" si="36"/>
        <v>2024-4</v>
      </c>
    </row>
    <row r="605" spans="17:24" x14ac:dyDescent="0.3">
      <c r="Q605" t="s">
        <v>40</v>
      </c>
      <c r="R605" t="s">
        <v>324</v>
      </c>
      <c r="S605" t="s">
        <v>348</v>
      </c>
      <c r="T605">
        <v>83021</v>
      </c>
      <c r="U605">
        <v>8</v>
      </c>
      <c r="V605">
        <f t="shared" si="34"/>
        <v>2024</v>
      </c>
      <c r="W605">
        <f t="shared" si="35"/>
        <v>4</v>
      </c>
      <c r="X605" t="str">
        <f t="shared" si="36"/>
        <v>2024-4</v>
      </c>
    </row>
    <row r="606" spans="17:24" x14ac:dyDescent="0.3">
      <c r="Q606" t="s">
        <v>12</v>
      </c>
      <c r="R606" t="s">
        <v>221</v>
      </c>
      <c r="S606" t="s">
        <v>348</v>
      </c>
      <c r="T606">
        <v>59980</v>
      </c>
      <c r="U606">
        <v>8</v>
      </c>
      <c r="V606">
        <f t="shared" si="34"/>
        <v>2024</v>
      </c>
      <c r="W606">
        <f t="shared" si="35"/>
        <v>4</v>
      </c>
      <c r="X606" t="str">
        <f t="shared" si="36"/>
        <v>2024-4</v>
      </c>
    </row>
    <row r="607" spans="17:24" x14ac:dyDescent="0.3">
      <c r="Q607" t="s">
        <v>47</v>
      </c>
      <c r="R607" t="s">
        <v>178</v>
      </c>
      <c r="S607" t="s">
        <v>348</v>
      </c>
      <c r="T607">
        <v>63200</v>
      </c>
      <c r="U607">
        <v>3</v>
      </c>
      <c r="V607">
        <f t="shared" si="34"/>
        <v>2024</v>
      </c>
      <c r="W607">
        <f t="shared" si="35"/>
        <v>4</v>
      </c>
      <c r="X607" t="str">
        <f t="shared" si="36"/>
        <v>2024-4</v>
      </c>
    </row>
    <row r="608" spans="17:24" x14ac:dyDescent="0.3">
      <c r="Q608" t="s">
        <v>10</v>
      </c>
      <c r="R608" t="s">
        <v>312</v>
      </c>
      <c r="S608" t="s">
        <v>348</v>
      </c>
      <c r="T608">
        <v>56312</v>
      </c>
      <c r="U608">
        <v>9</v>
      </c>
      <c r="V608">
        <f t="shared" si="34"/>
        <v>2024</v>
      </c>
      <c r="W608">
        <f t="shared" si="35"/>
        <v>4</v>
      </c>
      <c r="X608" t="str">
        <f t="shared" si="36"/>
        <v>2024-4</v>
      </c>
    </row>
    <row r="609" spans="17:24" x14ac:dyDescent="0.3">
      <c r="Q609" t="s">
        <v>8</v>
      </c>
      <c r="R609" t="s">
        <v>61</v>
      </c>
      <c r="S609" t="s">
        <v>348</v>
      </c>
      <c r="T609">
        <v>62079</v>
      </c>
      <c r="U609">
        <v>6</v>
      </c>
      <c r="V609">
        <f t="shared" si="34"/>
        <v>2024</v>
      </c>
      <c r="W609">
        <f t="shared" si="35"/>
        <v>4</v>
      </c>
      <c r="X609" t="str">
        <f t="shared" si="36"/>
        <v>2024-4</v>
      </c>
    </row>
    <row r="610" spans="17:24" x14ac:dyDescent="0.3">
      <c r="Q610" t="s">
        <v>45</v>
      </c>
      <c r="R610" t="s">
        <v>258</v>
      </c>
      <c r="S610" t="s">
        <v>349</v>
      </c>
      <c r="T610">
        <v>38895</v>
      </c>
      <c r="U610">
        <v>9</v>
      </c>
      <c r="V610">
        <f t="shared" si="34"/>
        <v>2024</v>
      </c>
      <c r="W610">
        <f t="shared" si="35"/>
        <v>4</v>
      </c>
      <c r="X610" t="str">
        <f t="shared" si="36"/>
        <v>2024-4</v>
      </c>
    </row>
    <row r="611" spans="17:24" x14ac:dyDescent="0.3">
      <c r="Q611" t="s">
        <v>10</v>
      </c>
      <c r="R611" t="s">
        <v>251</v>
      </c>
      <c r="S611" t="s">
        <v>349</v>
      </c>
      <c r="T611">
        <v>34093</v>
      </c>
      <c r="U611">
        <v>6</v>
      </c>
      <c r="V611">
        <f t="shared" si="34"/>
        <v>2024</v>
      </c>
      <c r="W611">
        <f t="shared" si="35"/>
        <v>4</v>
      </c>
      <c r="X611" t="str">
        <f t="shared" si="36"/>
        <v>2024-4</v>
      </c>
    </row>
    <row r="612" spans="17:24" x14ac:dyDescent="0.3">
      <c r="Q612" t="s">
        <v>50</v>
      </c>
      <c r="R612" t="s">
        <v>99</v>
      </c>
      <c r="S612" t="s">
        <v>349</v>
      </c>
      <c r="T612">
        <v>21986</v>
      </c>
      <c r="U612">
        <v>8</v>
      </c>
      <c r="V612">
        <f t="shared" si="34"/>
        <v>2024</v>
      </c>
      <c r="W612">
        <f t="shared" si="35"/>
        <v>4</v>
      </c>
      <c r="X612" t="str">
        <f t="shared" si="36"/>
        <v>2024-4</v>
      </c>
    </row>
    <row r="613" spans="17:24" x14ac:dyDescent="0.3">
      <c r="Q613" t="s">
        <v>8</v>
      </c>
      <c r="R613" t="s">
        <v>103</v>
      </c>
      <c r="S613" t="s">
        <v>349</v>
      </c>
      <c r="T613">
        <v>55886</v>
      </c>
      <c r="U613">
        <v>5</v>
      </c>
      <c r="V613">
        <f t="shared" si="34"/>
        <v>2024</v>
      </c>
      <c r="W613">
        <f t="shared" si="35"/>
        <v>4</v>
      </c>
      <c r="X613" t="str">
        <f t="shared" si="36"/>
        <v>2024-4</v>
      </c>
    </row>
    <row r="614" spans="17:24" x14ac:dyDescent="0.3">
      <c r="Q614" t="s">
        <v>47</v>
      </c>
      <c r="R614" t="s">
        <v>92</v>
      </c>
      <c r="S614" t="s">
        <v>350</v>
      </c>
      <c r="T614">
        <v>40208</v>
      </c>
      <c r="U614">
        <v>6</v>
      </c>
      <c r="V614">
        <f t="shared" si="34"/>
        <v>2024</v>
      </c>
      <c r="W614">
        <f t="shared" si="35"/>
        <v>4</v>
      </c>
      <c r="X614" t="str">
        <f t="shared" si="36"/>
        <v>2024-4</v>
      </c>
    </row>
    <row r="615" spans="17:24" x14ac:dyDescent="0.3">
      <c r="Q615" t="s">
        <v>12</v>
      </c>
      <c r="R615" t="s">
        <v>173</v>
      </c>
      <c r="S615" t="s">
        <v>350</v>
      </c>
      <c r="T615">
        <v>58035</v>
      </c>
      <c r="U615">
        <v>6</v>
      </c>
      <c r="V615">
        <f t="shared" si="34"/>
        <v>2024</v>
      </c>
      <c r="W615">
        <f t="shared" si="35"/>
        <v>4</v>
      </c>
      <c r="X615" t="str">
        <f t="shared" si="36"/>
        <v>2024-4</v>
      </c>
    </row>
    <row r="616" spans="17:24" x14ac:dyDescent="0.3">
      <c r="Q616" t="s">
        <v>10</v>
      </c>
      <c r="R616" t="s">
        <v>130</v>
      </c>
      <c r="S616" t="s">
        <v>350</v>
      </c>
      <c r="T616">
        <v>90951</v>
      </c>
      <c r="U616">
        <v>9</v>
      </c>
      <c r="V616">
        <f t="shared" si="34"/>
        <v>2024</v>
      </c>
      <c r="W616">
        <f t="shared" si="35"/>
        <v>4</v>
      </c>
      <c r="X616" t="str">
        <f t="shared" si="36"/>
        <v>2024-4</v>
      </c>
    </row>
    <row r="617" spans="17:24" x14ac:dyDescent="0.3">
      <c r="Q617" t="s">
        <v>21</v>
      </c>
      <c r="R617" t="s">
        <v>167</v>
      </c>
      <c r="S617" t="s">
        <v>351</v>
      </c>
      <c r="T617">
        <v>70067</v>
      </c>
      <c r="U617">
        <v>3</v>
      </c>
      <c r="V617">
        <f t="shared" si="34"/>
        <v>2024</v>
      </c>
      <c r="W617">
        <f t="shared" si="35"/>
        <v>4</v>
      </c>
      <c r="X617" t="str">
        <f t="shared" si="36"/>
        <v>2024-4</v>
      </c>
    </row>
    <row r="618" spans="17:24" x14ac:dyDescent="0.3">
      <c r="Q618" t="s">
        <v>5</v>
      </c>
      <c r="R618" t="s">
        <v>176</v>
      </c>
      <c r="S618" t="s">
        <v>351</v>
      </c>
      <c r="T618">
        <v>42602</v>
      </c>
      <c r="U618">
        <v>2</v>
      </c>
      <c r="V618">
        <f t="shared" si="34"/>
        <v>2024</v>
      </c>
      <c r="W618">
        <f t="shared" si="35"/>
        <v>4</v>
      </c>
      <c r="X618" t="str">
        <f t="shared" si="36"/>
        <v>2024-4</v>
      </c>
    </row>
    <row r="619" spans="17:24" x14ac:dyDescent="0.3">
      <c r="Q619" t="s">
        <v>18</v>
      </c>
      <c r="R619" t="s">
        <v>147</v>
      </c>
      <c r="S619" t="s">
        <v>352</v>
      </c>
      <c r="T619">
        <v>63188</v>
      </c>
      <c r="U619">
        <v>4</v>
      </c>
      <c r="V619">
        <f t="shared" si="34"/>
        <v>2024</v>
      </c>
      <c r="W619">
        <f t="shared" si="35"/>
        <v>4</v>
      </c>
      <c r="X619" t="str">
        <f t="shared" si="36"/>
        <v>2024-4</v>
      </c>
    </row>
    <row r="620" spans="17:24" x14ac:dyDescent="0.3">
      <c r="Q620" t="s">
        <v>28</v>
      </c>
      <c r="R620" t="s">
        <v>49</v>
      </c>
      <c r="S620" t="s">
        <v>352</v>
      </c>
      <c r="T620">
        <v>92700</v>
      </c>
      <c r="U620">
        <v>0</v>
      </c>
      <c r="V620">
        <f t="shared" si="34"/>
        <v>2024</v>
      </c>
      <c r="W620">
        <f t="shared" si="35"/>
        <v>4</v>
      </c>
      <c r="X620" t="str">
        <f t="shared" si="36"/>
        <v>2024-4</v>
      </c>
    </row>
    <row r="621" spans="17:24" x14ac:dyDescent="0.3">
      <c r="Q621" t="s">
        <v>5</v>
      </c>
      <c r="R621" t="s">
        <v>289</v>
      </c>
      <c r="S621" t="s">
        <v>352</v>
      </c>
      <c r="T621">
        <v>55184</v>
      </c>
      <c r="U621">
        <v>9</v>
      </c>
      <c r="V621">
        <f t="shared" si="34"/>
        <v>2024</v>
      </c>
      <c r="W621">
        <f t="shared" si="35"/>
        <v>4</v>
      </c>
      <c r="X621" t="str">
        <f t="shared" si="36"/>
        <v>2024-4</v>
      </c>
    </row>
    <row r="622" spans="17:24" x14ac:dyDescent="0.3">
      <c r="Q622" t="s">
        <v>50</v>
      </c>
      <c r="R622" t="s">
        <v>92</v>
      </c>
      <c r="S622" t="s">
        <v>352</v>
      </c>
      <c r="T622">
        <v>70727</v>
      </c>
      <c r="U622">
        <v>8</v>
      </c>
      <c r="V622">
        <f t="shared" si="34"/>
        <v>2024</v>
      </c>
      <c r="W622">
        <f t="shared" si="35"/>
        <v>4</v>
      </c>
      <c r="X622" t="str">
        <f t="shared" si="36"/>
        <v>2024-4</v>
      </c>
    </row>
    <row r="623" spans="17:24" x14ac:dyDescent="0.3">
      <c r="Q623" t="s">
        <v>28</v>
      </c>
      <c r="R623" t="s">
        <v>100</v>
      </c>
      <c r="S623" t="s">
        <v>352</v>
      </c>
      <c r="T623">
        <v>65723</v>
      </c>
      <c r="U623">
        <v>7</v>
      </c>
      <c r="V623">
        <f t="shared" si="34"/>
        <v>2024</v>
      </c>
      <c r="W623">
        <f t="shared" si="35"/>
        <v>4</v>
      </c>
      <c r="X623" t="str">
        <f t="shared" si="36"/>
        <v>2024-4</v>
      </c>
    </row>
    <row r="624" spans="17:24" x14ac:dyDescent="0.3">
      <c r="Q624" t="s">
        <v>5</v>
      </c>
      <c r="R624" t="s">
        <v>185</v>
      </c>
      <c r="S624" t="s">
        <v>352</v>
      </c>
      <c r="T624">
        <v>67772</v>
      </c>
      <c r="U624">
        <v>0</v>
      </c>
      <c r="V624">
        <f t="shared" si="34"/>
        <v>2024</v>
      </c>
      <c r="W624">
        <f t="shared" si="35"/>
        <v>4</v>
      </c>
      <c r="X624" t="str">
        <f t="shared" si="36"/>
        <v>2024-4</v>
      </c>
    </row>
    <row r="625" spans="17:24" x14ac:dyDescent="0.3">
      <c r="Q625" t="s">
        <v>18</v>
      </c>
      <c r="R625" t="s">
        <v>124</v>
      </c>
      <c r="S625" t="s">
        <v>352</v>
      </c>
      <c r="T625">
        <v>47882</v>
      </c>
      <c r="U625">
        <v>4</v>
      </c>
      <c r="V625">
        <f t="shared" si="34"/>
        <v>2024</v>
      </c>
      <c r="W625">
        <f t="shared" si="35"/>
        <v>4</v>
      </c>
      <c r="X625" t="str">
        <f t="shared" si="36"/>
        <v>2024-4</v>
      </c>
    </row>
    <row r="626" spans="17:24" x14ac:dyDescent="0.3">
      <c r="Q626" t="s">
        <v>18</v>
      </c>
      <c r="R626" t="s">
        <v>174</v>
      </c>
      <c r="S626" t="s">
        <v>352</v>
      </c>
      <c r="T626">
        <v>20896</v>
      </c>
      <c r="U626">
        <v>9</v>
      </c>
      <c r="V626">
        <f t="shared" si="34"/>
        <v>2024</v>
      </c>
      <c r="W626">
        <f t="shared" si="35"/>
        <v>4</v>
      </c>
      <c r="X626" t="str">
        <f t="shared" si="36"/>
        <v>2024-4</v>
      </c>
    </row>
    <row r="627" spans="17:24" x14ac:dyDescent="0.3">
      <c r="Q627" t="s">
        <v>50</v>
      </c>
      <c r="R627" t="s">
        <v>85</v>
      </c>
      <c r="S627" t="s">
        <v>352</v>
      </c>
      <c r="T627">
        <v>40137</v>
      </c>
      <c r="U627">
        <v>8</v>
      </c>
      <c r="V627">
        <f t="shared" si="34"/>
        <v>2024</v>
      </c>
      <c r="W627">
        <f t="shared" si="35"/>
        <v>4</v>
      </c>
      <c r="X627" t="str">
        <f t="shared" si="36"/>
        <v>2024-4</v>
      </c>
    </row>
    <row r="628" spans="17:24" x14ac:dyDescent="0.3">
      <c r="Q628" t="s">
        <v>45</v>
      </c>
      <c r="R628" t="s">
        <v>268</v>
      </c>
      <c r="S628" t="s">
        <v>352</v>
      </c>
      <c r="T628">
        <v>70420</v>
      </c>
      <c r="U628">
        <v>10</v>
      </c>
      <c r="V628">
        <f t="shared" si="34"/>
        <v>2024</v>
      </c>
      <c r="W628">
        <f t="shared" si="35"/>
        <v>4</v>
      </c>
      <c r="X628" t="str">
        <f t="shared" si="36"/>
        <v>2024-4</v>
      </c>
    </row>
    <row r="629" spans="17:24" x14ac:dyDescent="0.3">
      <c r="Q629" t="s">
        <v>45</v>
      </c>
      <c r="R629" t="s">
        <v>126</v>
      </c>
      <c r="S629" t="s">
        <v>352</v>
      </c>
      <c r="T629">
        <v>90657</v>
      </c>
      <c r="U629">
        <v>3</v>
      </c>
      <c r="V629">
        <f t="shared" si="34"/>
        <v>2024</v>
      </c>
      <c r="W629">
        <f t="shared" si="35"/>
        <v>4</v>
      </c>
      <c r="X629" t="str">
        <f t="shared" si="36"/>
        <v>2024-4</v>
      </c>
    </row>
    <row r="630" spans="17:24" x14ac:dyDescent="0.3">
      <c r="Q630" t="s">
        <v>21</v>
      </c>
      <c r="R630" t="s">
        <v>109</v>
      </c>
      <c r="S630" t="s">
        <v>352</v>
      </c>
      <c r="T630">
        <v>68334</v>
      </c>
      <c r="U630">
        <v>6</v>
      </c>
      <c r="V630">
        <f t="shared" si="34"/>
        <v>2024</v>
      </c>
      <c r="W630">
        <f t="shared" si="35"/>
        <v>4</v>
      </c>
      <c r="X630" t="str">
        <f t="shared" si="36"/>
        <v>2024-4</v>
      </c>
    </row>
    <row r="631" spans="17:24" x14ac:dyDescent="0.3">
      <c r="Q631" t="s">
        <v>8</v>
      </c>
      <c r="R631" t="s">
        <v>200</v>
      </c>
      <c r="S631" t="s">
        <v>353</v>
      </c>
      <c r="T631">
        <v>47948</v>
      </c>
      <c r="U631">
        <v>8</v>
      </c>
      <c r="V631">
        <f t="shared" si="34"/>
        <v>2024</v>
      </c>
      <c r="W631">
        <f t="shared" si="35"/>
        <v>4</v>
      </c>
      <c r="X631" t="str">
        <f t="shared" si="36"/>
        <v>2024-4</v>
      </c>
    </row>
    <row r="632" spans="17:24" x14ac:dyDescent="0.3">
      <c r="Q632" t="s">
        <v>50</v>
      </c>
      <c r="R632" t="s">
        <v>205</v>
      </c>
      <c r="S632" t="s">
        <v>353</v>
      </c>
      <c r="T632">
        <v>25292</v>
      </c>
      <c r="U632">
        <v>8</v>
      </c>
      <c r="V632">
        <f t="shared" si="34"/>
        <v>2024</v>
      </c>
      <c r="W632">
        <f t="shared" si="35"/>
        <v>4</v>
      </c>
      <c r="X632" t="str">
        <f t="shared" si="36"/>
        <v>2024-4</v>
      </c>
    </row>
    <row r="633" spans="17:24" x14ac:dyDescent="0.3">
      <c r="Q633" t="s">
        <v>50</v>
      </c>
      <c r="R633" t="s">
        <v>181</v>
      </c>
      <c r="S633" t="s">
        <v>354</v>
      </c>
      <c r="T633">
        <v>65891</v>
      </c>
      <c r="U633">
        <v>6</v>
      </c>
      <c r="V633">
        <f t="shared" si="34"/>
        <v>2024</v>
      </c>
      <c r="W633">
        <f t="shared" si="35"/>
        <v>4</v>
      </c>
      <c r="X633" t="str">
        <f t="shared" si="36"/>
        <v>2024-4</v>
      </c>
    </row>
    <row r="634" spans="17:24" x14ac:dyDescent="0.3">
      <c r="Q634" t="s">
        <v>45</v>
      </c>
      <c r="R634" t="s">
        <v>100</v>
      </c>
      <c r="S634" t="s">
        <v>354</v>
      </c>
      <c r="T634">
        <v>64814</v>
      </c>
      <c r="U634">
        <v>10</v>
      </c>
      <c r="V634">
        <f t="shared" si="34"/>
        <v>2024</v>
      </c>
      <c r="W634">
        <f t="shared" si="35"/>
        <v>4</v>
      </c>
      <c r="X634" t="str">
        <f t="shared" si="36"/>
        <v>2024-4</v>
      </c>
    </row>
    <row r="635" spans="17:24" x14ac:dyDescent="0.3">
      <c r="Q635" t="s">
        <v>14</v>
      </c>
      <c r="R635" t="s">
        <v>23</v>
      </c>
      <c r="S635" t="s">
        <v>354</v>
      </c>
      <c r="T635">
        <v>29030</v>
      </c>
      <c r="U635">
        <v>3</v>
      </c>
      <c r="V635">
        <f t="shared" si="34"/>
        <v>2024</v>
      </c>
      <c r="W635">
        <f t="shared" si="35"/>
        <v>4</v>
      </c>
      <c r="X635" t="str">
        <f t="shared" si="36"/>
        <v>2024-4</v>
      </c>
    </row>
    <row r="636" spans="17:24" x14ac:dyDescent="0.3">
      <c r="Q636" t="s">
        <v>14</v>
      </c>
      <c r="R636" t="s">
        <v>37</v>
      </c>
      <c r="S636" t="s">
        <v>354</v>
      </c>
      <c r="T636">
        <v>76644</v>
      </c>
      <c r="U636">
        <v>6</v>
      </c>
      <c r="V636">
        <f t="shared" si="34"/>
        <v>2024</v>
      </c>
      <c r="W636">
        <f t="shared" si="35"/>
        <v>4</v>
      </c>
      <c r="X636" t="str">
        <f t="shared" si="36"/>
        <v>2024-4</v>
      </c>
    </row>
    <row r="637" spans="17:24" x14ac:dyDescent="0.3">
      <c r="Q637" t="s">
        <v>40</v>
      </c>
      <c r="R637" t="s">
        <v>49</v>
      </c>
      <c r="S637" t="s">
        <v>355</v>
      </c>
      <c r="T637">
        <v>17868</v>
      </c>
      <c r="U637">
        <v>8</v>
      </c>
      <c r="V637">
        <f t="shared" si="34"/>
        <v>2024</v>
      </c>
      <c r="W637">
        <f t="shared" si="35"/>
        <v>4</v>
      </c>
      <c r="X637" t="str">
        <f t="shared" si="36"/>
        <v>2024-4</v>
      </c>
    </row>
    <row r="638" spans="17:24" x14ac:dyDescent="0.3">
      <c r="Q638" t="s">
        <v>5</v>
      </c>
      <c r="R638" t="s">
        <v>130</v>
      </c>
      <c r="S638" t="s">
        <v>355</v>
      </c>
      <c r="T638">
        <v>29262</v>
      </c>
      <c r="U638">
        <v>3</v>
      </c>
      <c r="V638">
        <f t="shared" si="34"/>
        <v>2024</v>
      </c>
      <c r="W638">
        <f t="shared" si="35"/>
        <v>4</v>
      </c>
      <c r="X638" t="str">
        <f t="shared" si="36"/>
        <v>2024-4</v>
      </c>
    </row>
    <row r="639" spans="17:24" x14ac:dyDescent="0.3">
      <c r="Q639" t="s">
        <v>5</v>
      </c>
      <c r="R639" t="s">
        <v>77</v>
      </c>
      <c r="S639" t="s">
        <v>356</v>
      </c>
      <c r="T639">
        <v>85918</v>
      </c>
      <c r="U639">
        <v>2</v>
      </c>
      <c r="V639">
        <f t="shared" si="34"/>
        <v>2024</v>
      </c>
      <c r="W639">
        <f t="shared" si="35"/>
        <v>4</v>
      </c>
      <c r="X639" t="str">
        <f t="shared" si="36"/>
        <v>2024-4</v>
      </c>
    </row>
    <row r="640" spans="17:24" x14ac:dyDescent="0.3">
      <c r="Q640" t="s">
        <v>28</v>
      </c>
      <c r="R640" t="s">
        <v>80</v>
      </c>
      <c r="S640" t="s">
        <v>357</v>
      </c>
      <c r="T640">
        <v>92206</v>
      </c>
      <c r="U640">
        <v>6</v>
      </c>
      <c r="V640">
        <f t="shared" si="34"/>
        <v>2024</v>
      </c>
      <c r="W640">
        <f t="shared" si="35"/>
        <v>4</v>
      </c>
      <c r="X640" t="str">
        <f t="shared" si="36"/>
        <v>2024-4</v>
      </c>
    </row>
    <row r="641" spans="17:24" x14ac:dyDescent="0.3">
      <c r="Q641" t="s">
        <v>10</v>
      </c>
      <c r="R641" t="s">
        <v>46</v>
      </c>
      <c r="S641" t="s">
        <v>357</v>
      </c>
      <c r="T641">
        <v>97631</v>
      </c>
      <c r="U641">
        <v>3</v>
      </c>
      <c r="V641">
        <f t="shared" si="34"/>
        <v>2024</v>
      </c>
      <c r="W641">
        <f t="shared" si="35"/>
        <v>4</v>
      </c>
      <c r="X641" t="str">
        <f t="shared" si="36"/>
        <v>2024-4</v>
      </c>
    </row>
    <row r="642" spans="17:24" x14ac:dyDescent="0.3">
      <c r="Q642" t="s">
        <v>14</v>
      </c>
      <c r="R642" t="s">
        <v>19</v>
      </c>
      <c r="S642" t="s">
        <v>357</v>
      </c>
      <c r="T642">
        <v>65404</v>
      </c>
      <c r="U642">
        <v>6</v>
      </c>
      <c r="V642">
        <f t="shared" si="34"/>
        <v>2024</v>
      </c>
      <c r="W642">
        <f t="shared" si="35"/>
        <v>4</v>
      </c>
      <c r="X642" t="str">
        <f t="shared" si="36"/>
        <v>2024-4</v>
      </c>
    </row>
    <row r="643" spans="17:24" x14ac:dyDescent="0.3">
      <c r="Q643" t="s">
        <v>50</v>
      </c>
      <c r="R643" t="s">
        <v>190</v>
      </c>
      <c r="S643" t="s">
        <v>357</v>
      </c>
      <c r="T643">
        <v>62231</v>
      </c>
      <c r="U643">
        <v>0</v>
      </c>
      <c r="V643">
        <f t="shared" ref="V643:V706" si="37">YEAR(S643)</f>
        <v>2024</v>
      </c>
      <c r="W643">
        <f t="shared" ref="W643:W706" si="38">MONTH(S643)</f>
        <v>4</v>
      </c>
      <c r="X643" t="str">
        <f t="shared" ref="X643:X706" si="39">V643&amp;"-"&amp;W643</f>
        <v>2024-4</v>
      </c>
    </row>
    <row r="644" spans="17:24" x14ac:dyDescent="0.3">
      <c r="Q644" t="s">
        <v>40</v>
      </c>
      <c r="R644" t="s">
        <v>62</v>
      </c>
      <c r="S644" t="s">
        <v>357</v>
      </c>
      <c r="T644">
        <v>39092</v>
      </c>
      <c r="U644">
        <v>9</v>
      </c>
      <c r="V644">
        <f t="shared" si="37"/>
        <v>2024</v>
      </c>
      <c r="W644">
        <f t="shared" si="38"/>
        <v>4</v>
      </c>
      <c r="X644" t="str">
        <f t="shared" si="39"/>
        <v>2024-4</v>
      </c>
    </row>
    <row r="645" spans="17:24" x14ac:dyDescent="0.3">
      <c r="Q645" t="s">
        <v>47</v>
      </c>
      <c r="R645" t="s">
        <v>273</v>
      </c>
      <c r="S645" t="s">
        <v>358</v>
      </c>
      <c r="T645">
        <v>24270</v>
      </c>
      <c r="U645">
        <v>6</v>
      </c>
      <c r="V645">
        <f t="shared" si="37"/>
        <v>2024</v>
      </c>
      <c r="W645">
        <f t="shared" si="38"/>
        <v>4</v>
      </c>
      <c r="X645" t="str">
        <f t="shared" si="39"/>
        <v>2024-4</v>
      </c>
    </row>
    <row r="646" spans="17:24" x14ac:dyDescent="0.3">
      <c r="Q646" t="s">
        <v>21</v>
      </c>
      <c r="R646" t="s">
        <v>176</v>
      </c>
      <c r="S646" t="s">
        <v>358</v>
      </c>
      <c r="T646">
        <v>75351</v>
      </c>
      <c r="U646">
        <v>9</v>
      </c>
      <c r="V646">
        <f t="shared" si="37"/>
        <v>2024</v>
      </c>
      <c r="W646">
        <f t="shared" si="38"/>
        <v>4</v>
      </c>
      <c r="X646" t="str">
        <f t="shared" si="39"/>
        <v>2024-4</v>
      </c>
    </row>
    <row r="647" spans="17:24" x14ac:dyDescent="0.3">
      <c r="Q647" t="s">
        <v>5</v>
      </c>
      <c r="R647" t="s">
        <v>154</v>
      </c>
      <c r="S647" t="s">
        <v>358</v>
      </c>
      <c r="T647">
        <v>83879</v>
      </c>
      <c r="U647">
        <v>4</v>
      </c>
      <c r="V647">
        <f t="shared" si="37"/>
        <v>2024</v>
      </c>
      <c r="W647">
        <f t="shared" si="38"/>
        <v>4</v>
      </c>
      <c r="X647" t="str">
        <f t="shared" si="39"/>
        <v>2024-4</v>
      </c>
    </row>
    <row r="648" spans="17:24" x14ac:dyDescent="0.3">
      <c r="Q648" t="s">
        <v>14</v>
      </c>
      <c r="R648" t="s">
        <v>72</v>
      </c>
      <c r="S648" t="s">
        <v>359</v>
      </c>
      <c r="T648">
        <v>94969</v>
      </c>
      <c r="U648">
        <v>0</v>
      </c>
      <c r="V648">
        <f t="shared" si="37"/>
        <v>2024</v>
      </c>
      <c r="W648">
        <f t="shared" si="38"/>
        <v>4</v>
      </c>
      <c r="X648" t="str">
        <f t="shared" si="39"/>
        <v>2024-4</v>
      </c>
    </row>
    <row r="649" spans="17:24" x14ac:dyDescent="0.3">
      <c r="Q649" t="s">
        <v>21</v>
      </c>
      <c r="R649" t="s">
        <v>360</v>
      </c>
      <c r="S649" t="s">
        <v>359</v>
      </c>
      <c r="T649">
        <v>29399</v>
      </c>
      <c r="U649">
        <v>6</v>
      </c>
      <c r="V649">
        <f t="shared" si="37"/>
        <v>2024</v>
      </c>
      <c r="W649">
        <f t="shared" si="38"/>
        <v>4</v>
      </c>
      <c r="X649" t="str">
        <f t="shared" si="39"/>
        <v>2024-4</v>
      </c>
    </row>
    <row r="650" spans="17:24" x14ac:dyDescent="0.3">
      <c r="Q650" t="s">
        <v>28</v>
      </c>
      <c r="R650" t="s">
        <v>262</v>
      </c>
      <c r="S650" t="s">
        <v>359</v>
      </c>
      <c r="T650">
        <v>43031</v>
      </c>
      <c r="U650">
        <v>7</v>
      </c>
      <c r="V650">
        <f t="shared" si="37"/>
        <v>2024</v>
      </c>
      <c r="W650">
        <f t="shared" si="38"/>
        <v>4</v>
      </c>
      <c r="X650" t="str">
        <f t="shared" si="39"/>
        <v>2024-4</v>
      </c>
    </row>
    <row r="651" spans="17:24" x14ac:dyDescent="0.3">
      <c r="Q651" t="s">
        <v>28</v>
      </c>
      <c r="R651" t="s">
        <v>137</v>
      </c>
      <c r="S651" t="s">
        <v>361</v>
      </c>
      <c r="T651">
        <v>67447</v>
      </c>
      <c r="U651">
        <v>8</v>
      </c>
      <c r="V651">
        <f t="shared" si="37"/>
        <v>2024</v>
      </c>
      <c r="W651">
        <f t="shared" si="38"/>
        <v>4</v>
      </c>
      <c r="X651" t="str">
        <f t="shared" si="39"/>
        <v>2024-4</v>
      </c>
    </row>
    <row r="652" spans="17:24" x14ac:dyDescent="0.3">
      <c r="Q652" t="s">
        <v>40</v>
      </c>
      <c r="R652" t="s">
        <v>77</v>
      </c>
      <c r="S652" t="s">
        <v>361</v>
      </c>
      <c r="T652">
        <v>91927</v>
      </c>
      <c r="U652">
        <v>4</v>
      </c>
      <c r="V652">
        <f t="shared" si="37"/>
        <v>2024</v>
      </c>
      <c r="W652">
        <f t="shared" si="38"/>
        <v>4</v>
      </c>
      <c r="X652" t="str">
        <f t="shared" si="39"/>
        <v>2024-4</v>
      </c>
    </row>
    <row r="653" spans="17:24" x14ac:dyDescent="0.3">
      <c r="Q653" t="s">
        <v>40</v>
      </c>
      <c r="R653" t="s">
        <v>193</v>
      </c>
      <c r="S653" t="s">
        <v>361</v>
      </c>
      <c r="T653">
        <v>31828</v>
      </c>
      <c r="U653">
        <v>3</v>
      </c>
      <c r="V653">
        <f t="shared" si="37"/>
        <v>2024</v>
      </c>
      <c r="W653">
        <f t="shared" si="38"/>
        <v>4</v>
      </c>
      <c r="X653" t="str">
        <f t="shared" si="39"/>
        <v>2024-4</v>
      </c>
    </row>
    <row r="654" spans="17:24" x14ac:dyDescent="0.3">
      <c r="Q654" t="s">
        <v>21</v>
      </c>
      <c r="R654" t="s">
        <v>245</v>
      </c>
      <c r="S654" t="s">
        <v>362</v>
      </c>
      <c r="T654">
        <v>19505</v>
      </c>
      <c r="U654">
        <v>8</v>
      </c>
      <c r="V654">
        <f t="shared" si="37"/>
        <v>2024</v>
      </c>
      <c r="W654">
        <f t="shared" si="38"/>
        <v>4</v>
      </c>
      <c r="X654" t="str">
        <f t="shared" si="39"/>
        <v>2024-4</v>
      </c>
    </row>
    <row r="655" spans="17:24" x14ac:dyDescent="0.3">
      <c r="Q655" t="s">
        <v>28</v>
      </c>
      <c r="R655" t="s">
        <v>94</v>
      </c>
      <c r="S655" t="s">
        <v>362</v>
      </c>
      <c r="T655">
        <v>14270</v>
      </c>
      <c r="U655">
        <v>7</v>
      </c>
      <c r="V655">
        <f t="shared" si="37"/>
        <v>2024</v>
      </c>
      <c r="W655">
        <f t="shared" si="38"/>
        <v>4</v>
      </c>
      <c r="X655" t="str">
        <f t="shared" si="39"/>
        <v>2024-4</v>
      </c>
    </row>
    <row r="656" spans="17:24" x14ac:dyDescent="0.3">
      <c r="Q656" t="s">
        <v>21</v>
      </c>
      <c r="R656" t="s">
        <v>180</v>
      </c>
      <c r="S656" t="s">
        <v>363</v>
      </c>
      <c r="T656">
        <v>87229</v>
      </c>
      <c r="U656">
        <v>7</v>
      </c>
      <c r="V656">
        <f t="shared" si="37"/>
        <v>2024</v>
      </c>
      <c r="W656">
        <f t="shared" si="38"/>
        <v>4</v>
      </c>
      <c r="X656" t="str">
        <f t="shared" si="39"/>
        <v>2024-4</v>
      </c>
    </row>
    <row r="657" spans="17:24" x14ac:dyDescent="0.3">
      <c r="Q657" t="s">
        <v>14</v>
      </c>
      <c r="R657" t="s">
        <v>364</v>
      </c>
      <c r="S657" t="s">
        <v>363</v>
      </c>
      <c r="T657">
        <v>31925</v>
      </c>
      <c r="U657">
        <v>7</v>
      </c>
      <c r="V657">
        <f t="shared" si="37"/>
        <v>2024</v>
      </c>
      <c r="W657">
        <f t="shared" si="38"/>
        <v>4</v>
      </c>
      <c r="X657" t="str">
        <f t="shared" si="39"/>
        <v>2024-4</v>
      </c>
    </row>
    <row r="658" spans="17:24" x14ac:dyDescent="0.3">
      <c r="Q658" t="s">
        <v>21</v>
      </c>
      <c r="R658" t="s">
        <v>192</v>
      </c>
      <c r="S658" t="s">
        <v>363</v>
      </c>
      <c r="T658">
        <v>34468</v>
      </c>
      <c r="U658">
        <v>6</v>
      </c>
      <c r="V658">
        <f t="shared" si="37"/>
        <v>2024</v>
      </c>
      <c r="W658">
        <f t="shared" si="38"/>
        <v>4</v>
      </c>
      <c r="X658" t="str">
        <f t="shared" si="39"/>
        <v>2024-4</v>
      </c>
    </row>
    <row r="659" spans="17:24" x14ac:dyDescent="0.3">
      <c r="Q659" t="s">
        <v>50</v>
      </c>
      <c r="R659" t="s">
        <v>302</v>
      </c>
      <c r="S659" t="s">
        <v>363</v>
      </c>
      <c r="T659">
        <v>44558</v>
      </c>
      <c r="U659">
        <v>7</v>
      </c>
      <c r="V659">
        <f t="shared" si="37"/>
        <v>2024</v>
      </c>
      <c r="W659">
        <f t="shared" si="38"/>
        <v>4</v>
      </c>
      <c r="X659" t="str">
        <f t="shared" si="39"/>
        <v>2024-4</v>
      </c>
    </row>
    <row r="660" spans="17:24" x14ac:dyDescent="0.3">
      <c r="Q660" t="s">
        <v>5</v>
      </c>
      <c r="R660" t="s">
        <v>152</v>
      </c>
      <c r="S660" t="s">
        <v>363</v>
      </c>
      <c r="T660">
        <v>25879</v>
      </c>
      <c r="U660">
        <v>6</v>
      </c>
      <c r="V660">
        <f t="shared" si="37"/>
        <v>2024</v>
      </c>
      <c r="W660">
        <f t="shared" si="38"/>
        <v>4</v>
      </c>
      <c r="X660" t="str">
        <f t="shared" si="39"/>
        <v>2024-4</v>
      </c>
    </row>
    <row r="661" spans="17:24" x14ac:dyDescent="0.3">
      <c r="Q661" t="s">
        <v>12</v>
      </c>
      <c r="R661" t="s">
        <v>71</v>
      </c>
      <c r="S661" t="s">
        <v>363</v>
      </c>
      <c r="T661">
        <v>32402</v>
      </c>
      <c r="U661">
        <v>6</v>
      </c>
      <c r="V661">
        <f t="shared" si="37"/>
        <v>2024</v>
      </c>
      <c r="W661">
        <f t="shared" si="38"/>
        <v>4</v>
      </c>
      <c r="X661" t="str">
        <f t="shared" si="39"/>
        <v>2024-4</v>
      </c>
    </row>
    <row r="662" spans="17:24" x14ac:dyDescent="0.3">
      <c r="Q662" t="s">
        <v>28</v>
      </c>
      <c r="R662" t="s">
        <v>302</v>
      </c>
      <c r="S662" t="s">
        <v>363</v>
      </c>
      <c r="T662">
        <v>43890</v>
      </c>
      <c r="U662">
        <v>1</v>
      </c>
      <c r="V662">
        <f t="shared" si="37"/>
        <v>2024</v>
      </c>
      <c r="W662">
        <f t="shared" si="38"/>
        <v>4</v>
      </c>
      <c r="X662" t="str">
        <f t="shared" si="39"/>
        <v>2024-4</v>
      </c>
    </row>
    <row r="663" spans="17:24" x14ac:dyDescent="0.3">
      <c r="Q663" t="s">
        <v>8</v>
      </c>
      <c r="R663" t="s">
        <v>100</v>
      </c>
      <c r="S663" t="s">
        <v>365</v>
      </c>
      <c r="T663">
        <v>73703</v>
      </c>
      <c r="U663">
        <v>8</v>
      </c>
      <c r="V663">
        <f t="shared" si="37"/>
        <v>2024</v>
      </c>
      <c r="W663">
        <f t="shared" si="38"/>
        <v>4</v>
      </c>
      <c r="X663" t="str">
        <f t="shared" si="39"/>
        <v>2024-4</v>
      </c>
    </row>
    <row r="664" spans="17:24" x14ac:dyDescent="0.3">
      <c r="Q664" t="s">
        <v>8</v>
      </c>
      <c r="R664" t="s">
        <v>112</v>
      </c>
      <c r="S664" t="s">
        <v>365</v>
      </c>
      <c r="T664">
        <v>84876</v>
      </c>
      <c r="U664">
        <v>7</v>
      </c>
      <c r="V664">
        <f t="shared" si="37"/>
        <v>2024</v>
      </c>
      <c r="W664">
        <f t="shared" si="38"/>
        <v>4</v>
      </c>
      <c r="X664" t="str">
        <f t="shared" si="39"/>
        <v>2024-4</v>
      </c>
    </row>
    <row r="665" spans="17:24" x14ac:dyDescent="0.3">
      <c r="Q665" t="s">
        <v>21</v>
      </c>
      <c r="R665" t="s">
        <v>116</v>
      </c>
      <c r="S665" t="s">
        <v>365</v>
      </c>
      <c r="T665">
        <v>10151</v>
      </c>
      <c r="U665">
        <v>6</v>
      </c>
      <c r="V665">
        <f t="shared" si="37"/>
        <v>2024</v>
      </c>
      <c r="W665">
        <f t="shared" si="38"/>
        <v>4</v>
      </c>
      <c r="X665" t="str">
        <f t="shared" si="39"/>
        <v>2024-4</v>
      </c>
    </row>
    <row r="666" spans="17:24" x14ac:dyDescent="0.3">
      <c r="Q666" t="s">
        <v>21</v>
      </c>
      <c r="R666" t="s">
        <v>9</v>
      </c>
      <c r="S666" t="s">
        <v>366</v>
      </c>
      <c r="T666">
        <v>50473</v>
      </c>
      <c r="U666">
        <v>7</v>
      </c>
      <c r="V666">
        <f t="shared" si="37"/>
        <v>2024</v>
      </c>
      <c r="W666">
        <f t="shared" si="38"/>
        <v>5</v>
      </c>
      <c r="X666" t="str">
        <f t="shared" si="39"/>
        <v>2024-5</v>
      </c>
    </row>
    <row r="667" spans="17:24" x14ac:dyDescent="0.3">
      <c r="Q667" t="s">
        <v>10</v>
      </c>
      <c r="R667" t="s">
        <v>166</v>
      </c>
      <c r="S667" t="s">
        <v>366</v>
      </c>
      <c r="T667">
        <v>53841</v>
      </c>
      <c r="U667">
        <v>9</v>
      </c>
      <c r="V667">
        <f t="shared" si="37"/>
        <v>2024</v>
      </c>
      <c r="W667">
        <f t="shared" si="38"/>
        <v>5</v>
      </c>
      <c r="X667" t="str">
        <f t="shared" si="39"/>
        <v>2024-5</v>
      </c>
    </row>
    <row r="668" spans="17:24" x14ac:dyDescent="0.3">
      <c r="Q668" t="s">
        <v>8</v>
      </c>
      <c r="R668" t="s">
        <v>17</v>
      </c>
      <c r="S668" t="s">
        <v>366</v>
      </c>
      <c r="T668">
        <v>75550</v>
      </c>
      <c r="U668">
        <v>0</v>
      </c>
      <c r="V668">
        <f t="shared" si="37"/>
        <v>2024</v>
      </c>
      <c r="W668">
        <f t="shared" si="38"/>
        <v>5</v>
      </c>
      <c r="X668" t="str">
        <f t="shared" si="39"/>
        <v>2024-5</v>
      </c>
    </row>
    <row r="669" spans="17:24" x14ac:dyDescent="0.3">
      <c r="Q669" t="s">
        <v>47</v>
      </c>
      <c r="R669" t="s">
        <v>77</v>
      </c>
      <c r="S669" t="s">
        <v>366</v>
      </c>
      <c r="T669">
        <v>42724</v>
      </c>
      <c r="U669">
        <v>5</v>
      </c>
      <c r="V669">
        <f t="shared" si="37"/>
        <v>2024</v>
      </c>
      <c r="W669">
        <f t="shared" si="38"/>
        <v>5</v>
      </c>
      <c r="X669" t="str">
        <f t="shared" si="39"/>
        <v>2024-5</v>
      </c>
    </row>
    <row r="670" spans="17:24" x14ac:dyDescent="0.3">
      <c r="Q670" t="s">
        <v>47</v>
      </c>
      <c r="R670" t="s">
        <v>51</v>
      </c>
      <c r="S670" t="s">
        <v>366</v>
      </c>
      <c r="T670">
        <v>14969</v>
      </c>
      <c r="U670">
        <v>4</v>
      </c>
      <c r="V670">
        <f t="shared" si="37"/>
        <v>2024</v>
      </c>
      <c r="W670">
        <f t="shared" si="38"/>
        <v>5</v>
      </c>
      <c r="X670" t="str">
        <f t="shared" si="39"/>
        <v>2024-5</v>
      </c>
    </row>
    <row r="671" spans="17:24" x14ac:dyDescent="0.3">
      <c r="Q671" t="s">
        <v>47</v>
      </c>
      <c r="R671" t="s">
        <v>81</v>
      </c>
      <c r="S671" t="s">
        <v>367</v>
      </c>
      <c r="T671">
        <v>82152</v>
      </c>
      <c r="U671">
        <v>6</v>
      </c>
      <c r="V671">
        <f t="shared" si="37"/>
        <v>2024</v>
      </c>
      <c r="W671">
        <f t="shared" si="38"/>
        <v>5</v>
      </c>
      <c r="X671" t="str">
        <f t="shared" si="39"/>
        <v>2024-5</v>
      </c>
    </row>
    <row r="672" spans="17:24" x14ac:dyDescent="0.3">
      <c r="Q672" t="s">
        <v>18</v>
      </c>
      <c r="R672" t="s">
        <v>144</v>
      </c>
      <c r="S672" t="s">
        <v>367</v>
      </c>
      <c r="T672">
        <v>58310</v>
      </c>
      <c r="U672">
        <v>3</v>
      </c>
      <c r="V672">
        <f t="shared" si="37"/>
        <v>2024</v>
      </c>
      <c r="W672">
        <f t="shared" si="38"/>
        <v>5</v>
      </c>
      <c r="X672" t="str">
        <f t="shared" si="39"/>
        <v>2024-5</v>
      </c>
    </row>
    <row r="673" spans="17:24" x14ac:dyDescent="0.3">
      <c r="Q673" t="s">
        <v>28</v>
      </c>
      <c r="R673" t="s">
        <v>131</v>
      </c>
      <c r="S673" t="s">
        <v>367</v>
      </c>
      <c r="T673">
        <v>33177</v>
      </c>
      <c r="U673">
        <v>4</v>
      </c>
      <c r="V673">
        <f t="shared" si="37"/>
        <v>2024</v>
      </c>
      <c r="W673">
        <f t="shared" si="38"/>
        <v>5</v>
      </c>
      <c r="X673" t="str">
        <f t="shared" si="39"/>
        <v>2024-5</v>
      </c>
    </row>
    <row r="674" spans="17:24" x14ac:dyDescent="0.3">
      <c r="Q674" t="s">
        <v>18</v>
      </c>
      <c r="R674" t="s">
        <v>94</v>
      </c>
      <c r="S674" t="s">
        <v>367</v>
      </c>
      <c r="T674">
        <v>54713</v>
      </c>
      <c r="U674">
        <v>2</v>
      </c>
      <c r="V674">
        <f t="shared" si="37"/>
        <v>2024</v>
      </c>
      <c r="W674">
        <f t="shared" si="38"/>
        <v>5</v>
      </c>
      <c r="X674" t="str">
        <f t="shared" si="39"/>
        <v>2024-5</v>
      </c>
    </row>
    <row r="675" spans="17:24" x14ac:dyDescent="0.3">
      <c r="Q675" t="s">
        <v>10</v>
      </c>
      <c r="R675" t="s">
        <v>77</v>
      </c>
      <c r="S675" t="s">
        <v>368</v>
      </c>
      <c r="T675">
        <v>46020</v>
      </c>
      <c r="U675">
        <v>8</v>
      </c>
      <c r="V675">
        <f t="shared" si="37"/>
        <v>2024</v>
      </c>
      <c r="W675">
        <f t="shared" si="38"/>
        <v>5</v>
      </c>
      <c r="X675" t="str">
        <f t="shared" si="39"/>
        <v>2024-5</v>
      </c>
    </row>
    <row r="676" spans="17:24" x14ac:dyDescent="0.3">
      <c r="Q676" t="s">
        <v>14</v>
      </c>
      <c r="R676" t="s">
        <v>49</v>
      </c>
      <c r="S676" t="s">
        <v>368</v>
      </c>
      <c r="T676">
        <v>49580</v>
      </c>
      <c r="U676">
        <v>5</v>
      </c>
      <c r="V676">
        <f t="shared" si="37"/>
        <v>2024</v>
      </c>
      <c r="W676">
        <f t="shared" si="38"/>
        <v>5</v>
      </c>
      <c r="X676" t="str">
        <f t="shared" si="39"/>
        <v>2024-5</v>
      </c>
    </row>
    <row r="677" spans="17:24" x14ac:dyDescent="0.3">
      <c r="Q677" t="s">
        <v>8</v>
      </c>
      <c r="R677" t="s">
        <v>318</v>
      </c>
      <c r="S677" t="s">
        <v>368</v>
      </c>
      <c r="T677">
        <v>93022</v>
      </c>
      <c r="U677">
        <v>2</v>
      </c>
      <c r="V677">
        <f t="shared" si="37"/>
        <v>2024</v>
      </c>
      <c r="W677">
        <f t="shared" si="38"/>
        <v>5</v>
      </c>
      <c r="X677" t="str">
        <f t="shared" si="39"/>
        <v>2024-5</v>
      </c>
    </row>
    <row r="678" spans="17:24" x14ac:dyDescent="0.3">
      <c r="Q678" t="s">
        <v>8</v>
      </c>
      <c r="R678" t="s">
        <v>178</v>
      </c>
      <c r="S678" t="s">
        <v>368</v>
      </c>
      <c r="T678">
        <v>76102</v>
      </c>
      <c r="U678">
        <v>8</v>
      </c>
      <c r="V678">
        <f t="shared" si="37"/>
        <v>2024</v>
      </c>
      <c r="W678">
        <f t="shared" si="38"/>
        <v>5</v>
      </c>
      <c r="X678" t="str">
        <f t="shared" si="39"/>
        <v>2024-5</v>
      </c>
    </row>
    <row r="679" spans="17:24" x14ac:dyDescent="0.3">
      <c r="Q679" t="s">
        <v>5</v>
      </c>
      <c r="R679" t="s">
        <v>58</v>
      </c>
      <c r="S679" t="s">
        <v>368</v>
      </c>
      <c r="T679">
        <v>57796</v>
      </c>
      <c r="U679">
        <v>6</v>
      </c>
      <c r="V679">
        <f t="shared" si="37"/>
        <v>2024</v>
      </c>
      <c r="W679">
        <f t="shared" si="38"/>
        <v>5</v>
      </c>
      <c r="X679" t="str">
        <f t="shared" si="39"/>
        <v>2024-5</v>
      </c>
    </row>
    <row r="680" spans="17:24" x14ac:dyDescent="0.3">
      <c r="Q680" t="s">
        <v>5</v>
      </c>
      <c r="R680" t="s">
        <v>42</v>
      </c>
      <c r="S680" t="s">
        <v>368</v>
      </c>
      <c r="T680">
        <v>19360</v>
      </c>
      <c r="U680">
        <v>2</v>
      </c>
      <c r="V680">
        <f t="shared" si="37"/>
        <v>2024</v>
      </c>
      <c r="W680">
        <f t="shared" si="38"/>
        <v>5</v>
      </c>
      <c r="X680" t="str">
        <f t="shared" si="39"/>
        <v>2024-5</v>
      </c>
    </row>
    <row r="681" spans="17:24" x14ac:dyDescent="0.3">
      <c r="Q681" t="s">
        <v>28</v>
      </c>
      <c r="R681" t="s">
        <v>54</v>
      </c>
      <c r="S681" t="s">
        <v>368</v>
      </c>
      <c r="T681">
        <v>78216</v>
      </c>
      <c r="U681">
        <v>5</v>
      </c>
      <c r="V681">
        <f t="shared" si="37"/>
        <v>2024</v>
      </c>
      <c r="W681">
        <f t="shared" si="38"/>
        <v>5</v>
      </c>
      <c r="X681" t="str">
        <f t="shared" si="39"/>
        <v>2024-5</v>
      </c>
    </row>
    <row r="682" spans="17:24" x14ac:dyDescent="0.3">
      <c r="Q682" t="s">
        <v>50</v>
      </c>
      <c r="R682" t="s">
        <v>85</v>
      </c>
      <c r="S682" t="s">
        <v>368</v>
      </c>
      <c r="T682">
        <v>81943</v>
      </c>
      <c r="U682">
        <v>5</v>
      </c>
      <c r="V682">
        <f t="shared" si="37"/>
        <v>2024</v>
      </c>
      <c r="W682">
        <f t="shared" si="38"/>
        <v>5</v>
      </c>
      <c r="X682" t="str">
        <f t="shared" si="39"/>
        <v>2024-5</v>
      </c>
    </row>
    <row r="683" spans="17:24" x14ac:dyDescent="0.3">
      <c r="Q683" t="s">
        <v>5</v>
      </c>
      <c r="R683" t="s">
        <v>117</v>
      </c>
      <c r="S683" t="s">
        <v>368</v>
      </c>
      <c r="T683">
        <v>93840</v>
      </c>
      <c r="U683">
        <v>8</v>
      </c>
      <c r="V683">
        <f t="shared" si="37"/>
        <v>2024</v>
      </c>
      <c r="W683">
        <f t="shared" si="38"/>
        <v>5</v>
      </c>
      <c r="X683" t="str">
        <f t="shared" si="39"/>
        <v>2024-5</v>
      </c>
    </row>
    <row r="684" spans="17:24" x14ac:dyDescent="0.3">
      <c r="Q684" t="s">
        <v>14</v>
      </c>
      <c r="R684" t="s">
        <v>54</v>
      </c>
      <c r="S684" t="s">
        <v>368</v>
      </c>
      <c r="T684">
        <v>10910</v>
      </c>
      <c r="U684">
        <v>4</v>
      </c>
      <c r="V684">
        <f t="shared" si="37"/>
        <v>2024</v>
      </c>
      <c r="W684">
        <f t="shared" si="38"/>
        <v>5</v>
      </c>
      <c r="X684" t="str">
        <f t="shared" si="39"/>
        <v>2024-5</v>
      </c>
    </row>
    <row r="685" spans="17:24" x14ac:dyDescent="0.3">
      <c r="Q685" t="s">
        <v>5</v>
      </c>
      <c r="R685" t="s">
        <v>124</v>
      </c>
      <c r="S685" t="s">
        <v>368</v>
      </c>
      <c r="T685">
        <v>36497</v>
      </c>
      <c r="U685">
        <v>6</v>
      </c>
      <c r="V685">
        <f t="shared" si="37"/>
        <v>2024</v>
      </c>
      <c r="W685">
        <f t="shared" si="38"/>
        <v>5</v>
      </c>
      <c r="X685" t="str">
        <f t="shared" si="39"/>
        <v>2024-5</v>
      </c>
    </row>
    <row r="686" spans="17:24" x14ac:dyDescent="0.3">
      <c r="Q686" t="s">
        <v>21</v>
      </c>
      <c r="R686" t="s">
        <v>163</v>
      </c>
      <c r="S686" t="s">
        <v>368</v>
      </c>
      <c r="T686">
        <v>52003</v>
      </c>
      <c r="U686">
        <v>7</v>
      </c>
      <c r="V686">
        <f t="shared" si="37"/>
        <v>2024</v>
      </c>
      <c r="W686">
        <f t="shared" si="38"/>
        <v>5</v>
      </c>
      <c r="X686" t="str">
        <f t="shared" si="39"/>
        <v>2024-5</v>
      </c>
    </row>
    <row r="687" spans="17:24" x14ac:dyDescent="0.3">
      <c r="Q687" t="s">
        <v>28</v>
      </c>
      <c r="R687" t="s">
        <v>160</v>
      </c>
      <c r="S687" t="s">
        <v>368</v>
      </c>
      <c r="T687">
        <v>93726</v>
      </c>
      <c r="U687">
        <v>9</v>
      </c>
      <c r="V687">
        <f t="shared" si="37"/>
        <v>2024</v>
      </c>
      <c r="W687">
        <f t="shared" si="38"/>
        <v>5</v>
      </c>
      <c r="X687" t="str">
        <f t="shared" si="39"/>
        <v>2024-5</v>
      </c>
    </row>
    <row r="688" spans="17:24" x14ac:dyDescent="0.3">
      <c r="Q688" t="s">
        <v>21</v>
      </c>
      <c r="R688" t="s">
        <v>90</v>
      </c>
      <c r="S688" t="s">
        <v>369</v>
      </c>
      <c r="T688">
        <v>57452</v>
      </c>
      <c r="U688">
        <v>6</v>
      </c>
      <c r="V688">
        <f t="shared" si="37"/>
        <v>2024</v>
      </c>
      <c r="W688">
        <f t="shared" si="38"/>
        <v>5</v>
      </c>
      <c r="X688" t="str">
        <f t="shared" si="39"/>
        <v>2024-5</v>
      </c>
    </row>
    <row r="689" spans="17:24" x14ac:dyDescent="0.3">
      <c r="Q689" t="s">
        <v>12</v>
      </c>
      <c r="R689" t="s">
        <v>190</v>
      </c>
      <c r="S689" t="s">
        <v>369</v>
      </c>
      <c r="T689">
        <v>78404</v>
      </c>
      <c r="U689">
        <v>7</v>
      </c>
      <c r="V689">
        <f t="shared" si="37"/>
        <v>2024</v>
      </c>
      <c r="W689">
        <f t="shared" si="38"/>
        <v>5</v>
      </c>
      <c r="X689" t="str">
        <f t="shared" si="39"/>
        <v>2024-5</v>
      </c>
    </row>
    <row r="690" spans="17:24" x14ac:dyDescent="0.3">
      <c r="Q690" t="s">
        <v>12</v>
      </c>
      <c r="R690" t="s">
        <v>270</v>
      </c>
      <c r="S690" t="s">
        <v>369</v>
      </c>
      <c r="T690">
        <v>31046</v>
      </c>
      <c r="U690">
        <v>7</v>
      </c>
      <c r="V690">
        <f t="shared" si="37"/>
        <v>2024</v>
      </c>
      <c r="W690">
        <f t="shared" si="38"/>
        <v>5</v>
      </c>
      <c r="X690" t="str">
        <f t="shared" si="39"/>
        <v>2024-5</v>
      </c>
    </row>
    <row r="691" spans="17:24" x14ac:dyDescent="0.3">
      <c r="Q691" t="s">
        <v>40</v>
      </c>
      <c r="R691" t="s">
        <v>81</v>
      </c>
      <c r="S691" t="s">
        <v>369</v>
      </c>
      <c r="T691">
        <v>81933</v>
      </c>
      <c r="U691">
        <v>10</v>
      </c>
      <c r="V691">
        <f t="shared" si="37"/>
        <v>2024</v>
      </c>
      <c r="W691">
        <f t="shared" si="38"/>
        <v>5</v>
      </c>
      <c r="X691" t="str">
        <f t="shared" si="39"/>
        <v>2024-5</v>
      </c>
    </row>
    <row r="692" spans="17:24" x14ac:dyDescent="0.3">
      <c r="Q692" t="s">
        <v>18</v>
      </c>
      <c r="R692" t="s">
        <v>92</v>
      </c>
      <c r="S692" t="s">
        <v>370</v>
      </c>
      <c r="T692">
        <v>98003</v>
      </c>
      <c r="U692">
        <v>7</v>
      </c>
      <c r="V692">
        <f t="shared" si="37"/>
        <v>2024</v>
      </c>
      <c r="W692">
        <f t="shared" si="38"/>
        <v>5</v>
      </c>
      <c r="X692" t="str">
        <f t="shared" si="39"/>
        <v>2024-5</v>
      </c>
    </row>
    <row r="693" spans="17:24" x14ac:dyDescent="0.3">
      <c r="Q693" t="s">
        <v>8</v>
      </c>
      <c r="R693" t="s">
        <v>90</v>
      </c>
      <c r="S693" t="s">
        <v>370</v>
      </c>
      <c r="T693">
        <v>38453</v>
      </c>
      <c r="U693">
        <v>5</v>
      </c>
      <c r="V693">
        <f t="shared" si="37"/>
        <v>2024</v>
      </c>
      <c r="W693">
        <f t="shared" si="38"/>
        <v>5</v>
      </c>
      <c r="X693" t="str">
        <f t="shared" si="39"/>
        <v>2024-5</v>
      </c>
    </row>
    <row r="694" spans="17:24" x14ac:dyDescent="0.3">
      <c r="Q694" t="s">
        <v>10</v>
      </c>
      <c r="R694" t="s">
        <v>71</v>
      </c>
      <c r="S694" t="s">
        <v>371</v>
      </c>
      <c r="T694">
        <v>69475</v>
      </c>
      <c r="U694">
        <v>2</v>
      </c>
      <c r="V694">
        <f t="shared" si="37"/>
        <v>2024</v>
      </c>
      <c r="W694">
        <f t="shared" si="38"/>
        <v>5</v>
      </c>
      <c r="X694" t="str">
        <f t="shared" si="39"/>
        <v>2024-5</v>
      </c>
    </row>
    <row r="695" spans="17:24" x14ac:dyDescent="0.3">
      <c r="Q695" t="s">
        <v>18</v>
      </c>
      <c r="R695" t="s">
        <v>29</v>
      </c>
      <c r="S695" t="s">
        <v>371</v>
      </c>
      <c r="T695">
        <v>72603</v>
      </c>
      <c r="U695">
        <v>6</v>
      </c>
      <c r="V695">
        <f t="shared" si="37"/>
        <v>2024</v>
      </c>
      <c r="W695">
        <f t="shared" si="38"/>
        <v>5</v>
      </c>
      <c r="X695" t="str">
        <f t="shared" si="39"/>
        <v>2024-5</v>
      </c>
    </row>
    <row r="696" spans="17:24" x14ac:dyDescent="0.3">
      <c r="Q696" t="s">
        <v>47</v>
      </c>
      <c r="R696" t="s">
        <v>55</v>
      </c>
      <c r="S696" t="s">
        <v>371</v>
      </c>
      <c r="T696">
        <v>64687</v>
      </c>
      <c r="U696">
        <v>6</v>
      </c>
      <c r="V696">
        <f t="shared" si="37"/>
        <v>2024</v>
      </c>
      <c r="W696">
        <f t="shared" si="38"/>
        <v>5</v>
      </c>
      <c r="X696" t="str">
        <f t="shared" si="39"/>
        <v>2024-5</v>
      </c>
    </row>
    <row r="697" spans="17:24" x14ac:dyDescent="0.3">
      <c r="Q697" t="s">
        <v>8</v>
      </c>
      <c r="R697" t="s">
        <v>60</v>
      </c>
      <c r="S697" t="s">
        <v>372</v>
      </c>
      <c r="T697">
        <v>78443</v>
      </c>
      <c r="U697">
        <v>1</v>
      </c>
      <c r="V697">
        <f t="shared" si="37"/>
        <v>2024</v>
      </c>
      <c r="W697">
        <f t="shared" si="38"/>
        <v>5</v>
      </c>
      <c r="X697" t="str">
        <f t="shared" si="39"/>
        <v>2024-5</v>
      </c>
    </row>
    <row r="698" spans="17:24" x14ac:dyDescent="0.3">
      <c r="Q698" t="s">
        <v>45</v>
      </c>
      <c r="R698" t="s">
        <v>19</v>
      </c>
      <c r="S698" t="s">
        <v>373</v>
      </c>
      <c r="T698">
        <v>50784</v>
      </c>
      <c r="U698">
        <v>9</v>
      </c>
      <c r="V698">
        <f t="shared" si="37"/>
        <v>2024</v>
      </c>
      <c r="W698">
        <f t="shared" si="38"/>
        <v>5</v>
      </c>
      <c r="X698" t="str">
        <f t="shared" si="39"/>
        <v>2024-5</v>
      </c>
    </row>
    <row r="699" spans="17:24" x14ac:dyDescent="0.3">
      <c r="Q699" t="s">
        <v>14</v>
      </c>
      <c r="R699" t="s">
        <v>225</v>
      </c>
      <c r="S699" t="s">
        <v>373</v>
      </c>
      <c r="T699">
        <v>68467</v>
      </c>
      <c r="U699">
        <v>6</v>
      </c>
      <c r="V699">
        <f t="shared" si="37"/>
        <v>2024</v>
      </c>
      <c r="W699">
        <f t="shared" si="38"/>
        <v>5</v>
      </c>
      <c r="X699" t="str">
        <f t="shared" si="39"/>
        <v>2024-5</v>
      </c>
    </row>
    <row r="700" spans="17:24" x14ac:dyDescent="0.3">
      <c r="Q700" t="s">
        <v>10</v>
      </c>
      <c r="R700" t="s">
        <v>284</v>
      </c>
      <c r="S700" t="s">
        <v>373</v>
      </c>
      <c r="T700">
        <v>24920</v>
      </c>
      <c r="U700">
        <v>7</v>
      </c>
      <c r="V700">
        <f t="shared" si="37"/>
        <v>2024</v>
      </c>
      <c r="W700">
        <f t="shared" si="38"/>
        <v>5</v>
      </c>
      <c r="X700" t="str">
        <f t="shared" si="39"/>
        <v>2024-5</v>
      </c>
    </row>
    <row r="701" spans="17:24" x14ac:dyDescent="0.3">
      <c r="Q701" t="s">
        <v>14</v>
      </c>
      <c r="R701" t="s">
        <v>11</v>
      </c>
      <c r="S701" t="s">
        <v>373</v>
      </c>
      <c r="T701">
        <v>93950</v>
      </c>
      <c r="U701">
        <v>6</v>
      </c>
      <c r="V701">
        <f t="shared" si="37"/>
        <v>2024</v>
      </c>
      <c r="W701">
        <f t="shared" si="38"/>
        <v>5</v>
      </c>
      <c r="X701" t="str">
        <f t="shared" si="39"/>
        <v>2024-5</v>
      </c>
    </row>
    <row r="702" spans="17:24" x14ac:dyDescent="0.3">
      <c r="Q702" t="s">
        <v>18</v>
      </c>
      <c r="R702" t="s">
        <v>192</v>
      </c>
      <c r="S702" t="s">
        <v>373</v>
      </c>
      <c r="T702">
        <v>18899</v>
      </c>
      <c r="U702">
        <v>8</v>
      </c>
      <c r="V702">
        <f t="shared" si="37"/>
        <v>2024</v>
      </c>
      <c r="W702">
        <f t="shared" si="38"/>
        <v>5</v>
      </c>
      <c r="X702" t="str">
        <f t="shared" si="39"/>
        <v>2024-5</v>
      </c>
    </row>
    <row r="703" spans="17:24" x14ac:dyDescent="0.3">
      <c r="Q703" t="s">
        <v>21</v>
      </c>
      <c r="R703" t="s">
        <v>53</v>
      </c>
      <c r="S703" t="s">
        <v>373</v>
      </c>
      <c r="T703">
        <v>47643</v>
      </c>
      <c r="U703">
        <v>6</v>
      </c>
      <c r="V703">
        <f t="shared" si="37"/>
        <v>2024</v>
      </c>
      <c r="W703">
        <f t="shared" si="38"/>
        <v>5</v>
      </c>
      <c r="X703" t="str">
        <f t="shared" si="39"/>
        <v>2024-5</v>
      </c>
    </row>
    <row r="704" spans="17:24" x14ac:dyDescent="0.3">
      <c r="Q704" t="s">
        <v>12</v>
      </c>
      <c r="R704" t="s">
        <v>178</v>
      </c>
      <c r="S704" t="s">
        <v>373</v>
      </c>
      <c r="T704">
        <v>31002</v>
      </c>
      <c r="U704">
        <v>8</v>
      </c>
      <c r="V704">
        <f t="shared" si="37"/>
        <v>2024</v>
      </c>
      <c r="W704">
        <f t="shared" si="38"/>
        <v>5</v>
      </c>
      <c r="X704" t="str">
        <f t="shared" si="39"/>
        <v>2024-5</v>
      </c>
    </row>
    <row r="705" spans="17:24" x14ac:dyDescent="0.3">
      <c r="Q705" t="s">
        <v>21</v>
      </c>
      <c r="R705" t="s">
        <v>117</v>
      </c>
      <c r="S705" t="s">
        <v>373</v>
      </c>
      <c r="T705">
        <v>76248</v>
      </c>
      <c r="U705">
        <v>2</v>
      </c>
      <c r="V705">
        <f t="shared" si="37"/>
        <v>2024</v>
      </c>
      <c r="W705">
        <f t="shared" si="38"/>
        <v>5</v>
      </c>
      <c r="X705" t="str">
        <f t="shared" si="39"/>
        <v>2024-5</v>
      </c>
    </row>
    <row r="706" spans="17:24" x14ac:dyDescent="0.3">
      <c r="Q706" t="s">
        <v>28</v>
      </c>
      <c r="R706" t="s">
        <v>67</v>
      </c>
      <c r="S706" t="s">
        <v>373</v>
      </c>
      <c r="T706">
        <v>74643</v>
      </c>
      <c r="U706">
        <v>5</v>
      </c>
      <c r="V706">
        <f t="shared" si="37"/>
        <v>2024</v>
      </c>
      <c r="W706">
        <f t="shared" si="38"/>
        <v>5</v>
      </c>
      <c r="X706" t="str">
        <f t="shared" si="39"/>
        <v>2024-5</v>
      </c>
    </row>
    <row r="707" spans="17:24" x14ac:dyDescent="0.3">
      <c r="Q707" t="s">
        <v>8</v>
      </c>
      <c r="R707" t="s">
        <v>6</v>
      </c>
      <c r="S707" t="s">
        <v>373</v>
      </c>
      <c r="T707">
        <v>77585</v>
      </c>
      <c r="U707">
        <v>9</v>
      </c>
      <c r="V707">
        <f t="shared" ref="V707:V770" si="40">YEAR(S707)</f>
        <v>2024</v>
      </c>
      <c r="W707">
        <f t="shared" ref="W707:W770" si="41">MONTH(S707)</f>
        <v>5</v>
      </c>
      <c r="X707" t="str">
        <f t="shared" ref="X707:X770" si="42">V707&amp;"-"&amp;W707</f>
        <v>2024-5</v>
      </c>
    </row>
    <row r="708" spans="17:24" x14ac:dyDescent="0.3">
      <c r="Q708" t="s">
        <v>50</v>
      </c>
      <c r="R708" t="s">
        <v>276</v>
      </c>
      <c r="S708" t="s">
        <v>373</v>
      </c>
      <c r="T708">
        <v>59722</v>
      </c>
      <c r="U708">
        <v>6</v>
      </c>
      <c r="V708">
        <f t="shared" si="40"/>
        <v>2024</v>
      </c>
      <c r="W708">
        <f t="shared" si="41"/>
        <v>5</v>
      </c>
      <c r="X708" t="str">
        <f t="shared" si="42"/>
        <v>2024-5</v>
      </c>
    </row>
    <row r="709" spans="17:24" x14ac:dyDescent="0.3">
      <c r="Q709" t="s">
        <v>14</v>
      </c>
      <c r="R709" t="s">
        <v>115</v>
      </c>
      <c r="S709" t="s">
        <v>373</v>
      </c>
      <c r="T709">
        <v>87931</v>
      </c>
      <c r="U709">
        <v>2</v>
      </c>
      <c r="V709">
        <f t="shared" si="40"/>
        <v>2024</v>
      </c>
      <c r="W709">
        <f t="shared" si="41"/>
        <v>5</v>
      </c>
      <c r="X709" t="str">
        <f t="shared" si="42"/>
        <v>2024-5</v>
      </c>
    </row>
    <row r="710" spans="17:24" x14ac:dyDescent="0.3">
      <c r="Q710" t="s">
        <v>5</v>
      </c>
      <c r="R710" t="s">
        <v>80</v>
      </c>
      <c r="S710" t="s">
        <v>374</v>
      </c>
      <c r="T710">
        <v>52108</v>
      </c>
      <c r="U710">
        <v>5</v>
      </c>
      <c r="V710">
        <f t="shared" si="40"/>
        <v>2024</v>
      </c>
      <c r="W710">
        <f t="shared" si="41"/>
        <v>5</v>
      </c>
      <c r="X710" t="str">
        <f t="shared" si="42"/>
        <v>2024-5</v>
      </c>
    </row>
    <row r="711" spans="17:24" x14ac:dyDescent="0.3">
      <c r="Q711" t="s">
        <v>5</v>
      </c>
      <c r="R711" t="s">
        <v>318</v>
      </c>
      <c r="S711" t="s">
        <v>374</v>
      </c>
      <c r="T711">
        <v>88135</v>
      </c>
      <c r="U711">
        <v>7</v>
      </c>
      <c r="V711">
        <f t="shared" si="40"/>
        <v>2024</v>
      </c>
      <c r="W711">
        <f t="shared" si="41"/>
        <v>5</v>
      </c>
      <c r="X711" t="str">
        <f t="shared" si="42"/>
        <v>2024-5</v>
      </c>
    </row>
    <row r="712" spans="17:24" x14ac:dyDescent="0.3">
      <c r="Q712" t="s">
        <v>10</v>
      </c>
      <c r="R712" t="s">
        <v>112</v>
      </c>
      <c r="S712" t="s">
        <v>374</v>
      </c>
      <c r="T712">
        <v>12759</v>
      </c>
      <c r="U712">
        <v>9</v>
      </c>
      <c r="V712">
        <f t="shared" si="40"/>
        <v>2024</v>
      </c>
      <c r="W712">
        <f t="shared" si="41"/>
        <v>5</v>
      </c>
      <c r="X712" t="str">
        <f t="shared" si="42"/>
        <v>2024-5</v>
      </c>
    </row>
    <row r="713" spans="17:24" x14ac:dyDescent="0.3">
      <c r="Q713" t="s">
        <v>47</v>
      </c>
      <c r="R713" t="s">
        <v>116</v>
      </c>
      <c r="S713" t="s">
        <v>375</v>
      </c>
      <c r="T713">
        <v>18338</v>
      </c>
      <c r="U713">
        <v>7</v>
      </c>
      <c r="V713">
        <f t="shared" si="40"/>
        <v>2024</v>
      </c>
      <c r="W713">
        <f t="shared" si="41"/>
        <v>5</v>
      </c>
      <c r="X713" t="str">
        <f t="shared" si="42"/>
        <v>2024-5</v>
      </c>
    </row>
    <row r="714" spans="17:24" x14ac:dyDescent="0.3">
      <c r="Q714" t="s">
        <v>5</v>
      </c>
      <c r="R714" t="s">
        <v>87</v>
      </c>
      <c r="S714" t="s">
        <v>375</v>
      </c>
      <c r="T714">
        <v>67949</v>
      </c>
      <c r="U714">
        <v>9</v>
      </c>
      <c r="V714">
        <f t="shared" si="40"/>
        <v>2024</v>
      </c>
      <c r="W714">
        <f t="shared" si="41"/>
        <v>5</v>
      </c>
      <c r="X714" t="str">
        <f t="shared" si="42"/>
        <v>2024-5</v>
      </c>
    </row>
    <row r="715" spans="17:24" x14ac:dyDescent="0.3">
      <c r="Q715" t="s">
        <v>21</v>
      </c>
      <c r="R715" t="s">
        <v>66</v>
      </c>
      <c r="S715" t="s">
        <v>376</v>
      </c>
      <c r="T715">
        <v>51205</v>
      </c>
      <c r="U715">
        <v>3</v>
      </c>
      <c r="V715">
        <f t="shared" si="40"/>
        <v>2024</v>
      </c>
      <c r="W715">
        <f t="shared" si="41"/>
        <v>5</v>
      </c>
      <c r="X715" t="str">
        <f t="shared" si="42"/>
        <v>2024-5</v>
      </c>
    </row>
    <row r="716" spans="17:24" x14ac:dyDescent="0.3">
      <c r="Q716" t="s">
        <v>10</v>
      </c>
      <c r="R716" t="s">
        <v>41</v>
      </c>
      <c r="S716" t="s">
        <v>376</v>
      </c>
      <c r="T716">
        <v>89012</v>
      </c>
      <c r="U716">
        <v>10</v>
      </c>
      <c r="V716">
        <f t="shared" si="40"/>
        <v>2024</v>
      </c>
      <c r="W716">
        <f t="shared" si="41"/>
        <v>5</v>
      </c>
      <c r="X716" t="str">
        <f t="shared" si="42"/>
        <v>2024-5</v>
      </c>
    </row>
    <row r="717" spans="17:24" x14ac:dyDescent="0.3">
      <c r="Q717" t="s">
        <v>21</v>
      </c>
      <c r="R717" t="s">
        <v>251</v>
      </c>
      <c r="S717" t="s">
        <v>377</v>
      </c>
      <c r="T717">
        <v>24629</v>
      </c>
      <c r="U717">
        <v>8</v>
      </c>
      <c r="V717">
        <f t="shared" si="40"/>
        <v>2024</v>
      </c>
      <c r="W717">
        <f t="shared" si="41"/>
        <v>5</v>
      </c>
      <c r="X717" t="str">
        <f t="shared" si="42"/>
        <v>2024-5</v>
      </c>
    </row>
    <row r="718" spans="17:24" x14ac:dyDescent="0.3">
      <c r="Q718" t="s">
        <v>50</v>
      </c>
      <c r="R718" t="s">
        <v>150</v>
      </c>
      <c r="S718" t="s">
        <v>377</v>
      </c>
      <c r="T718">
        <v>10969</v>
      </c>
      <c r="U718">
        <v>7</v>
      </c>
      <c r="V718">
        <f t="shared" si="40"/>
        <v>2024</v>
      </c>
      <c r="W718">
        <f t="shared" si="41"/>
        <v>5</v>
      </c>
      <c r="X718" t="str">
        <f t="shared" si="42"/>
        <v>2024-5</v>
      </c>
    </row>
    <row r="719" spans="17:24" x14ac:dyDescent="0.3">
      <c r="Q719" t="s">
        <v>45</v>
      </c>
      <c r="R719" t="s">
        <v>11</v>
      </c>
      <c r="S719" t="s">
        <v>377</v>
      </c>
      <c r="T719">
        <v>85244</v>
      </c>
      <c r="U719">
        <v>6</v>
      </c>
      <c r="V719">
        <f t="shared" si="40"/>
        <v>2024</v>
      </c>
      <c r="W719">
        <f t="shared" si="41"/>
        <v>5</v>
      </c>
      <c r="X719" t="str">
        <f t="shared" si="42"/>
        <v>2024-5</v>
      </c>
    </row>
    <row r="720" spans="17:24" x14ac:dyDescent="0.3">
      <c r="Q720" t="s">
        <v>21</v>
      </c>
      <c r="R720" t="s">
        <v>83</v>
      </c>
      <c r="S720" t="s">
        <v>378</v>
      </c>
      <c r="T720">
        <v>17454</v>
      </c>
      <c r="U720">
        <v>6</v>
      </c>
      <c r="V720">
        <f t="shared" si="40"/>
        <v>2024</v>
      </c>
      <c r="W720">
        <f t="shared" si="41"/>
        <v>5</v>
      </c>
      <c r="X720" t="str">
        <f t="shared" si="42"/>
        <v>2024-5</v>
      </c>
    </row>
    <row r="721" spans="17:24" x14ac:dyDescent="0.3">
      <c r="Q721" t="s">
        <v>40</v>
      </c>
      <c r="R721" t="s">
        <v>30</v>
      </c>
      <c r="S721" t="s">
        <v>378</v>
      </c>
      <c r="T721">
        <v>34862</v>
      </c>
      <c r="U721">
        <v>5</v>
      </c>
      <c r="V721">
        <f t="shared" si="40"/>
        <v>2024</v>
      </c>
      <c r="W721">
        <f t="shared" si="41"/>
        <v>5</v>
      </c>
      <c r="X721" t="str">
        <f t="shared" si="42"/>
        <v>2024-5</v>
      </c>
    </row>
    <row r="722" spans="17:24" x14ac:dyDescent="0.3">
      <c r="Q722" t="s">
        <v>45</v>
      </c>
      <c r="R722" t="s">
        <v>52</v>
      </c>
      <c r="S722" t="s">
        <v>378</v>
      </c>
      <c r="T722">
        <v>33294</v>
      </c>
      <c r="U722">
        <v>5</v>
      </c>
      <c r="V722">
        <f t="shared" si="40"/>
        <v>2024</v>
      </c>
      <c r="W722">
        <f t="shared" si="41"/>
        <v>5</v>
      </c>
      <c r="X722" t="str">
        <f t="shared" si="42"/>
        <v>2024-5</v>
      </c>
    </row>
    <row r="723" spans="17:24" x14ac:dyDescent="0.3">
      <c r="Q723" t="s">
        <v>5</v>
      </c>
      <c r="R723" t="s">
        <v>94</v>
      </c>
      <c r="S723" t="s">
        <v>378</v>
      </c>
      <c r="T723">
        <v>74239</v>
      </c>
      <c r="U723">
        <v>5</v>
      </c>
      <c r="V723">
        <f t="shared" si="40"/>
        <v>2024</v>
      </c>
      <c r="W723">
        <f t="shared" si="41"/>
        <v>5</v>
      </c>
      <c r="X723" t="str">
        <f t="shared" si="42"/>
        <v>2024-5</v>
      </c>
    </row>
    <row r="724" spans="17:24" x14ac:dyDescent="0.3">
      <c r="Q724" t="s">
        <v>21</v>
      </c>
      <c r="R724" t="s">
        <v>289</v>
      </c>
      <c r="S724" t="s">
        <v>378</v>
      </c>
      <c r="T724">
        <v>97614</v>
      </c>
      <c r="U724">
        <v>3</v>
      </c>
      <c r="V724">
        <f t="shared" si="40"/>
        <v>2024</v>
      </c>
      <c r="W724">
        <f t="shared" si="41"/>
        <v>5</v>
      </c>
      <c r="X724" t="str">
        <f t="shared" si="42"/>
        <v>2024-5</v>
      </c>
    </row>
    <row r="725" spans="17:24" x14ac:dyDescent="0.3">
      <c r="Q725" t="s">
        <v>47</v>
      </c>
      <c r="R725" t="s">
        <v>74</v>
      </c>
      <c r="S725" t="s">
        <v>378</v>
      </c>
      <c r="T725">
        <v>42182</v>
      </c>
      <c r="U725">
        <v>6</v>
      </c>
      <c r="V725">
        <f t="shared" si="40"/>
        <v>2024</v>
      </c>
      <c r="W725">
        <f t="shared" si="41"/>
        <v>5</v>
      </c>
      <c r="X725" t="str">
        <f t="shared" si="42"/>
        <v>2024-5</v>
      </c>
    </row>
    <row r="726" spans="17:24" x14ac:dyDescent="0.3">
      <c r="Q726" t="s">
        <v>45</v>
      </c>
      <c r="R726" t="s">
        <v>24</v>
      </c>
      <c r="S726" t="s">
        <v>378</v>
      </c>
      <c r="T726">
        <v>16412</v>
      </c>
      <c r="U726">
        <v>5</v>
      </c>
      <c r="V726">
        <f t="shared" si="40"/>
        <v>2024</v>
      </c>
      <c r="W726">
        <f t="shared" si="41"/>
        <v>5</v>
      </c>
      <c r="X726" t="str">
        <f t="shared" si="42"/>
        <v>2024-5</v>
      </c>
    </row>
    <row r="727" spans="17:24" x14ac:dyDescent="0.3">
      <c r="Q727" t="s">
        <v>10</v>
      </c>
      <c r="R727" t="s">
        <v>180</v>
      </c>
      <c r="S727" t="s">
        <v>378</v>
      </c>
      <c r="T727">
        <v>20089</v>
      </c>
      <c r="U727">
        <v>8</v>
      </c>
      <c r="V727">
        <f t="shared" si="40"/>
        <v>2024</v>
      </c>
      <c r="W727">
        <f t="shared" si="41"/>
        <v>5</v>
      </c>
      <c r="X727" t="str">
        <f t="shared" si="42"/>
        <v>2024-5</v>
      </c>
    </row>
    <row r="728" spans="17:24" x14ac:dyDescent="0.3">
      <c r="Q728" t="s">
        <v>10</v>
      </c>
      <c r="R728" t="s">
        <v>52</v>
      </c>
      <c r="S728" t="s">
        <v>378</v>
      </c>
      <c r="T728">
        <v>73232</v>
      </c>
      <c r="U728">
        <v>8</v>
      </c>
      <c r="V728">
        <f t="shared" si="40"/>
        <v>2024</v>
      </c>
      <c r="W728">
        <f t="shared" si="41"/>
        <v>5</v>
      </c>
      <c r="X728" t="str">
        <f t="shared" si="42"/>
        <v>2024-5</v>
      </c>
    </row>
    <row r="729" spans="17:24" x14ac:dyDescent="0.3">
      <c r="Q729" t="s">
        <v>18</v>
      </c>
      <c r="R729" t="s">
        <v>27</v>
      </c>
      <c r="S729" t="s">
        <v>379</v>
      </c>
      <c r="T729">
        <v>40538</v>
      </c>
      <c r="U729">
        <v>7</v>
      </c>
      <c r="V729">
        <f t="shared" si="40"/>
        <v>2024</v>
      </c>
      <c r="W729">
        <f t="shared" si="41"/>
        <v>5</v>
      </c>
      <c r="X729" t="str">
        <f t="shared" si="42"/>
        <v>2024-5</v>
      </c>
    </row>
    <row r="730" spans="17:24" x14ac:dyDescent="0.3">
      <c r="Q730" t="s">
        <v>47</v>
      </c>
      <c r="R730" t="s">
        <v>214</v>
      </c>
      <c r="S730" t="s">
        <v>379</v>
      </c>
      <c r="T730">
        <v>82464</v>
      </c>
      <c r="U730">
        <v>7</v>
      </c>
      <c r="V730">
        <f t="shared" si="40"/>
        <v>2024</v>
      </c>
      <c r="W730">
        <f t="shared" si="41"/>
        <v>5</v>
      </c>
      <c r="X730" t="str">
        <f t="shared" si="42"/>
        <v>2024-5</v>
      </c>
    </row>
    <row r="731" spans="17:24" x14ac:dyDescent="0.3">
      <c r="Q731" t="s">
        <v>18</v>
      </c>
      <c r="R731" t="s">
        <v>69</v>
      </c>
      <c r="S731" t="s">
        <v>379</v>
      </c>
      <c r="T731">
        <v>48266</v>
      </c>
      <c r="U731">
        <v>7</v>
      </c>
      <c r="V731">
        <f t="shared" si="40"/>
        <v>2024</v>
      </c>
      <c r="W731">
        <f t="shared" si="41"/>
        <v>5</v>
      </c>
      <c r="X731" t="str">
        <f t="shared" si="42"/>
        <v>2024-5</v>
      </c>
    </row>
    <row r="732" spans="17:24" x14ac:dyDescent="0.3">
      <c r="Q732" t="s">
        <v>18</v>
      </c>
      <c r="R732" t="s">
        <v>380</v>
      </c>
      <c r="S732" t="s">
        <v>379</v>
      </c>
      <c r="T732">
        <v>94951</v>
      </c>
      <c r="U732">
        <v>6</v>
      </c>
      <c r="V732">
        <f t="shared" si="40"/>
        <v>2024</v>
      </c>
      <c r="W732">
        <f t="shared" si="41"/>
        <v>5</v>
      </c>
      <c r="X732" t="str">
        <f t="shared" si="42"/>
        <v>2024-5</v>
      </c>
    </row>
    <row r="733" spans="17:24" x14ac:dyDescent="0.3">
      <c r="Q733" t="s">
        <v>45</v>
      </c>
      <c r="R733" t="s">
        <v>324</v>
      </c>
      <c r="S733" t="s">
        <v>379</v>
      </c>
      <c r="T733">
        <v>71760</v>
      </c>
      <c r="U733">
        <v>10</v>
      </c>
      <c r="V733">
        <f t="shared" si="40"/>
        <v>2024</v>
      </c>
      <c r="W733">
        <f t="shared" si="41"/>
        <v>5</v>
      </c>
      <c r="X733" t="str">
        <f t="shared" si="42"/>
        <v>2024-5</v>
      </c>
    </row>
    <row r="734" spans="17:24" x14ac:dyDescent="0.3">
      <c r="Q734" t="s">
        <v>50</v>
      </c>
      <c r="R734" t="s">
        <v>41</v>
      </c>
      <c r="S734" t="s">
        <v>381</v>
      </c>
      <c r="T734">
        <v>72601</v>
      </c>
      <c r="U734">
        <v>9</v>
      </c>
      <c r="V734">
        <f t="shared" si="40"/>
        <v>2024</v>
      </c>
      <c r="W734">
        <f t="shared" si="41"/>
        <v>5</v>
      </c>
      <c r="X734" t="str">
        <f t="shared" si="42"/>
        <v>2024-5</v>
      </c>
    </row>
    <row r="735" spans="17:24" x14ac:dyDescent="0.3">
      <c r="Q735" t="s">
        <v>21</v>
      </c>
      <c r="R735" t="s">
        <v>63</v>
      </c>
      <c r="S735" t="s">
        <v>382</v>
      </c>
      <c r="T735">
        <v>97422</v>
      </c>
      <c r="U735">
        <v>8</v>
      </c>
      <c r="V735">
        <f t="shared" si="40"/>
        <v>2024</v>
      </c>
      <c r="W735">
        <f t="shared" si="41"/>
        <v>5</v>
      </c>
      <c r="X735" t="str">
        <f t="shared" si="42"/>
        <v>2024-5</v>
      </c>
    </row>
    <row r="736" spans="17:24" x14ac:dyDescent="0.3">
      <c r="Q736" t="s">
        <v>47</v>
      </c>
      <c r="R736" t="s">
        <v>258</v>
      </c>
      <c r="S736" t="s">
        <v>382</v>
      </c>
      <c r="T736">
        <v>12239</v>
      </c>
      <c r="U736">
        <v>1</v>
      </c>
      <c r="V736">
        <f t="shared" si="40"/>
        <v>2024</v>
      </c>
      <c r="W736">
        <f t="shared" si="41"/>
        <v>5</v>
      </c>
      <c r="X736" t="str">
        <f t="shared" si="42"/>
        <v>2024-5</v>
      </c>
    </row>
    <row r="737" spans="17:24" x14ac:dyDescent="0.3">
      <c r="Q737" t="s">
        <v>14</v>
      </c>
      <c r="R737" t="s">
        <v>166</v>
      </c>
      <c r="S737" t="s">
        <v>382</v>
      </c>
      <c r="T737">
        <v>23285</v>
      </c>
      <c r="U737">
        <v>5</v>
      </c>
      <c r="V737">
        <f t="shared" si="40"/>
        <v>2024</v>
      </c>
      <c r="W737">
        <f t="shared" si="41"/>
        <v>5</v>
      </c>
      <c r="X737" t="str">
        <f t="shared" si="42"/>
        <v>2024-5</v>
      </c>
    </row>
    <row r="738" spans="17:24" x14ac:dyDescent="0.3">
      <c r="Q738" t="s">
        <v>8</v>
      </c>
      <c r="R738" t="s">
        <v>109</v>
      </c>
      <c r="S738" t="s">
        <v>382</v>
      </c>
      <c r="T738">
        <v>10885</v>
      </c>
      <c r="U738">
        <v>10</v>
      </c>
      <c r="V738">
        <f t="shared" si="40"/>
        <v>2024</v>
      </c>
      <c r="W738">
        <f t="shared" si="41"/>
        <v>5</v>
      </c>
      <c r="X738" t="str">
        <f t="shared" si="42"/>
        <v>2024-5</v>
      </c>
    </row>
    <row r="739" spans="17:24" x14ac:dyDescent="0.3">
      <c r="Q739" t="s">
        <v>21</v>
      </c>
      <c r="R739" t="s">
        <v>279</v>
      </c>
      <c r="S739" t="s">
        <v>382</v>
      </c>
      <c r="T739">
        <v>30699</v>
      </c>
      <c r="U739">
        <v>3</v>
      </c>
      <c r="V739">
        <f t="shared" si="40"/>
        <v>2024</v>
      </c>
      <c r="W739">
        <f t="shared" si="41"/>
        <v>5</v>
      </c>
      <c r="X739" t="str">
        <f t="shared" si="42"/>
        <v>2024-5</v>
      </c>
    </row>
    <row r="740" spans="17:24" x14ac:dyDescent="0.3">
      <c r="Q740" t="s">
        <v>28</v>
      </c>
      <c r="R740" t="s">
        <v>205</v>
      </c>
      <c r="S740" t="s">
        <v>383</v>
      </c>
      <c r="T740">
        <v>53964</v>
      </c>
      <c r="U740">
        <v>4</v>
      </c>
      <c r="V740">
        <f t="shared" si="40"/>
        <v>2024</v>
      </c>
      <c r="W740">
        <f t="shared" si="41"/>
        <v>5</v>
      </c>
      <c r="X740" t="str">
        <f t="shared" si="42"/>
        <v>2024-5</v>
      </c>
    </row>
    <row r="741" spans="17:24" x14ac:dyDescent="0.3">
      <c r="Q741" t="s">
        <v>10</v>
      </c>
      <c r="R741" t="s">
        <v>81</v>
      </c>
      <c r="S741" t="s">
        <v>383</v>
      </c>
      <c r="T741">
        <v>18314</v>
      </c>
      <c r="U741">
        <v>10</v>
      </c>
      <c r="V741">
        <f t="shared" si="40"/>
        <v>2024</v>
      </c>
      <c r="W741">
        <f t="shared" si="41"/>
        <v>5</v>
      </c>
      <c r="X741" t="str">
        <f t="shared" si="42"/>
        <v>2024-5</v>
      </c>
    </row>
    <row r="742" spans="17:24" x14ac:dyDescent="0.3">
      <c r="Q742" t="s">
        <v>28</v>
      </c>
      <c r="R742" t="s">
        <v>146</v>
      </c>
      <c r="S742" t="s">
        <v>383</v>
      </c>
      <c r="T742">
        <v>43253</v>
      </c>
      <c r="U742">
        <v>6</v>
      </c>
      <c r="V742">
        <f t="shared" si="40"/>
        <v>2024</v>
      </c>
      <c r="W742">
        <f t="shared" si="41"/>
        <v>5</v>
      </c>
      <c r="X742" t="str">
        <f t="shared" si="42"/>
        <v>2024-5</v>
      </c>
    </row>
    <row r="743" spans="17:24" x14ac:dyDescent="0.3">
      <c r="Q743" t="s">
        <v>40</v>
      </c>
      <c r="R743" t="s">
        <v>22</v>
      </c>
      <c r="S743" t="s">
        <v>384</v>
      </c>
      <c r="T743">
        <v>23298</v>
      </c>
      <c r="U743">
        <v>6</v>
      </c>
      <c r="V743">
        <f t="shared" si="40"/>
        <v>2024</v>
      </c>
      <c r="W743">
        <f t="shared" si="41"/>
        <v>5</v>
      </c>
      <c r="X743" t="str">
        <f t="shared" si="42"/>
        <v>2024-5</v>
      </c>
    </row>
    <row r="744" spans="17:24" x14ac:dyDescent="0.3">
      <c r="Q744" t="s">
        <v>50</v>
      </c>
      <c r="R744" t="s">
        <v>110</v>
      </c>
      <c r="S744" t="s">
        <v>384</v>
      </c>
      <c r="T744">
        <v>46581</v>
      </c>
      <c r="U744">
        <v>7</v>
      </c>
      <c r="V744">
        <f t="shared" si="40"/>
        <v>2024</v>
      </c>
      <c r="W744">
        <f t="shared" si="41"/>
        <v>5</v>
      </c>
      <c r="X744" t="str">
        <f t="shared" si="42"/>
        <v>2024-5</v>
      </c>
    </row>
    <row r="745" spans="17:24" x14ac:dyDescent="0.3">
      <c r="Q745" t="s">
        <v>47</v>
      </c>
      <c r="R745" t="s">
        <v>149</v>
      </c>
      <c r="S745" t="s">
        <v>384</v>
      </c>
      <c r="T745">
        <v>41384</v>
      </c>
      <c r="U745">
        <v>7</v>
      </c>
      <c r="V745">
        <f t="shared" si="40"/>
        <v>2024</v>
      </c>
      <c r="W745">
        <f t="shared" si="41"/>
        <v>5</v>
      </c>
      <c r="X745" t="str">
        <f t="shared" si="42"/>
        <v>2024-5</v>
      </c>
    </row>
    <row r="746" spans="17:24" x14ac:dyDescent="0.3">
      <c r="Q746" t="s">
        <v>21</v>
      </c>
      <c r="R746" t="s">
        <v>360</v>
      </c>
      <c r="S746" t="s">
        <v>385</v>
      </c>
      <c r="T746">
        <v>93507</v>
      </c>
      <c r="U746">
        <v>3</v>
      </c>
      <c r="V746">
        <f t="shared" si="40"/>
        <v>2024</v>
      </c>
      <c r="W746">
        <f t="shared" si="41"/>
        <v>5</v>
      </c>
      <c r="X746" t="str">
        <f t="shared" si="42"/>
        <v>2024-5</v>
      </c>
    </row>
    <row r="747" spans="17:24" x14ac:dyDescent="0.3">
      <c r="Q747" t="s">
        <v>45</v>
      </c>
      <c r="R747" t="s">
        <v>165</v>
      </c>
      <c r="S747" t="s">
        <v>385</v>
      </c>
      <c r="T747">
        <v>23626</v>
      </c>
      <c r="U747">
        <v>7</v>
      </c>
      <c r="V747">
        <f t="shared" si="40"/>
        <v>2024</v>
      </c>
      <c r="W747">
        <f t="shared" si="41"/>
        <v>5</v>
      </c>
      <c r="X747" t="str">
        <f t="shared" si="42"/>
        <v>2024-5</v>
      </c>
    </row>
    <row r="748" spans="17:24" x14ac:dyDescent="0.3">
      <c r="Q748" t="s">
        <v>47</v>
      </c>
      <c r="R748" t="s">
        <v>165</v>
      </c>
      <c r="S748" t="s">
        <v>385</v>
      </c>
      <c r="T748">
        <v>30585</v>
      </c>
      <c r="U748">
        <v>5</v>
      </c>
      <c r="V748">
        <f t="shared" si="40"/>
        <v>2024</v>
      </c>
      <c r="W748">
        <f t="shared" si="41"/>
        <v>5</v>
      </c>
      <c r="X748" t="str">
        <f t="shared" si="42"/>
        <v>2024-5</v>
      </c>
    </row>
    <row r="749" spans="17:24" x14ac:dyDescent="0.3">
      <c r="Q749" t="s">
        <v>47</v>
      </c>
      <c r="R749" t="s">
        <v>22</v>
      </c>
      <c r="S749" t="s">
        <v>386</v>
      </c>
      <c r="T749">
        <v>11002</v>
      </c>
      <c r="U749">
        <v>8</v>
      </c>
      <c r="V749">
        <f t="shared" si="40"/>
        <v>2024</v>
      </c>
      <c r="W749">
        <f t="shared" si="41"/>
        <v>5</v>
      </c>
      <c r="X749" t="str">
        <f t="shared" si="42"/>
        <v>2024-5</v>
      </c>
    </row>
    <row r="750" spans="17:24" x14ac:dyDescent="0.3">
      <c r="Q750" t="s">
        <v>21</v>
      </c>
      <c r="R750" t="s">
        <v>387</v>
      </c>
      <c r="S750" t="s">
        <v>386</v>
      </c>
      <c r="T750">
        <v>28176</v>
      </c>
      <c r="U750">
        <v>9</v>
      </c>
      <c r="V750">
        <f t="shared" si="40"/>
        <v>2024</v>
      </c>
      <c r="W750">
        <f t="shared" si="41"/>
        <v>5</v>
      </c>
      <c r="X750" t="str">
        <f t="shared" si="42"/>
        <v>2024-5</v>
      </c>
    </row>
    <row r="751" spans="17:24" x14ac:dyDescent="0.3">
      <c r="Q751" t="s">
        <v>28</v>
      </c>
      <c r="R751" t="s">
        <v>388</v>
      </c>
      <c r="S751" t="s">
        <v>386</v>
      </c>
      <c r="T751">
        <v>11603</v>
      </c>
      <c r="U751">
        <v>0</v>
      </c>
      <c r="V751">
        <f t="shared" si="40"/>
        <v>2024</v>
      </c>
      <c r="W751">
        <f t="shared" si="41"/>
        <v>5</v>
      </c>
      <c r="X751" t="str">
        <f t="shared" si="42"/>
        <v>2024-5</v>
      </c>
    </row>
    <row r="752" spans="17:24" x14ac:dyDescent="0.3">
      <c r="Q752" t="s">
        <v>12</v>
      </c>
      <c r="R752" t="s">
        <v>181</v>
      </c>
      <c r="S752" t="s">
        <v>386</v>
      </c>
      <c r="T752">
        <v>68572</v>
      </c>
      <c r="U752">
        <v>7</v>
      </c>
      <c r="V752">
        <f t="shared" si="40"/>
        <v>2024</v>
      </c>
      <c r="W752">
        <f t="shared" si="41"/>
        <v>5</v>
      </c>
      <c r="X752" t="str">
        <f t="shared" si="42"/>
        <v>2024-5</v>
      </c>
    </row>
    <row r="753" spans="17:24" x14ac:dyDescent="0.3">
      <c r="Q753" t="s">
        <v>45</v>
      </c>
      <c r="R753" t="s">
        <v>199</v>
      </c>
      <c r="S753" t="s">
        <v>389</v>
      </c>
      <c r="T753">
        <v>99359</v>
      </c>
      <c r="U753">
        <v>3</v>
      </c>
      <c r="V753">
        <f t="shared" si="40"/>
        <v>2024</v>
      </c>
      <c r="W753">
        <f t="shared" si="41"/>
        <v>5</v>
      </c>
      <c r="X753" t="str">
        <f t="shared" si="42"/>
        <v>2024-5</v>
      </c>
    </row>
    <row r="754" spans="17:24" x14ac:dyDescent="0.3">
      <c r="Q754" t="s">
        <v>28</v>
      </c>
      <c r="R754" t="s">
        <v>245</v>
      </c>
      <c r="S754" t="s">
        <v>389</v>
      </c>
      <c r="T754">
        <v>85616</v>
      </c>
      <c r="U754">
        <v>1</v>
      </c>
      <c r="V754">
        <f t="shared" si="40"/>
        <v>2024</v>
      </c>
      <c r="W754">
        <f t="shared" si="41"/>
        <v>5</v>
      </c>
      <c r="X754" t="str">
        <f t="shared" si="42"/>
        <v>2024-5</v>
      </c>
    </row>
    <row r="755" spans="17:24" x14ac:dyDescent="0.3">
      <c r="Q755" t="s">
        <v>47</v>
      </c>
      <c r="R755" t="s">
        <v>39</v>
      </c>
      <c r="S755" t="s">
        <v>389</v>
      </c>
      <c r="T755">
        <v>91775</v>
      </c>
      <c r="U755">
        <v>8</v>
      </c>
      <c r="V755">
        <f t="shared" si="40"/>
        <v>2024</v>
      </c>
      <c r="W755">
        <f t="shared" si="41"/>
        <v>5</v>
      </c>
      <c r="X755" t="str">
        <f t="shared" si="42"/>
        <v>2024-5</v>
      </c>
    </row>
    <row r="756" spans="17:24" x14ac:dyDescent="0.3">
      <c r="Q756" t="s">
        <v>12</v>
      </c>
      <c r="R756" t="s">
        <v>181</v>
      </c>
      <c r="S756" t="s">
        <v>389</v>
      </c>
      <c r="T756">
        <v>68433</v>
      </c>
      <c r="U756">
        <v>1</v>
      </c>
      <c r="V756">
        <f t="shared" si="40"/>
        <v>2024</v>
      </c>
      <c r="W756">
        <f t="shared" si="41"/>
        <v>5</v>
      </c>
      <c r="X756" t="str">
        <f t="shared" si="42"/>
        <v>2024-5</v>
      </c>
    </row>
    <row r="757" spans="17:24" x14ac:dyDescent="0.3">
      <c r="Q757" t="s">
        <v>28</v>
      </c>
      <c r="R757" t="s">
        <v>22</v>
      </c>
      <c r="S757" t="s">
        <v>390</v>
      </c>
      <c r="T757">
        <v>65513</v>
      </c>
      <c r="U757">
        <v>8</v>
      </c>
      <c r="V757">
        <f t="shared" si="40"/>
        <v>2024</v>
      </c>
      <c r="W757">
        <f t="shared" si="41"/>
        <v>5</v>
      </c>
      <c r="X757" t="str">
        <f t="shared" si="42"/>
        <v>2024-5</v>
      </c>
    </row>
    <row r="758" spans="17:24" x14ac:dyDescent="0.3">
      <c r="Q758" t="s">
        <v>18</v>
      </c>
      <c r="R758" t="s">
        <v>17</v>
      </c>
      <c r="S758" t="s">
        <v>390</v>
      </c>
      <c r="T758">
        <v>23403</v>
      </c>
      <c r="U758">
        <v>4</v>
      </c>
      <c r="V758">
        <f t="shared" si="40"/>
        <v>2024</v>
      </c>
      <c r="W758">
        <f t="shared" si="41"/>
        <v>5</v>
      </c>
      <c r="X758" t="str">
        <f t="shared" si="42"/>
        <v>2024-5</v>
      </c>
    </row>
    <row r="759" spans="17:24" x14ac:dyDescent="0.3">
      <c r="Q759" t="s">
        <v>8</v>
      </c>
      <c r="R759" t="s">
        <v>75</v>
      </c>
      <c r="S759" t="s">
        <v>390</v>
      </c>
      <c r="T759">
        <v>38089</v>
      </c>
      <c r="U759">
        <v>4</v>
      </c>
      <c r="V759">
        <f t="shared" si="40"/>
        <v>2024</v>
      </c>
      <c r="W759">
        <f t="shared" si="41"/>
        <v>5</v>
      </c>
      <c r="X759" t="str">
        <f t="shared" si="42"/>
        <v>2024-5</v>
      </c>
    </row>
    <row r="760" spans="17:24" x14ac:dyDescent="0.3">
      <c r="Q760" t="s">
        <v>12</v>
      </c>
      <c r="R760" t="s">
        <v>101</v>
      </c>
      <c r="S760" t="s">
        <v>390</v>
      </c>
      <c r="T760">
        <v>57582</v>
      </c>
      <c r="U760">
        <v>1</v>
      </c>
      <c r="V760">
        <f t="shared" si="40"/>
        <v>2024</v>
      </c>
      <c r="W760">
        <f t="shared" si="41"/>
        <v>5</v>
      </c>
      <c r="X760" t="str">
        <f t="shared" si="42"/>
        <v>2024-5</v>
      </c>
    </row>
    <row r="761" spans="17:24" x14ac:dyDescent="0.3">
      <c r="Q761" t="s">
        <v>10</v>
      </c>
      <c r="R761" t="s">
        <v>137</v>
      </c>
      <c r="S761" t="s">
        <v>390</v>
      </c>
      <c r="T761">
        <v>97646</v>
      </c>
      <c r="U761">
        <v>7</v>
      </c>
      <c r="V761">
        <f t="shared" si="40"/>
        <v>2024</v>
      </c>
      <c r="W761">
        <f t="shared" si="41"/>
        <v>5</v>
      </c>
      <c r="X761" t="str">
        <f t="shared" si="42"/>
        <v>2024-5</v>
      </c>
    </row>
    <row r="762" spans="17:24" x14ac:dyDescent="0.3">
      <c r="Q762" t="s">
        <v>21</v>
      </c>
      <c r="R762" t="s">
        <v>67</v>
      </c>
      <c r="S762" t="s">
        <v>390</v>
      </c>
      <c r="T762">
        <v>86353</v>
      </c>
      <c r="U762">
        <v>6</v>
      </c>
      <c r="V762">
        <f t="shared" si="40"/>
        <v>2024</v>
      </c>
      <c r="W762">
        <f t="shared" si="41"/>
        <v>5</v>
      </c>
      <c r="X762" t="str">
        <f t="shared" si="42"/>
        <v>2024-5</v>
      </c>
    </row>
    <row r="763" spans="17:24" x14ac:dyDescent="0.3">
      <c r="Q763" t="s">
        <v>5</v>
      </c>
      <c r="R763" t="s">
        <v>130</v>
      </c>
      <c r="S763" t="s">
        <v>390</v>
      </c>
      <c r="T763">
        <v>17520</v>
      </c>
      <c r="U763">
        <v>8</v>
      </c>
      <c r="V763">
        <f t="shared" si="40"/>
        <v>2024</v>
      </c>
      <c r="W763">
        <f t="shared" si="41"/>
        <v>5</v>
      </c>
      <c r="X763" t="str">
        <f t="shared" si="42"/>
        <v>2024-5</v>
      </c>
    </row>
    <row r="764" spans="17:24" x14ac:dyDescent="0.3">
      <c r="Q764" t="s">
        <v>18</v>
      </c>
      <c r="R764" t="s">
        <v>174</v>
      </c>
      <c r="S764" t="s">
        <v>391</v>
      </c>
      <c r="T764">
        <v>33281</v>
      </c>
      <c r="U764">
        <v>6</v>
      </c>
      <c r="V764">
        <f t="shared" si="40"/>
        <v>2024</v>
      </c>
      <c r="W764">
        <f t="shared" si="41"/>
        <v>6</v>
      </c>
      <c r="X764" t="str">
        <f t="shared" si="42"/>
        <v>2024-6</v>
      </c>
    </row>
    <row r="765" spans="17:24" x14ac:dyDescent="0.3">
      <c r="Q765" t="s">
        <v>10</v>
      </c>
      <c r="R765" t="s">
        <v>116</v>
      </c>
      <c r="S765" t="s">
        <v>391</v>
      </c>
      <c r="T765">
        <v>62217</v>
      </c>
      <c r="U765">
        <v>1</v>
      </c>
      <c r="V765">
        <f t="shared" si="40"/>
        <v>2024</v>
      </c>
      <c r="W765">
        <f t="shared" si="41"/>
        <v>6</v>
      </c>
      <c r="X765" t="str">
        <f t="shared" si="42"/>
        <v>2024-6</v>
      </c>
    </row>
    <row r="766" spans="17:24" x14ac:dyDescent="0.3">
      <c r="Q766" t="s">
        <v>45</v>
      </c>
      <c r="R766" t="s">
        <v>35</v>
      </c>
      <c r="S766" t="s">
        <v>391</v>
      </c>
      <c r="T766">
        <v>65600</v>
      </c>
      <c r="U766">
        <v>5</v>
      </c>
      <c r="V766">
        <f t="shared" si="40"/>
        <v>2024</v>
      </c>
      <c r="W766">
        <f t="shared" si="41"/>
        <v>6</v>
      </c>
      <c r="X766" t="str">
        <f t="shared" si="42"/>
        <v>2024-6</v>
      </c>
    </row>
    <row r="767" spans="17:24" x14ac:dyDescent="0.3">
      <c r="Q767" t="s">
        <v>40</v>
      </c>
      <c r="R767" t="s">
        <v>171</v>
      </c>
      <c r="S767" t="s">
        <v>391</v>
      </c>
      <c r="T767">
        <v>45605</v>
      </c>
      <c r="U767">
        <v>10</v>
      </c>
      <c r="V767">
        <f t="shared" si="40"/>
        <v>2024</v>
      </c>
      <c r="W767">
        <f t="shared" si="41"/>
        <v>6</v>
      </c>
      <c r="X767" t="str">
        <f t="shared" si="42"/>
        <v>2024-6</v>
      </c>
    </row>
    <row r="768" spans="17:24" x14ac:dyDescent="0.3">
      <c r="Q768" t="s">
        <v>40</v>
      </c>
      <c r="R768" t="s">
        <v>324</v>
      </c>
      <c r="S768" t="s">
        <v>391</v>
      </c>
      <c r="T768">
        <v>94421</v>
      </c>
      <c r="U768">
        <v>9</v>
      </c>
      <c r="V768">
        <f t="shared" si="40"/>
        <v>2024</v>
      </c>
      <c r="W768">
        <f t="shared" si="41"/>
        <v>6</v>
      </c>
      <c r="X768" t="str">
        <f t="shared" si="42"/>
        <v>2024-6</v>
      </c>
    </row>
    <row r="769" spans="17:24" x14ac:dyDescent="0.3">
      <c r="Q769" t="s">
        <v>28</v>
      </c>
      <c r="R769" t="s">
        <v>192</v>
      </c>
      <c r="S769" t="s">
        <v>391</v>
      </c>
      <c r="T769">
        <v>42617</v>
      </c>
      <c r="U769">
        <v>9</v>
      </c>
      <c r="V769">
        <f t="shared" si="40"/>
        <v>2024</v>
      </c>
      <c r="W769">
        <f t="shared" si="41"/>
        <v>6</v>
      </c>
      <c r="X769" t="str">
        <f t="shared" si="42"/>
        <v>2024-6</v>
      </c>
    </row>
    <row r="770" spans="17:24" x14ac:dyDescent="0.3">
      <c r="Q770" t="s">
        <v>45</v>
      </c>
      <c r="R770" t="s">
        <v>77</v>
      </c>
      <c r="S770" t="s">
        <v>391</v>
      </c>
      <c r="T770">
        <v>18399</v>
      </c>
      <c r="U770">
        <v>7</v>
      </c>
      <c r="V770">
        <f t="shared" si="40"/>
        <v>2024</v>
      </c>
      <c r="W770">
        <f t="shared" si="41"/>
        <v>6</v>
      </c>
      <c r="X770" t="str">
        <f t="shared" si="42"/>
        <v>2024-6</v>
      </c>
    </row>
    <row r="771" spans="17:24" x14ac:dyDescent="0.3">
      <c r="Q771" t="s">
        <v>47</v>
      </c>
      <c r="R771" t="s">
        <v>315</v>
      </c>
      <c r="S771" t="s">
        <v>392</v>
      </c>
      <c r="T771">
        <v>74854</v>
      </c>
      <c r="U771">
        <v>6</v>
      </c>
      <c r="V771">
        <f t="shared" ref="V771:V834" si="43">YEAR(S771)</f>
        <v>2024</v>
      </c>
      <c r="W771">
        <f t="shared" ref="W771:W834" si="44">MONTH(S771)</f>
        <v>6</v>
      </c>
      <c r="X771" t="str">
        <f t="shared" ref="X771:X834" si="45">V771&amp;"-"&amp;W771</f>
        <v>2024-6</v>
      </c>
    </row>
    <row r="772" spans="17:24" x14ac:dyDescent="0.3">
      <c r="Q772" t="s">
        <v>47</v>
      </c>
      <c r="R772" t="s">
        <v>67</v>
      </c>
      <c r="S772" t="s">
        <v>392</v>
      </c>
      <c r="T772">
        <v>49170</v>
      </c>
      <c r="U772">
        <v>5</v>
      </c>
      <c r="V772">
        <f t="shared" si="43"/>
        <v>2024</v>
      </c>
      <c r="W772">
        <f t="shared" si="44"/>
        <v>6</v>
      </c>
      <c r="X772" t="str">
        <f t="shared" si="45"/>
        <v>2024-6</v>
      </c>
    </row>
    <row r="773" spans="17:24" x14ac:dyDescent="0.3">
      <c r="Q773" t="s">
        <v>47</v>
      </c>
      <c r="R773" t="s">
        <v>119</v>
      </c>
      <c r="S773" t="s">
        <v>392</v>
      </c>
      <c r="T773">
        <v>48617</v>
      </c>
      <c r="U773">
        <v>7</v>
      </c>
      <c r="V773">
        <f t="shared" si="43"/>
        <v>2024</v>
      </c>
      <c r="W773">
        <f t="shared" si="44"/>
        <v>6</v>
      </c>
      <c r="X773" t="str">
        <f t="shared" si="45"/>
        <v>2024-6</v>
      </c>
    </row>
    <row r="774" spans="17:24" x14ac:dyDescent="0.3">
      <c r="Q774" t="s">
        <v>47</v>
      </c>
      <c r="R774" t="s">
        <v>221</v>
      </c>
      <c r="S774" t="s">
        <v>392</v>
      </c>
      <c r="T774">
        <v>41294</v>
      </c>
      <c r="U774">
        <v>10</v>
      </c>
      <c r="V774">
        <f t="shared" si="43"/>
        <v>2024</v>
      </c>
      <c r="W774">
        <f t="shared" si="44"/>
        <v>6</v>
      </c>
      <c r="X774" t="str">
        <f t="shared" si="45"/>
        <v>2024-6</v>
      </c>
    </row>
    <row r="775" spans="17:24" x14ac:dyDescent="0.3">
      <c r="Q775" t="s">
        <v>45</v>
      </c>
      <c r="R775" t="s">
        <v>192</v>
      </c>
      <c r="S775" t="s">
        <v>392</v>
      </c>
      <c r="T775">
        <v>78828</v>
      </c>
      <c r="U775">
        <v>1</v>
      </c>
      <c r="V775">
        <f t="shared" si="43"/>
        <v>2024</v>
      </c>
      <c r="W775">
        <f t="shared" si="44"/>
        <v>6</v>
      </c>
      <c r="X775" t="str">
        <f t="shared" si="45"/>
        <v>2024-6</v>
      </c>
    </row>
    <row r="776" spans="17:24" x14ac:dyDescent="0.3">
      <c r="Q776" t="s">
        <v>47</v>
      </c>
      <c r="R776" t="s">
        <v>105</v>
      </c>
      <c r="S776" t="s">
        <v>393</v>
      </c>
      <c r="T776">
        <v>44817</v>
      </c>
      <c r="U776">
        <v>7</v>
      </c>
      <c r="V776">
        <f t="shared" si="43"/>
        <v>2024</v>
      </c>
      <c r="W776">
        <f t="shared" si="44"/>
        <v>6</v>
      </c>
      <c r="X776" t="str">
        <f t="shared" si="45"/>
        <v>2024-6</v>
      </c>
    </row>
    <row r="777" spans="17:24" x14ac:dyDescent="0.3">
      <c r="Q777" t="s">
        <v>10</v>
      </c>
      <c r="R777" t="s">
        <v>126</v>
      </c>
      <c r="S777" t="s">
        <v>393</v>
      </c>
      <c r="T777">
        <v>95219</v>
      </c>
      <c r="U777">
        <v>8</v>
      </c>
      <c r="V777">
        <f t="shared" si="43"/>
        <v>2024</v>
      </c>
      <c r="W777">
        <f t="shared" si="44"/>
        <v>6</v>
      </c>
      <c r="X777" t="str">
        <f t="shared" si="45"/>
        <v>2024-6</v>
      </c>
    </row>
    <row r="778" spans="17:24" x14ac:dyDescent="0.3">
      <c r="Q778" t="s">
        <v>21</v>
      </c>
      <c r="R778" t="s">
        <v>176</v>
      </c>
      <c r="S778" t="s">
        <v>393</v>
      </c>
      <c r="T778">
        <v>73747</v>
      </c>
      <c r="U778">
        <v>8</v>
      </c>
      <c r="V778">
        <f t="shared" si="43"/>
        <v>2024</v>
      </c>
      <c r="W778">
        <f t="shared" si="44"/>
        <v>6</v>
      </c>
      <c r="X778" t="str">
        <f t="shared" si="45"/>
        <v>2024-6</v>
      </c>
    </row>
    <row r="779" spans="17:24" x14ac:dyDescent="0.3">
      <c r="Q779" t="s">
        <v>47</v>
      </c>
      <c r="R779" t="s">
        <v>160</v>
      </c>
      <c r="S779" t="s">
        <v>393</v>
      </c>
      <c r="T779">
        <v>14257</v>
      </c>
      <c r="U779">
        <v>4</v>
      </c>
      <c r="V779">
        <f t="shared" si="43"/>
        <v>2024</v>
      </c>
      <c r="W779">
        <f t="shared" si="44"/>
        <v>6</v>
      </c>
      <c r="X779" t="str">
        <f t="shared" si="45"/>
        <v>2024-6</v>
      </c>
    </row>
    <row r="780" spans="17:24" x14ac:dyDescent="0.3">
      <c r="Q780" t="s">
        <v>45</v>
      </c>
      <c r="R780" t="s">
        <v>199</v>
      </c>
      <c r="S780" t="s">
        <v>393</v>
      </c>
      <c r="T780">
        <v>61191</v>
      </c>
      <c r="U780">
        <v>10</v>
      </c>
      <c r="V780">
        <f t="shared" si="43"/>
        <v>2024</v>
      </c>
      <c r="W780">
        <f t="shared" si="44"/>
        <v>6</v>
      </c>
      <c r="X780" t="str">
        <f t="shared" si="45"/>
        <v>2024-6</v>
      </c>
    </row>
    <row r="781" spans="17:24" x14ac:dyDescent="0.3">
      <c r="Q781" t="s">
        <v>8</v>
      </c>
      <c r="R781" t="s">
        <v>394</v>
      </c>
      <c r="S781" t="s">
        <v>393</v>
      </c>
      <c r="T781">
        <v>73643</v>
      </c>
      <c r="U781">
        <v>7</v>
      </c>
      <c r="V781">
        <f t="shared" si="43"/>
        <v>2024</v>
      </c>
      <c r="W781">
        <f t="shared" si="44"/>
        <v>6</v>
      </c>
      <c r="X781" t="str">
        <f t="shared" si="45"/>
        <v>2024-6</v>
      </c>
    </row>
    <row r="782" spans="17:24" x14ac:dyDescent="0.3">
      <c r="Q782" t="s">
        <v>47</v>
      </c>
      <c r="R782" t="s">
        <v>6</v>
      </c>
      <c r="S782" t="s">
        <v>395</v>
      </c>
      <c r="T782">
        <v>35777</v>
      </c>
      <c r="U782">
        <v>3</v>
      </c>
      <c r="V782">
        <f t="shared" si="43"/>
        <v>2024</v>
      </c>
      <c r="W782">
        <f t="shared" si="44"/>
        <v>6</v>
      </c>
      <c r="X782" t="str">
        <f t="shared" si="45"/>
        <v>2024-6</v>
      </c>
    </row>
    <row r="783" spans="17:24" x14ac:dyDescent="0.3">
      <c r="Q783" t="s">
        <v>47</v>
      </c>
      <c r="R783" t="s">
        <v>19</v>
      </c>
      <c r="S783" t="s">
        <v>395</v>
      </c>
      <c r="T783">
        <v>68630</v>
      </c>
      <c r="U783">
        <v>8</v>
      </c>
      <c r="V783">
        <f t="shared" si="43"/>
        <v>2024</v>
      </c>
      <c r="W783">
        <f t="shared" si="44"/>
        <v>6</v>
      </c>
      <c r="X783" t="str">
        <f t="shared" si="45"/>
        <v>2024-6</v>
      </c>
    </row>
    <row r="784" spans="17:24" x14ac:dyDescent="0.3">
      <c r="Q784" t="s">
        <v>28</v>
      </c>
      <c r="R784" t="s">
        <v>149</v>
      </c>
      <c r="S784" t="s">
        <v>395</v>
      </c>
      <c r="T784">
        <v>69342</v>
      </c>
      <c r="U784">
        <v>6</v>
      </c>
      <c r="V784">
        <f t="shared" si="43"/>
        <v>2024</v>
      </c>
      <c r="W784">
        <f t="shared" si="44"/>
        <v>6</v>
      </c>
      <c r="X784" t="str">
        <f t="shared" si="45"/>
        <v>2024-6</v>
      </c>
    </row>
    <row r="785" spans="17:24" x14ac:dyDescent="0.3">
      <c r="Q785" t="s">
        <v>47</v>
      </c>
      <c r="R785" t="s">
        <v>231</v>
      </c>
      <c r="S785" t="s">
        <v>396</v>
      </c>
      <c r="T785">
        <v>70862</v>
      </c>
      <c r="U785">
        <v>10</v>
      </c>
      <c r="V785">
        <f t="shared" si="43"/>
        <v>2024</v>
      </c>
      <c r="W785">
        <f t="shared" si="44"/>
        <v>6</v>
      </c>
      <c r="X785" t="str">
        <f t="shared" si="45"/>
        <v>2024-6</v>
      </c>
    </row>
    <row r="786" spans="17:24" x14ac:dyDescent="0.3">
      <c r="Q786" t="s">
        <v>10</v>
      </c>
      <c r="R786" t="s">
        <v>185</v>
      </c>
      <c r="S786" t="s">
        <v>396</v>
      </c>
      <c r="T786">
        <v>61674</v>
      </c>
      <c r="U786">
        <v>1</v>
      </c>
      <c r="V786">
        <f t="shared" si="43"/>
        <v>2024</v>
      </c>
      <c r="W786">
        <f t="shared" si="44"/>
        <v>6</v>
      </c>
      <c r="X786" t="str">
        <f t="shared" si="45"/>
        <v>2024-6</v>
      </c>
    </row>
    <row r="787" spans="17:24" x14ac:dyDescent="0.3">
      <c r="Q787" t="s">
        <v>45</v>
      </c>
      <c r="R787" t="s">
        <v>111</v>
      </c>
      <c r="S787" t="s">
        <v>397</v>
      </c>
      <c r="T787">
        <v>94070</v>
      </c>
      <c r="U787">
        <v>6</v>
      </c>
      <c r="V787">
        <f t="shared" si="43"/>
        <v>2024</v>
      </c>
      <c r="W787">
        <f t="shared" si="44"/>
        <v>6</v>
      </c>
      <c r="X787" t="str">
        <f t="shared" si="45"/>
        <v>2024-6</v>
      </c>
    </row>
    <row r="788" spans="17:24" x14ac:dyDescent="0.3">
      <c r="Q788" t="s">
        <v>8</v>
      </c>
      <c r="R788" t="s">
        <v>105</v>
      </c>
      <c r="S788" t="s">
        <v>397</v>
      </c>
      <c r="T788">
        <v>94876</v>
      </c>
      <c r="U788">
        <v>6</v>
      </c>
      <c r="V788">
        <f t="shared" si="43"/>
        <v>2024</v>
      </c>
      <c r="W788">
        <f t="shared" si="44"/>
        <v>6</v>
      </c>
      <c r="X788" t="str">
        <f t="shared" si="45"/>
        <v>2024-6</v>
      </c>
    </row>
    <row r="789" spans="17:24" x14ac:dyDescent="0.3">
      <c r="Q789" t="s">
        <v>21</v>
      </c>
      <c r="R789" t="s">
        <v>398</v>
      </c>
      <c r="S789" t="s">
        <v>397</v>
      </c>
      <c r="T789">
        <v>38665</v>
      </c>
      <c r="U789">
        <v>2</v>
      </c>
      <c r="V789">
        <f t="shared" si="43"/>
        <v>2024</v>
      </c>
      <c r="W789">
        <f t="shared" si="44"/>
        <v>6</v>
      </c>
      <c r="X789" t="str">
        <f t="shared" si="45"/>
        <v>2024-6</v>
      </c>
    </row>
    <row r="790" spans="17:24" x14ac:dyDescent="0.3">
      <c r="Q790" t="s">
        <v>10</v>
      </c>
      <c r="R790" t="s">
        <v>207</v>
      </c>
      <c r="S790" t="s">
        <v>397</v>
      </c>
      <c r="T790">
        <v>83314</v>
      </c>
      <c r="U790">
        <v>6</v>
      </c>
      <c r="V790">
        <f t="shared" si="43"/>
        <v>2024</v>
      </c>
      <c r="W790">
        <f t="shared" si="44"/>
        <v>6</v>
      </c>
      <c r="X790" t="str">
        <f t="shared" si="45"/>
        <v>2024-6</v>
      </c>
    </row>
    <row r="791" spans="17:24" x14ac:dyDescent="0.3">
      <c r="Q791" t="s">
        <v>50</v>
      </c>
      <c r="R791" t="s">
        <v>149</v>
      </c>
      <c r="S791" t="s">
        <v>397</v>
      </c>
      <c r="T791">
        <v>88147</v>
      </c>
      <c r="U791">
        <v>7</v>
      </c>
      <c r="V791">
        <f t="shared" si="43"/>
        <v>2024</v>
      </c>
      <c r="W791">
        <f t="shared" si="44"/>
        <v>6</v>
      </c>
      <c r="X791" t="str">
        <f t="shared" si="45"/>
        <v>2024-6</v>
      </c>
    </row>
    <row r="792" spans="17:24" x14ac:dyDescent="0.3">
      <c r="Q792" t="s">
        <v>18</v>
      </c>
      <c r="R792" t="s">
        <v>247</v>
      </c>
      <c r="S792" t="s">
        <v>397</v>
      </c>
      <c r="T792">
        <v>90901</v>
      </c>
      <c r="U792">
        <v>5</v>
      </c>
      <c r="V792">
        <f t="shared" si="43"/>
        <v>2024</v>
      </c>
      <c r="W792">
        <f t="shared" si="44"/>
        <v>6</v>
      </c>
      <c r="X792" t="str">
        <f t="shared" si="45"/>
        <v>2024-6</v>
      </c>
    </row>
    <row r="793" spans="17:24" x14ac:dyDescent="0.3">
      <c r="Q793" t="s">
        <v>45</v>
      </c>
      <c r="R793" t="s">
        <v>122</v>
      </c>
      <c r="S793" t="s">
        <v>397</v>
      </c>
      <c r="T793">
        <v>34632</v>
      </c>
      <c r="U793">
        <v>8</v>
      </c>
      <c r="V793">
        <f t="shared" si="43"/>
        <v>2024</v>
      </c>
      <c r="W793">
        <f t="shared" si="44"/>
        <v>6</v>
      </c>
      <c r="X793" t="str">
        <f t="shared" si="45"/>
        <v>2024-6</v>
      </c>
    </row>
    <row r="794" spans="17:24" x14ac:dyDescent="0.3">
      <c r="Q794" t="s">
        <v>18</v>
      </c>
      <c r="R794" t="s">
        <v>144</v>
      </c>
      <c r="S794" t="s">
        <v>397</v>
      </c>
      <c r="T794">
        <v>23480</v>
      </c>
      <c r="U794">
        <v>7</v>
      </c>
      <c r="V794">
        <f t="shared" si="43"/>
        <v>2024</v>
      </c>
      <c r="W794">
        <f t="shared" si="44"/>
        <v>6</v>
      </c>
      <c r="X794" t="str">
        <f t="shared" si="45"/>
        <v>2024-6</v>
      </c>
    </row>
    <row r="795" spans="17:24" x14ac:dyDescent="0.3">
      <c r="Q795" t="s">
        <v>21</v>
      </c>
      <c r="R795" t="s">
        <v>119</v>
      </c>
      <c r="S795" t="s">
        <v>397</v>
      </c>
      <c r="T795">
        <v>94714</v>
      </c>
      <c r="U795">
        <v>8</v>
      </c>
      <c r="V795">
        <f t="shared" si="43"/>
        <v>2024</v>
      </c>
      <c r="W795">
        <f t="shared" si="44"/>
        <v>6</v>
      </c>
      <c r="X795" t="str">
        <f t="shared" si="45"/>
        <v>2024-6</v>
      </c>
    </row>
    <row r="796" spans="17:24" x14ac:dyDescent="0.3">
      <c r="Q796" t="s">
        <v>8</v>
      </c>
      <c r="R796" t="s">
        <v>130</v>
      </c>
      <c r="S796" t="s">
        <v>397</v>
      </c>
      <c r="T796">
        <v>97567</v>
      </c>
      <c r="U796">
        <v>9</v>
      </c>
      <c r="V796">
        <f t="shared" si="43"/>
        <v>2024</v>
      </c>
      <c r="W796">
        <f t="shared" si="44"/>
        <v>6</v>
      </c>
      <c r="X796" t="str">
        <f t="shared" si="45"/>
        <v>2024-6</v>
      </c>
    </row>
    <row r="797" spans="17:24" x14ac:dyDescent="0.3">
      <c r="Q797" t="s">
        <v>18</v>
      </c>
      <c r="R797" t="s">
        <v>80</v>
      </c>
      <c r="S797" t="s">
        <v>399</v>
      </c>
      <c r="T797">
        <v>30871</v>
      </c>
      <c r="U797">
        <v>7</v>
      </c>
      <c r="V797">
        <f t="shared" si="43"/>
        <v>2024</v>
      </c>
      <c r="W797">
        <f t="shared" si="44"/>
        <v>6</v>
      </c>
      <c r="X797" t="str">
        <f t="shared" si="45"/>
        <v>2024-6</v>
      </c>
    </row>
    <row r="798" spans="17:24" x14ac:dyDescent="0.3">
      <c r="Q798" t="s">
        <v>14</v>
      </c>
      <c r="R798" t="s">
        <v>89</v>
      </c>
      <c r="S798" t="s">
        <v>399</v>
      </c>
      <c r="T798">
        <v>77340</v>
      </c>
      <c r="U798">
        <v>7</v>
      </c>
      <c r="V798">
        <f t="shared" si="43"/>
        <v>2024</v>
      </c>
      <c r="W798">
        <f t="shared" si="44"/>
        <v>6</v>
      </c>
      <c r="X798" t="str">
        <f t="shared" si="45"/>
        <v>2024-6</v>
      </c>
    </row>
    <row r="799" spans="17:24" x14ac:dyDescent="0.3">
      <c r="Q799" t="s">
        <v>5</v>
      </c>
      <c r="R799" t="s">
        <v>387</v>
      </c>
      <c r="S799" t="s">
        <v>399</v>
      </c>
      <c r="T799">
        <v>41268</v>
      </c>
      <c r="U799">
        <v>9</v>
      </c>
      <c r="V799">
        <f t="shared" si="43"/>
        <v>2024</v>
      </c>
      <c r="W799">
        <f t="shared" si="44"/>
        <v>6</v>
      </c>
      <c r="X799" t="str">
        <f t="shared" si="45"/>
        <v>2024-6</v>
      </c>
    </row>
    <row r="800" spans="17:24" x14ac:dyDescent="0.3">
      <c r="Q800" t="s">
        <v>18</v>
      </c>
      <c r="R800" t="s">
        <v>43</v>
      </c>
      <c r="S800" t="s">
        <v>399</v>
      </c>
      <c r="T800">
        <v>25117</v>
      </c>
      <c r="U800">
        <v>9</v>
      </c>
      <c r="V800">
        <f t="shared" si="43"/>
        <v>2024</v>
      </c>
      <c r="W800">
        <f t="shared" si="44"/>
        <v>6</v>
      </c>
      <c r="X800" t="str">
        <f t="shared" si="45"/>
        <v>2024-6</v>
      </c>
    </row>
    <row r="801" spans="17:24" x14ac:dyDescent="0.3">
      <c r="Q801" t="s">
        <v>21</v>
      </c>
      <c r="R801" t="s">
        <v>140</v>
      </c>
      <c r="S801" t="s">
        <v>400</v>
      </c>
      <c r="T801">
        <v>53067</v>
      </c>
      <c r="U801">
        <v>8</v>
      </c>
      <c r="V801">
        <f t="shared" si="43"/>
        <v>2024</v>
      </c>
      <c r="W801">
        <f t="shared" si="44"/>
        <v>6</v>
      </c>
      <c r="X801" t="str">
        <f t="shared" si="45"/>
        <v>2024-6</v>
      </c>
    </row>
    <row r="802" spans="17:24" x14ac:dyDescent="0.3">
      <c r="Q802" t="s">
        <v>45</v>
      </c>
      <c r="R802" t="s">
        <v>54</v>
      </c>
      <c r="S802" t="s">
        <v>401</v>
      </c>
      <c r="T802">
        <v>92196</v>
      </c>
      <c r="U802">
        <v>5</v>
      </c>
      <c r="V802">
        <f t="shared" si="43"/>
        <v>2024</v>
      </c>
      <c r="W802">
        <f t="shared" si="44"/>
        <v>6</v>
      </c>
      <c r="X802" t="str">
        <f t="shared" si="45"/>
        <v>2024-6</v>
      </c>
    </row>
    <row r="803" spans="17:24" x14ac:dyDescent="0.3">
      <c r="Q803" t="s">
        <v>8</v>
      </c>
      <c r="R803" t="s">
        <v>114</v>
      </c>
      <c r="S803" t="s">
        <v>401</v>
      </c>
      <c r="T803">
        <v>74662</v>
      </c>
      <c r="U803">
        <v>3</v>
      </c>
      <c r="V803">
        <f t="shared" si="43"/>
        <v>2024</v>
      </c>
      <c r="W803">
        <f t="shared" si="44"/>
        <v>6</v>
      </c>
      <c r="X803" t="str">
        <f t="shared" si="45"/>
        <v>2024-6</v>
      </c>
    </row>
    <row r="804" spans="17:24" x14ac:dyDescent="0.3">
      <c r="Q804" t="s">
        <v>40</v>
      </c>
      <c r="R804" t="s">
        <v>402</v>
      </c>
      <c r="S804" t="s">
        <v>401</v>
      </c>
      <c r="T804">
        <v>80701</v>
      </c>
      <c r="U804">
        <v>6</v>
      </c>
      <c r="V804">
        <f t="shared" si="43"/>
        <v>2024</v>
      </c>
      <c r="W804">
        <f t="shared" si="44"/>
        <v>6</v>
      </c>
      <c r="X804" t="str">
        <f t="shared" si="45"/>
        <v>2024-6</v>
      </c>
    </row>
    <row r="805" spans="17:24" x14ac:dyDescent="0.3">
      <c r="Q805" t="s">
        <v>40</v>
      </c>
      <c r="R805" t="s">
        <v>69</v>
      </c>
      <c r="S805" t="s">
        <v>403</v>
      </c>
      <c r="T805">
        <v>77575</v>
      </c>
      <c r="U805">
        <v>8</v>
      </c>
      <c r="V805">
        <f t="shared" si="43"/>
        <v>2024</v>
      </c>
      <c r="W805">
        <f t="shared" si="44"/>
        <v>6</v>
      </c>
      <c r="X805" t="str">
        <f t="shared" si="45"/>
        <v>2024-6</v>
      </c>
    </row>
    <row r="806" spans="17:24" x14ac:dyDescent="0.3">
      <c r="Q806" t="s">
        <v>18</v>
      </c>
      <c r="R806" t="s">
        <v>37</v>
      </c>
      <c r="S806" t="s">
        <v>403</v>
      </c>
      <c r="T806">
        <v>72563</v>
      </c>
      <c r="U806">
        <v>4</v>
      </c>
      <c r="V806">
        <f t="shared" si="43"/>
        <v>2024</v>
      </c>
      <c r="W806">
        <f t="shared" si="44"/>
        <v>6</v>
      </c>
      <c r="X806" t="str">
        <f t="shared" si="45"/>
        <v>2024-6</v>
      </c>
    </row>
    <row r="807" spans="17:24" x14ac:dyDescent="0.3">
      <c r="Q807" t="s">
        <v>8</v>
      </c>
      <c r="R807" t="s">
        <v>72</v>
      </c>
      <c r="S807" t="s">
        <v>404</v>
      </c>
      <c r="T807">
        <v>12529</v>
      </c>
      <c r="U807">
        <v>6</v>
      </c>
      <c r="V807">
        <f t="shared" si="43"/>
        <v>2024</v>
      </c>
      <c r="W807">
        <f t="shared" si="44"/>
        <v>6</v>
      </c>
      <c r="X807" t="str">
        <f t="shared" si="45"/>
        <v>2024-6</v>
      </c>
    </row>
    <row r="808" spans="17:24" x14ac:dyDescent="0.3">
      <c r="Q808" t="s">
        <v>50</v>
      </c>
      <c r="R808" t="s">
        <v>156</v>
      </c>
      <c r="S808" t="s">
        <v>404</v>
      </c>
      <c r="T808">
        <v>63208</v>
      </c>
      <c r="U808">
        <v>6</v>
      </c>
      <c r="V808">
        <f t="shared" si="43"/>
        <v>2024</v>
      </c>
      <c r="W808">
        <f t="shared" si="44"/>
        <v>6</v>
      </c>
      <c r="X808" t="str">
        <f t="shared" si="45"/>
        <v>2024-6</v>
      </c>
    </row>
    <row r="809" spans="17:24" x14ac:dyDescent="0.3">
      <c r="Q809" t="s">
        <v>14</v>
      </c>
      <c r="R809" t="s">
        <v>144</v>
      </c>
      <c r="S809" t="s">
        <v>404</v>
      </c>
      <c r="T809">
        <v>33851</v>
      </c>
      <c r="U809">
        <v>6</v>
      </c>
      <c r="V809">
        <f t="shared" si="43"/>
        <v>2024</v>
      </c>
      <c r="W809">
        <f t="shared" si="44"/>
        <v>6</v>
      </c>
      <c r="X809" t="str">
        <f t="shared" si="45"/>
        <v>2024-6</v>
      </c>
    </row>
    <row r="810" spans="17:24" x14ac:dyDescent="0.3">
      <c r="Q810" t="s">
        <v>50</v>
      </c>
      <c r="R810" t="s">
        <v>305</v>
      </c>
      <c r="S810" t="s">
        <v>404</v>
      </c>
      <c r="T810">
        <v>72871</v>
      </c>
      <c r="U810">
        <v>5</v>
      </c>
      <c r="V810">
        <f t="shared" si="43"/>
        <v>2024</v>
      </c>
      <c r="W810">
        <f t="shared" si="44"/>
        <v>6</v>
      </c>
      <c r="X810" t="str">
        <f t="shared" si="45"/>
        <v>2024-6</v>
      </c>
    </row>
    <row r="811" spans="17:24" x14ac:dyDescent="0.3">
      <c r="Q811" t="s">
        <v>14</v>
      </c>
      <c r="R811" t="s">
        <v>107</v>
      </c>
      <c r="S811" t="s">
        <v>404</v>
      </c>
      <c r="T811">
        <v>38403</v>
      </c>
      <c r="U811">
        <v>6</v>
      </c>
      <c r="V811">
        <f t="shared" si="43"/>
        <v>2024</v>
      </c>
      <c r="W811">
        <f t="shared" si="44"/>
        <v>6</v>
      </c>
      <c r="X811" t="str">
        <f t="shared" si="45"/>
        <v>2024-6</v>
      </c>
    </row>
    <row r="812" spans="17:24" x14ac:dyDescent="0.3">
      <c r="Q812" t="s">
        <v>50</v>
      </c>
      <c r="R812" t="s">
        <v>105</v>
      </c>
      <c r="S812" t="s">
        <v>404</v>
      </c>
      <c r="T812">
        <v>61534</v>
      </c>
      <c r="U812">
        <v>2</v>
      </c>
      <c r="V812">
        <f t="shared" si="43"/>
        <v>2024</v>
      </c>
      <c r="W812">
        <f t="shared" si="44"/>
        <v>6</v>
      </c>
      <c r="X812" t="str">
        <f t="shared" si="45"/>
        <v>2024-6</v>
      </c>
    </row>
    <row r="813" spans="17:24" x14ac:dyDescent="0.3">
      <c r="Q813" t="s">
        <v>28</v>
      </c>
      <c r="R813" t="s">
        <v>388</v>
      </c>
      <c r="S813" t="s">
        <v>404</v>
      </c>
      <c r="T813">
        <v>75173</v>
      </c>
      <c r="U813">
        <v>7</v>
      </c>
      <c r="V813">
        <f t="shared" si="43"/>
        <v>2024</v>
      </c>
      <c r="W813">
        <f t="shared" si="44"/>
        <v>6</v>
      </c>
      <c r="X813" t="str">
        <f t="shared" si="45"/>
        <v>2024-6</v>
      </c>
    </row>
    <row r="814" spans="17:24" x14ac:dyDescent="0.3">
      <c r="Q814" t="s">
        <v>40</v>
      </c>
      <c r="R814" t="s">
        <v>315</v>
      </c>
      <c r="S814" t="s">
        <v>405</v>
      </c>
      <c r="T814">
        <v>60736</v>
      </c>
      <c r="U814">
        <v>4</v>
      </c>
      <c r="V814">
        <f t="shared" si="43"/>
        <v>2024</v>
      </c>
      <c r="W814">
        <f t="shared" si="44"/>
        <v>6</v>
      </c>
      <c r="X814" t="str">
        <f t="shared" si="45"/>
        <v>2024-6</v>
      </c>
    </row>
    <row r="815" spans="17:24" x14ac:dyDescent="0.3">
      <c r="Q815" t="s">
        <v>5</v>
      </c>
      <c r="R815" t="s">
        <v>112</v>
      </c>
      <c r="S815" t="s">
        <v>405</v>
      </c>
      <c r="T815">
        <v>12324</v>
      </c>
      <c r="U815">
        <v>3</v>
      </c>
      <c r="V815">
        <f t="shared" si="43"/>
        <v>2024</v>
      </c>
      <c r="W815">
        <f t="shared" si="44"/>
        <v>6</v>
      </c>
      <c r="X815" t="str">
        <f t="shared" si="45"/>
        <v>2024-6</v>
      </c>
    </row>
    <row r="816" spans="17:24" x14ac:dyDescent="0.3">
      <c r="Q816" t="s">
        <v>14</v>
      </c>
      <c r="R816" t="s">
        <v>235</v>
      </c>
      <c r="S816" t="s">
        <v>405</v>
      </c>
      <c r="T816">
        <v>37200</v>
      </c>
      <c r="U816">
        <v>1</v>
      </c>
      <c r="V816">
        <f t="shared" si="43"/>
        <v>2024</v>
      </c>
      <c r="W816">
        <f t="shared" si="44"/>
        <v>6</v>
      </c>
      <c r="X816" t="str">
        <f t="shared" si="45"/>
        <v>2024-6</v>
      </c>
    </row>
    <row r="817" spans="17:24" x14ac:dyDescent="0.3">
      <c r="Q817" t="s">
        <v>50</v>
      </c>
      <c r="R817" t="s">
        <v>36</v>
      </c>
      <c r="S817" t="s">
        <v>405</v>
      </c>
      <c r="T817">
        <v>81037</v>
      </c>
      <c r="U817">
        <v>6</v>
      </c>
      <c r="V817">
        <f t="shared" si="43"/>
        <v>2024</v>
      </c>
      <c r="W817">
        <f t="shared" si="44"/>
        <v>6</v>
      </c>
      <c r="X817" t="str">
        <f t="shared" si="45"/>
        <v>2024-6</v>
      </c>
    </row>
    <row r="818" spans="17:24" x14ac:dyDescent="0.3">
      <c r="Q818" t="s">
        <v>5</v>
      </c>
      <c r="R818" t="s">
        <v>95</v>
      </c>
      <c r="S818" t="s">
        <v>406</v>
      </c>
      <c r="T818">
        <v>68364</v>
      </c>
      <c r="U818">
        <v>10</v>
      </c>
      <c r="V818">
        <f t="shared" si="43"/>
        <v>2024</v>
      </c>
      <c r="W818">
        <f t="shared" si="44"/>
        <v>6</v>
      </c>
      <c r="X818" t="str">
        <f t="shared" si="45"/>
        <v>2024-6</v>
      </c>
    </row>
    <row r="819" spans="17:24" x14ac:dyDescent="0.3">
      <c r="Q819" t="s">
        <v>18</v>
      </c>
      <c r="R819" t="s">
        <v>193</v>
      </c>
      <c r="S819" t="s">
        <v>406</v>
      </c>
      <c r="T819">
        <v>51480</v>
      </c>
      <c r="U819">
        <v>7</v>
      </c>
      <c r="V819">
        <f t="shared" si="43"/>
        <v>2024</v>
      </c>
      <c r="W819">
        <f t="shared" si="44"/>
        <v>6</v>
      </c>
      <c r="X819" t="str">
        <f t="shared" si="45"/>
        <v>2024-6</v>
      </c>
    </row>
    <row r="820" spans="17:24" x14ac:dyDescent="0.3">
      <c r="Q820" t="s">
        <v>18</v>
      </c>
      <c r="R820" t="s">
        <v>74</v>
      </c>
      <c r="S820" t="s">
        <v>406</v>
      </c>
      <c r="T820">
        <v>42338</v>
      </c>
      <c r="U820">
        <v>10</v>
      </c>
      <c r="V820">
        <f t="shared" si="43"/>
        <v>2024</v>
      </c>
      <c r="W820">
        <f t="shared" si="44"/>
        <v>6</v>
      </c>
      <c r="X820" t="str">
        <f t="shared" si="45"/>
        <v>2024-6</v>
      </c>
    </row>
    <row r="821" spans="17:24" x14ac:dyDescent="0.3">
      <c r="Q821" t="s">
        <v>12</v>
      </c>
      <c r="R821" t="s">
        <v>52</v>
      </c>
      <c r="S821" t="s">
        <v>406</v>
      </c>
      <c r="T821">
        <v>99197</v>
      </c>
      <c r="U821">
        <v>6</v>
      </c>
      <c r="V821">
        <f t="shared" si="43"/>
        <v>2024</v>
      </c>
      <c r="W821">
        <f t="shared" si="44"/>
        <v>6</v>
      </c>
      <c r="X821" t="str">
        <f t="shared" si="45"/>
        <v>2024-6</v>
      </c>
    </row>
    <row r="822" spans="17:24" x14ac:dyDescent="0.3">
      <c r="Q822" t="s">
        <v>21</v>
      </c>
      <c r="R822" t="s">
        <v>78</v>
      </c>
      <c r="S822" t="s">
        <v>407</v>
      </c>
      <c r="T822">
        <v>11822</v>
      </c>
      <c r="U822">
        <v>7</v>
      </c>
      <c r="V822">
        <f t="shared" si="43"/>
        <v>2024</v>
      </c>
      <c r="W822">
        <f t="shared" si="44"/>
        <v>6</v>
      </c>
      <c r="X822" t="str">
        <f t="shared" si="45"/>
        <v>2024-6</v>
      </c>
    </row>
    <row r="823" spans="17:24" x14ac:dyDescent="0.3">
      <c r="Q823" t="s">
        <v>8</v>
      </c>
      <c r="R823" t="s">
        <v>222</v>
      </c>
      <c r="S823" t="s">
        <v>407</v>
      </c>
      <c r="T823">
        <v>53116</v>
      </c>
      <c r="U823">
        <v>6</v>
      </c>
      <c r="V823">
        <f t="shared" si="43"/>
        <v>2024</v>
      </c>
      <c r="W823">
        <f t="shared" si="44"/>
        <v>6</v>
      </c>
      <c r="X823" t="str">
        <f t="shared" si="45"/>
        <v>2024-6</v>
      </c>
    </row>
    <row r="824" spans="17:24" x14ac:dyDescent="0.3">
      <c r="Q824" t="s">
        <v>14</v>
      </c>
      <c r="R824" t="s">
        <v>84</v>
      </c>
      <c r="S824" t="s">
        <v>408</v>
      </c>
      <c r="T824">
        <v>25018</v>
      </c>
      <c r="U824">
        <v>8</v>
      </c>
      <c r="V824">
        <f t="shared" si="43"/>
        <v>2024</v>
      </c>
      <c r="W824">
        <f t="shared" si="44"/>
        <v>6</v>
      </c>
      <c r="X824" t="str">
        <f t="shared" si="45"/>
        <v>2024-6</v>
      </c>
    </row>
    <row r="825" spans="17:24" x14ac:dyDescent="0.3">
      <c r="Q825" t="s">
        <v>47</v>
      </c>
      <c r="R825" t="s">
        <v>35</v>
      </c>
      <c r="S825" t="s">
        <v>408</v>
      </c>
      <c r="T825">
        <v>44982</v>
      </c>
      <c r="U825">
        <v>3</v>
      </c>
      <c r="V825">
        <f t="shared" si="43"/>
        <v>2024</v>
      </c>
      <c r="W825">
        <f t="shared" si="44"/>
        <v>6</v>
      </c>
      <c r="X825" t="str">
        <f t="shared" si="45"/>
        <v>2024-6</v>
      </c>
    </row>
    <row r="826" spans="17:24" x14ac:dyDescent="0.3">
      <c r="Q826" t="s">
        <v>47</v>
      </c>
      <c r="R826" t="s">
        <v>70</v>
      </c>
      <c r="S826" t="s">
        <v>409</v>
      </c>
      <c r="T826">
        <v>60278</v>
      </c>
      <c r="U826">
        <v>7</v>
      </c>
      <c r="V826">
        <f t="shared" si="43"/>
        <v>2024</v>
      </c>
      <c r="W826">
        <f t="shared" si="44"/>
        <v>6</v>
      </c>
      <c r="X826" t="str">
        <f t="shared" si="45"/>
        <v>2024-6</v>
      </c>
    </row>
    <row r="827" spans="17:24" x14ac:dyDescent="0.3">
      <c r="Q827" t="s">
        <v>8</v>
      </c>
      <c r="R827" t="s">
        <v>48</v>
      </c>
      <c r="S827" t="s">
        <v>409</v>
      </c>
      <c r="T827">
        <v>23742</v>
      </c>
      <c r="U827">
        <v>2</v>
      </c>
      <c r="V827">
        <f t="shared" si="43"/>
        <v>2024</v>
      </c>
      <c r="W827">
        <f t="shared" si="44"/>
        <v>6</v>
      </c>
      <c r="X827" t="str">
        <f t="shared" si="45"/>
        <v>2024-6</v>
      </c>
    </row>
    <row r="828" spans="17:24" x14ac:dyDescent="0.3">
      <c r="Q828" t="s">
        <v>28</v>
      </c>
      <c r="R828" t="s">
        <v>107</v>
      </c>
      <c r="S828" t="s">
        <v>409</v>
      </c>
      <c r="T828">
        <v>42143</v>
      </c>
      <c r="U828">
        <v>6</v>
      </c>
      <c r="V828">
        <f t="shared" si="43"/>
        <v>2024</v>
      </c>
      <c r="W828">
        <f t="shared" si="44"/>
        <v>6</v>
      </c>
      <c r="X828" t="str">
        <f t="shared" si="45"/>
        <v>2024-6</v>
      </c>
    </row>
    <row r="829" spans="17:24" x14ac:dyDescent="0.3">
      <c r="Q829" t="s">
        <v>45</v>
      </c>
      <c r="R829" t="s">
        <v>141</v>
      </c>
      <c r="S829" t="s">
        <v>409</v>
      </c>
      <c r="T829">
        <v>82247</v>
      </c>
      <c r="U829">
        <v>8</v>
      </c>
      <c r="V829">
        <f t="shared" si="43"/>
        <v>2024</v>
      </c>
      <c r="W829">
        <f t="shared" si="44"/>
        <v>6</v>
      </c>
      <c r="X829" t="str">
        <f t="shared" si="45"/>
        <v>2024-6</v>
      </c>
    </row>
    <row r="830" spans="17:24" x14ac:dyDescent="0.3">
      <c r="Q830" t="s">
        <v>40</v>
      </c>
      <c r="R830" t="s">
        <v>137</v>
      </c>
      <c r="S830" t="s">
        <v>409</v>
      </c>
      <c r="T830">
        <v>97491</v>
      </c>
      <c r="U830">
        <v>7</v>
      </c>
      <c r="V830">
        <f t="shared" si="43"/>
        <v>2024</v>
      </c>
      <c r="W830">
        <f t="shared" si="44"/>
        <v>6</v>
      </c>
      <c r="X830" t="str">
        <f t="shared" si="45"/>
        <v>2024-6</v>
      </c>
    </row>
    <row r="831" spans="17:24" x14ac:dyDescent="0.3">
      <c r="Q831" t="s">
        <v>45</v>
      </c>
      <c r="R831" t="s">
        <v>297</v>
      </c>
      <c r="S831" t="s">
        <v>409</v>
      </c>
      <c r="T831">
        <v>53612</v>
      </c>
      <c r="U831">
        <v>6</v>
      </c>
      <c r="V831">
        <f t="shared" si="43"/>
        <v>2024</v>
      </c>
      <c r="W831">
        <f t="shared" si="44"/>
        <v>6</v>
      </c>
      <c r="X831" t="str">
        <f t="shared" si="45"/>
        <v>2024-6</v>
      </c>
    </row>
    <row r="832" spans="17:24" x14ac:dyDescent="0.3">
      <c r="Q832" t="s">
        <v>10</v>
      </c>
      <c r="R832" t="s">
        <v>387</v>
      </c>
      <c r="S832" t="s">
        <v>409</v>
      </c>
      <c r="T832">
        <v>17103</v>
      </c>
      <c r="U832">
        <v>7</v>
      </c>
      <c r="V832">
        <f t="shared" si="43"/>
        <v>2024</v>
      </c>
      <c r="W832">
        <f t="shared" si="44"/>
        <v>6</v>
      </c>
      <c r="X832" t="str">
        <f t="shared" si="45"/>
        <v>2024-6</v>
      </c>
    </row>
    <row r="833" spans="17:24" x14ac:dyDescent="0.3">
      <c r="Q833" t="s">
        <v>10</v>
      </c>
      <c r="R833" t="s">
        <v>138</v>
      </c>
      <c r="S833" t="s">
        <v>409</v>
      </c>
      <c r="T833">
        <v>61247</v>
      </c>
      <c r="U833">
        <v>5</v>
      </c>
      <c r="V833">
        <f t="shared" si="43"/>
        <v>2024</v>
      </c>
      <c r="W833">
        <f t="shared" si="44"/>
        <v>6</v>
      </c>
      <c r="X833" t="str">
        <f t="shared" si="45"/>
        <v>2024-6</v>
      </c>
    </row>
    <row r="834" spans="17:24" x14ac:dyDescent="0.3">
      <c r="Q834" t="s">
        <v>8</v>
      </c>
      <c r="R834" t="s">
        <v>36</v>
      </c>
      <c r="S834" t="s">
        <v>409</v>
      </c>
      <c r="T834">
        <v>97727</v>
      </c>
      <c r="U834">
        <v>0</v>
      </c>
      <c r="V834">
        <f t="shared" si="43"/>
        <v>2024</v>
      </c>
      <c r="W834">
        <f t="shared" si="44"/>
        <v>6</v>
      </c>
      <c r="X834" t="str">
        <f t="shared" si="45"/>
        <v>2024-6</v>
      </c>
    </row>
    <row r="835" spans="17:24" x14ac:dyDescent="0.3">
      <c r="Q835" t="s">
        <v>10</v>
      </c>
      <c r="R835" t="s">
        <v>34</v>
      </c>
      <c r="S835" t="s">
        <v>409</v>
      </c>
      <c r="T835">
        <v>83467</v>
      </c>
      <c r="U835">
        <v>3</v>
      </c>
      <c r="V835">
        <f t="shared" ref="V835:V898" si="46">YEAR(S835)</f>
        <v>2024</v>
      </c>
      <c r="W835">
        <f t="shared" ref="W835:W898" si="47">MONTH(S835)</f>
        <v>6</v>
      </c>
      <c r="X835" t="str">
        <f t="shared" ref="X835:X898" si="48">V835&amp;"-"&amp;W835</f>
        <v>2024-6</v>
      </c>
    </row>
    <row r="836" spans="17:24" x14ac:dyDescent="0.3">
      <c r="Q836" t="s">
        <v>40</v>
      </c>
      <c r="R836" t="s">
        <v>115</v>
      </c>
      <c r="S836" t="s">
        <v>409</v>
      </c>
      <c r="T836">
        <v>17566</v>
      </c>
      <c r="U836">
        <v>7</v>
      </c>
      <c r="V836">
        <f t="shared" si="46"/>
        <v>2024</v>
      </c>
      <c r="W836">
        <f t="shared" si="47"/>
        <v>6</v>
      </c>
      <c r="X836" t="str">
        <f t="shared" si="48"/>
        <v>2024-6</v>
      </c>
    </row>
    <row r="837" spans="17:24" x14ac:dyDescent="0.3">
      <c r="Q837" t="s">
        <v>8</v>
      </c>
      <c r="R837" t="s">
        <v>49</v>
      </c>
      <c r="S837" t="s">
        <v>409</v>
      </c>
      <c r="T837">
        <v>86868</v>
      </c>
      <c r="U837">
        <v>2</v>
      </c>
      <c r="V837">
        <f t="shared" si="46"/>
        <v>2024</v>
      </c>
      <c r="W837">
        <f t="shared" si="47"/>
        <v>6</v>
      </c>
      <c r="X837" t="str">
        <f t="shared" si="48"/>
        <v>2024-6</v>
      </c>
    </row>
    <row r="838" spans="17:24" x14ac:dyDescent="0.3">
      <c r="Q838" t="s">
        <v>40</v>
      </c>
      <c r="R838" t="s">
        <v>251</v>
      </c>
      <c r="S838" t="s">
        <v>410</v>
      </c>
      <c r="T838">
        <v>37391</v>
      </c>
      <c r="U838">
        <v>7</v>
      </c>
      <c r="V838">
        <f t="shared" si="46"/>
        <v>2024</v>
      </c>
      <c r="W838">
        <f t="shared" si="47"/>
        <v>6</v>
      </c>
      <c r="X838" t="str">
        <f t="shared" si="48"/>
        <v>2024-6</v>
      </c>
    </row>
    <row r="839" spans="17:24" x14ac:dyDescent="0.3">
      <c r="Q839" t="s">
        <v>50</v>
      </c>
      <c r="R839" t="s">
        <v>70</v>
      </c>
      <c r="S839" t="s">
        <v>411</v>
      </c>
      <c r="T839">
        <v>78593</v>
      </c>
      <c r="U839">
        <v>3</v>
      </c>
      <c r="V839">
        <f t="shared" si="46"/>
        <v>2024</v>
      </c>
      <c r="W839">
        <f t="shared" si="47"/>
        <v>6</v>
      </c>
      <c r="X839" t="str">
        <f t="shared" si="48"/>
        <v>2024-6</v>
      </c>
    </row>
    <row r="840" spans="17:24" x14ac:dyDescent="0.3">
      <c r="Q840" t="s">
        <v>10</v>
      </c>
      <c r="R840" t="s">
        <v>235</v>
      </c>
      <c r="S840" t="s">
        <v>411</v>
      </c>
      <c r="T840">
        <v>70220</v>
      </c>
      <c r="U840">
        <v>7</v>
      </c>
      <c r="V840">
        <f t="shared" si="46"/>
        <v>2024</v>
      </c>
      <c r="W840">
        <f t="shared" si="47"/>
        <v>6</v>
      </c>
      <c r="X840" t="str">
        <f t="shared" si="48"/>
        <v>2024-6</v>
      </c>
    </row>
    <row r="841" spans="17:24" x14ac:dyDescent="0.3">
      <c r="Q841" t="s">
        <v>50</v>
      </c>
      <c r="R841" t="s">
        <v>412</v>
      </c>
      <c r="S841" t="s">
        <v>411</v>
      </c>
      <c r="T841">
        <v>27794</v>
      </c>
      <c r="U841">
        <v>6</v>
      </c>
      <c r="V841">
        <f t="shared" si="46"/>
        <v>2024</v>
      </c>
      <c r="W841">
        <f t="shared" si="47"/>
        <v>6</v>
      </c>
      <c r="X841" t="str">
        <f t="shared" si="48"/>
        <v>2024-6</v>
      </c>
    </row>
    <row r="842" spans="17:24" x14ac:dyDescent="0.3">
      <c r="Q842" t="s">
        <v>28</v>
      </c>
      <c r="R842" t="s">
        <v>162</v>
      </c>
      <c r="S842" t="s">
        <v>413</v>
      </c>
      <c r="T842">
        <v>19235</v>
      </c>
      <c r="U842">
        <v>8</v>
      </c>
      <c r="V842">
        <f t="shared" si="46"/>
        <v>2024</v>
      </c>
      <c r="W842">
        <f t="shared" si="47"/>
        <v>6</v>
      </c>
      <c r="X842" t="str">
        <f t="shared" si="48"/>
        <v>2024-6</v>
      </c>
    </row>
    <row r="843" spans="17:24" x14ac:dyDescent="0.3">
      <c r="Q843" t="s">
        <v>50</v>
      </c>
      <c r="R843" t="s">
        <v>54</v>
      </c>
      <c r="S843" t="s">
        <v>413</v>
      </c>
      <c r="T843">
        <v>48578</v>
      </c>
      <c r="U843">
        <v>9</v>
      </c>
      <c r="V843">
        <f t="shared" si="46"/>
        <v>2024</v>
      </c>
      <c r="W843">
        <f t="shared" si="47"/>
        <v>6</v>
      </c>
      <c r="X843" t="str">
        <f t="shared" si="48"/>
        <v>2024-6</v>
      </c>
    </row>
    <row r="844" spans="17:24" x14ac:dyDescent="0.3">
      <c r="Q844" t="s">
        <v>14</v>
      </c>
      <c r="R844" t="s">
        <v>364</v>
      </c>
      <c r="S844" t="s">
        <v>414</v>
      </c>
      <c r="T844">
        <v>14111</v>
      </c>
      <c r="U844">
        <v>5</v>
      </c>
      <c r="V844">
        <f t="shared" si="46"/>
        <v>2024</v>
      </c>
      <c r="W844">
        <f t="shared" si="47"/>
        <v>6</v>
      </c>
      <c r="X844" t="str">
        <f t="shared" si="48"/>
        <v>2024-6</v>
      </c>
    </row>
    <row r="845" spans="17:24" x14ac:dyDescent="0.3">
      <c r="Q845" t="s">
        <v>45</v>
      </c>
      <c r="R845" t="s">
        <v>149</v>
      </c>
      <c r="S845" t="s">
        <v>414</v>
      </c>
      <c r="T845">
        <v>25259</v>
      </c>
      <c r="U845">
        <v>4</v>
      </c>
      <c r="V845">
        <f t="shared" si="46"/>
        <v>2024</v>
      </c>
      <c r="W845">
        <f t="shared" si="47"/>
        <v>6</v>
      </c>
      <c r="X845" t="str">
        <f t="shared" si="48"/>
        <v>2024-6</v>
      </c>
    </row>
    <row r="846" spans="17:24" x14ac:dyDescent="0.3">
      <c r="Q846" t="s">
        <v>5</v>
      </c>
      <c r="R846" t="s">
        <v>222</v>
      </c>
      <c r="S846" t="s">
        <v>414</v>
      </c>
      <c r="T846">
        <v>54289</v>
      </c>
      <c r="U846">
        <v>3</v>
      </c>
      <c r="V846">
        <f t="shared" si="46"/>
        <v>2024</v>
      </c>
      <c r="W846">
        <f t="shared" si="47"/>
        <v>6</v>
      </c>
      <c r="X846" t="str">
        <f t="shared" si="48"/>
        <v>2024-6</v>
      </c>
    </row>
    <row r="847" spans="17:24" x14ac:dyDescent="0.3">
      <c r="Q847" t="s">
        <v>14</v>
      </c>
      <c r="R847" t="s">
        <v>284</v>
      </c>
      <c r="S847" t="s">
        <v>415</v>
      </c>
      <c r="T847">
        <v>19827</v>
      </c>
      <c r="U847">
        <v>8</v>
      </c>
      <c r="V847">
        <f t="shared" si="46"/>
        <v>2024</v>
      </c>
      <c r="W847">
        <f t="shared" si="47"/>
        <v>7</v>
      </c>
      <c r="X847" t="str">
        <f t="shared" si="48"/>
        <v>2024-7</v>
      </c>
    </row>
    <row r="848" spans="17:24" x14ac:dyDescent="0.3">
      <c r="Q848" t="s">
        <v>18</v>
      </c>
      <c r="R848" t="s">
        <v>197</v>
      </c>
      <c r="S848" t="s">
        <v>415</v>
      </c>
      <c r="T848">
        <v>68231</v>
      </c>
      <c r="U848">
        <v>7</v>
      </c>
      <c r="V848">
        <f t="shared" si="46"/>
        <v>2024</v>
      </c>
      <c r="W848">
        <f t="shared" si="47"/>
        <v>7</v>
      </c>
      <c r="X848" t="str">
        <f t="shared" si="48"/>
        <v>2024-7</v>
      </c>
    </row>
    <row r="849" spans="17:24" x14ac:dyDescent="0.3">
      <c r="Q849" t="s">
        <v>45</v>
      </c>
      <c r="R849" t="s">
        <v>154</v>
      </c>
      <c r="S849" t="s">
        <v>415</v>
      </c>
      <c r="T849">
        <v>88866</v>
      </c>
      <c r="U849">
        <v>7</v>
      </c>
      <c r="V849">
        <f t="shared" si="46"/>
        <v>2024</v>
      </c>
      <c r="W849">
        <f t="shared" si="47"/>
        <v>7</v>
      </c>
      <c r="X849" t="str">
        <f t="shared" si="48"/>
        <v>2024-7</v>
      </c>
    </row>
    <row r="850" spans="17:24" x14ac:dyDescent="0.3">
      <c r="Q850" t="s">
        <v>45</v>
      </c>
      <c r="R850" t="s">
        <v>194</v>
      </c>
      <c r="S850" t="s">
        <v>415</v>
      </c>
      <c r="T850">
        <v>86038</v>
      </c>
      <c r="U850">
        <v>9</v>
      </c>
      <c r="V850">
        <f t="shared" si="46"/>
        <v>2024</v>
      </c>
      <c r="W850">
        <f t="shared" si="47"/>
        <v>7</v>
      </c>
      <c r="X850" t="str">
        <f t="shared" si="48"/>
        <v>2024-7</v>
      </c>
    </row>
    <row r="851" spans="17:24" x14ac:dyDescent="0.3">
      <c r="Q851" t="s">
        <v>50</v>
      </c>
      <c r="R851" t="s">
        <v>268</v>
      </c>
      <c r="S851" t="s">
        <v>415</v>
      </c>
      <c r="T851">
        <v>64908</v>
      </c>
      <c r="U851">
        <v>5</v>
      </c>
      <c r="V851">
        <f t="shared" si="46"/>
        <v>2024</v>
      </c>
      <c r="W851">
        <f t="shared" si="47"/>
        <v>7</v>
      </c>
      <c r="X851" t="str">
        <f t="shared" si="48"/>
        <v>2024-7</v>
      </c>
    </row>
    <row r="852" spans="17:24" x14ac:dyDescent="0.3">
      <c r="Q852" t="s">
        <v>40</v>
      </c>
      <c r="R852" t="s">
        <v>166</v>
      </c>
      <c r="S852" t="s">
        <v>415</v>
      </c>
      <c r="T852">
        <v>47004</v>
      </c>
      <c r="U852">
        <v>7</v>
      </c>
      <c r="V852">
        <f t="shared" si="46"/>
        <v>2024</v>
      </c>
      <c r="W852">
        <f t="shared" si="47"/>
        <v>7</v>
      </c>
      <c r="X852" t="str">
        <f t="shared" si="48"/>
        <v>2024-7</v>
      </c>
    </row>
    <row r="853" spans="17:24" x14ac:dyDescent="0.3">
      <c r="Q853" t="s">
        <v>8</v>
      </c>
      <c r="R853" t="s">
        <v>247</v>
      </c>
      <c r="S853" t="s">
        <v>415</v>
      </c>
      <c r="T853">
        <v>99434</v>
      </c>
      <c r="U853">
        <v>4</v>
      </c>
      <c r="V853">
        <f t="shared" si="46"/>
        <v>2024</v>
      </c>
      <c r="W853">
        <f t="shared" si="47"/>
        <v>7</v>
      </c>
      <c r="X853" t="str">
        <f t="shared" si="48"/>
        <v>2024-7</v>
      </c>
    </row>
    <row r="854" spans="17:24" x14ac:dyDescent="0.3">
      <c r="Q854" t="s">
        <v>50</v>
      </c>
      <c r="R854" t="s">
        <v>124</v>
      </c>
      <c r="S854" t="s">
        <v>416</v>
      </c>
      <c r="T854">
        <v>69841</v>
      </c>
      <c r="U854">
        <v>8</v>
      </c>
      <c r="V854">
        <f t="shared" si="46"/>
        <v>2024</v>
      </c>
      <c r="W854">
        <f t="shared" si="47"/>
        <v>7</v>
      </c>
      <c r="X854" t="str">
        <f t="shared" si="48"/>
        <v>2024-7</v>
      </c>
    </row>
    <row r="855" spans="17:24" x14ac:dyDescent="0.3">
      <c r="Q855" t="s">
        <v>28</v>
      </c>
      <c r="R855" t="s">
        <v>32</v>
      </c>
      <c r="S855" t="s">
        <v>416</v>
      </c>
      <c r="T855">
        <v>47465</v>
      </c>
      <c r="U855">
        <v>5</v>
      </c>
      <c r="V855">
        <f t="shared" si="46"/>
        <v>2024</v>
      </c>
      <c r="W855">
        <f t="shared" si="47"/>
        <v>7</v>
      </c>
      <c r="X855" t="str">
        <f t="shared" si="48"/>
        <v>2024-7</v>
      </c>
    </row>
    <row r="856" spans="17:24" x14ac:dyDescent="0.3">
      <c r="Q856" t="s">
        <v>5</v>
      </c>
      <c r="R856" t="s">
        <v>34</v>
      </c>
      <c r="S856" t="s">
        <v>416</v>
      </c>
      <c r="T856">
        <v>68281</v>
      </c>
      <c r="U856">
        <v>10</v>
      </c>
      <c r="V856">
        <f t="shared" si="46"/>
        <v>2024</v>
      </c>
      <c r="W856">
        <f t="shared" si="47"/>
        <v>7</v>
      </c>
      <c r="X856" t="str">
        <f t="shared" si="48"/>
        <v>2024-7</v>
      </c>
    </row>
    <row r="857" spans="17:24" x14ac:dyDescent="0.3">
      <c r="Q857" t="s">
        <v>5</v>
      </c>
      <c r="R857" t="s">
        <v>169</v>
      </c>
      <c r="S857" t="s">
        <v>417</v>
      </c>
      <c r="T857">
        <v>53868</v>
      </c>
      <c r="U857">
        <v>4</v>
      </c>
      <c r="V857">
        <f t="shared" si="46"/>
        <v>2024</v>
      </c>
      <c r="W857">
        <f t="shared" si="47"/>
        <v>7</v>
      </c>
      <c r="X857" t="str">
        <f t="shared" si="48"/>
        <v>2024-7</v>
      </c>
    </row>
    <row r="858" spans="17:24" x14ac:dyDescent="0.3">
      <c r="Q858" t="s">
        <v>12</v>
      </c>
      <c r="R858" t="s">
        <v>270</v>
      </c>
      <c r="S858" t="s">
        <v>417</v>
      </c>
      <c r="T858">
        <v>40835</v>
      </c>
      <c r="U858">
        <v>1</v>
      </c>
      <c r="V858">
        <f t="shared" si="46"/>
        <v>2024</v>
      </c>
      <c r="W858">
        <f t="shared" si="47"/>
        <v>7</v>
      </c>
      <c r="X858" t="str">
        <f t="shared" si="48"/>
        <v>2024-7</v>
      </c>
    </row>
    <row r="859" spans="17:24" x14ac:dyDescent="0.3">
      <c r="Q859" t="s">
        <v>10</v>
      </c>
      <c r="R859" t="s">
        <v>69</v>
      </c>
      <c r="S859" t="s">
        <v>418</v>
      </c>
      <c r="T859">
        <v>87835</v>
      </c>
      <c r="U859">
        <v>9</v>
      </c>
      <c r="V859">
        <f t="shared" si="46"/>
        <v>2024</v>
      </c>
      <c r="W859">
        <f t="shared" si="47"/>
        <v>7</v>
      </c>
      <c r="X859" t="str">
        <f t="shared" si="48"/>
        <v>2024-7</v>
      </c>
    </row>
    <row r="860" spans="17:24" x14ac:dyDescent="0.3">
      <c r="Q860" t="s">
        <v>8</v>
      </c>
      <c r="R860" t="s">
        <v>193</v>
      </c>
      <c r="S860" t="s">
        <v>418</v>
      </c>
      <c r="T860">
        <v>70317</v>
      </c>
      <c r="U860">
        <v>10</v>
      </c>
      <c r="V860">
        <f t="shared" si="46"/>
        <v>2024</v>
      </c>
      <c r="W860">
        <f t="shared" si="47"/>
        <v>7</v>
      </c>
      <c r="X860" t="str">
        <f t="shared" si="48"/>
        <v>2024-7</v>
      </c>
    </row>
    <row r="861" spans="17:24" x14ac:dyDescent="0.3">
      <c r="Q861" t="s">
        <v>40</v>
      </c>
      <c r="R861" t="s">
        <v>163</v>
      </c>
      <c r="S861" t="s">
        <v>419</v>
      </c>
      <c r="T861">
        <v>12943</v>
      </c>
      <c r="U861">
        <v>5</v>
      </c>
      <c r="V861">
        <f t="shared" si="46"/>
        <v>2024</v>
      </c>
      <c r="W861">
        <f t="shared" si="47"/>
        <v>7</v>
      </c>
      <c r="X861" t="str">
        <f t="shared" si="48"/>
        <v>2024-7</v>
      </c>
    </row>
    <row r="862" spans="17:24" x14ac:dyDescent="0.3">
      <c r="Q862" t="s">
        <v>40</v>
      </c>
      <c r="R862" t="s">
        <v>152</v>
      </c>
      <c r="S862" t="s">
        <v>419</v>
      </c>
      <c r="T862">
        <v>24566</v>
      </c>
      <c r="U862">
        <v>5</v>
      </c>
      <c r="V862">
        <f t="shared" si="46"/>
        <v>2024</v>
      </c>
      <c r="W862">
        <f t="shared" si="47"/>
        <v>7</v>
      </c>
      <c r="X862" t="str">
        <f t="shared" si="48"/>
        <v>2024-7</v>
      </c>
    </row>
    <row r="863" spans="17:24" x14ac:dyDescent="0.3">
      <c r="Q863" t="s">
        <v>12</v>
      </c>
      <c r="R863" t="s">
        <v>176</v>
      </c>
      <c r="S863" t="s">
        <v>419</v>
      </c>
      <c r="T863">
        <v>96582</v>
      </c>
      <c r="U863">
        <v>7</v>
      </c>
      <c r="V863">
        <f t="shared" si="46"/>
        <v>2024</v>
      </c>
      <c r="W863">
        <f t="shared" si="47"/>
        <v>7</v>
      </c>
      <c r="X863" t="str">
        <f t="shared" si="48"/>
        <v>2024-7</v>
      </c>
    </row>
    <row r="864" spans="17:24" x14ac:dyDescent="0.3">
      <c r="Q864" t="s">
        <v>47</v>
      </c>
      <c r="R864" t="s">
        <v>217</v>
      </c>
      <c r="S864" t="s">
        <v>419</v>
      </c>
      <c r="T864">
        <v>99765</v>
      </c>
      <c r="U864">
        <v>6</v>
      </c>
      <c r="V864">
        <f t="shared" si="46"/>
        <v>2024</v>
      </c>
      <c r="W864">
        <f t="shared" si="47"/>
        <v>7</v>
      </c>
      <c r="X864" t="str">
        <f t="shared" si="48"/>
        <v>2024-7</v>
      </c>
    </row>
    <row r="865" spans="17:24" x14ac:dyDescent="0.3">
      <c r="Q865" t="s">
        <v>10</v>
      </c>
      <c r="R865" t="s">
        <v>251</v>
      </c>
      <c r="S865" t="s">
        <v>419</v>
      </c>
      <c r="T865">
        <v>65631</v>
      </c>
      <c r="U865">
        <v>2</v>
      </c>
      <c r="V865">
        <f t="shared" si="46"/>
        <v>2024</v>
      </c>
      <c r="W865">
        <f t="shared" si="47"/>
        <v>7</v>
      </c>
      <c r="X865" t="str">
        <f t="shared" si="48"/>
        <v>2024-7</v>
      </c>
    </row>
    <row r="866" spans="17:24" x14ac:dyDescent="0.3">
      <c r="Q866" t="s">
        <v>50</v>
      </c>
      <c r="R866" t="s">
        <v>199</v>
      </c>
      <c r="S866" t="s">
        <v>419</v>
      </c>
      <c r="T866">
        <v>17497</v>
      </c>
      <c r="U866">
        <v>0</v>
      </c>
      <c r="V866">
        <f t="shared" si="46"/>
        <v>2024</v>
      </c>
      <c r="W866">
        <f t="shared" si="47"/>
        <v>7</v>
      </c>
      <c r="X866" t="str">
        <f t="shared" si="48"/>
        <v>2024-7</v>
      </c>
    </row>
    <row r="867" spans="17:24" x14ac:dyDescent="0.3">
      <c r="Q867" t="s">
        <v>14</v>
      </c>
      <c r="R867" t="s">
        <v>178</v>
      </c>
      <c r="S867" t="s">
        <v>420</v>
      </c>
      <c r="T867">
        <v>43358</v>
      </c>
      <c r="U867">
        <v>2</v>
      </c>
      <c r="V867">
        <f t="shared" si="46"/>
        <v>2024</v>
      </c>
      <c r="W867">
        <f t="shared" si="47"/>
        <v>7</v>
      </c>
      <c r="X867" t="str">
        <f t="shared" si="48"/>
        <v>2024-7</v>
      </c>
    </row>
    <row r="868" spans="17:24" x14ac:dyDescent="0.3">
      <c r="Q868" t="s">
        <v>28</v>
      </c>
      <c r="R868" t="s">
        <v>96</v>
      </c>
      <c r="S868" t="s">
        <v>420</v>
      </c>
      <c r="T868">
        <v>42619</v>
      </c>
      <c r="U868">
        <v>3</v>
      </c>
      <c r="V868">
        <f t="shared" si="46"/>
        <v>2024</v>
      </c>
      <c r="W868">
        <f t="shared" si="47"/>
        <v>7</v>
      </c>
      <c r="X868" t="str">
        <f t="shared" si="48"/>
        <v>2024-7</v>
      </c>
    </row>
    <row r="869" spans="17:24" x14ac:dyDescent="0.3">
      <c r="Q869" t="s">
        <v>10</v>
      </c>
      <c r="R869" t="s">
        <v>276</v>
      </c>
      <c r="S869" t="s">
        <v>420</v>
      </c>
      <c r="T869">
        <v>45757</v>
      </c>
      <c r="U869">
        <v>7</v>
      </c>
      <c r="V869">
        <f t="shared" si="46"/>
        <v>2024</v>
      </c>
      <c r="W869">
        <f t="shared" si="47"/>
        <v>7</v>
      </c>
      <c r="X869" t="str">
        <f t="shared" si="48"/>
        <v>2024-7</v>
      </c>
    </row>
    <row r="870" spans="17:24" x14ac:dyDescent="0.3">
      <c r="Q870" t="s">
        <v>21</v>
      </c>
      <c r="R870" t="s">
        <v>89</v>
      </c>
      <c r="S870" t="s">
        <v>420</v>
      </c>
      <c r="T870">
        <v>88519</v>
      </c>
      <c r="U870">
        <v>9</v>
      </c>
      <c r="V870">
        <f t="shared" si="46"/>
        <v>2024</v>
      </c>
      <c r="W870">
        <f t="shared" si="47"/>
        <v>7</v>
      </c>
      <c r="X870" t="str">
        <f t="shared" si="48"/>
        <v>2024-7</v>
      </c>
    </row>
    <row r="871" spans="17:24" x14ac:dyDescent="0.3">
      <c r="Q871" t="s">
        <v>45</v>
      </c>
      <c r="R871" t="s">
        <v>180</v>
      </c>
      <c r="S871" t="s">
        <v>421</v>
      </c>
      <c r="T871">
        <v>47909</v>
      </c>
      <c r="U871">
        <v>9</v>
      </c>
      <c r="V871">
        <f t="shared" si="46"/>
        <v>2024</v>
      </c>
      <c r="W871">
        <f t="shared" si="47"/>
        <v>7</v>
      </c>
      <c r="X871" t="str">
        <f t="shared" si="48"/>
        <v>2024-7</v>
      </c>
    </row>
    <row r="872" spans="17:24" x14ac:dyDescent="0.3">
      <c r="Q872" t="s">
        <v>28</v>
      </c>
      <c r="R872" t="s">
        <v>154</v>
      </c>
      <c r="S872" t="s">
        <v>421</v>
      </c>
      <c r="T872">
        <v>23077</v>
      </c>
      <c r="U872">
        <v>6</v>
      </c>
      <c r="V872">
        <f t="shared" si="46"/>
        <v>2024</v>
      </c>
      <c r="W872">
        <f t="shared" si="47"/>
        <v>7</v>
      </c>
      <c r="X872" t="str">
        <f t="shared" si="48"/>
        <v>2024-7</v>
      </c>
    </row>
    <row r="873" spans="17:24" x14ac:dyDescent="0.3">
      <c r="Q873" t="s">
        <v>21</v>
      </c>
      <c r="R873" t="s">
        <v>112</v>
      </c>
      <c r="S873" t="s">
        <v>422</v>
      </c>
      <c r="T873">
        <v>87643</v>
      </c>
      <c r="U873">
        <v>4</v>
      </c>
      <c r="V873">
        <f t="shared" si="46"/>
        <v>2024</v>
      </c>
      <c r="W873">
        <f t="shared" si="47"/>
        <v>7</v>
      </c>
      <c r="X873" t="str">
        <f t="shared" si="48"/>
        <v>2024-7</v>
      </c>
    </row>
    <row r="874" spans="17:24" x14ac:dyDescent="0.3">
      <c r="Q874" t="s">
        <v>40</v>
      </c>
      <c r="R874" t="s">
        <v>364</v>
      </c>
      <c r="S874" t="s">
        <v>423</v>
      </c>
      <c r="T874">
        <v>51319</v>
      </c>
      <c r="U874">
        <v>9</v>
      </c>
      <c r="V874">
        <f t="shared" si="46"/>
        <v>2024</v>
      </c>
      <c r="W874">
        <f t="shared" si="47"/>
        <v>7</v>
      </c>
      <c r="X874" t="str">
        <f t="shared" si="48"/>
        <v>2024-7</v>
      </c>
    </row>
    <row r="875" spans="17:24" x14ac:dyDescent="0.3">
      <c r="Q875" t="s">
        <v>14</v>
      </c>
      <c r="R875" t="s">
        <v>43</v>
      </c>
      <c r="S875" t="s">
        <v>424</v>
      </c>
      <c r="T875">
        <v>69935</v>
      </c>
      <c r="U875">
        <v>6</v>
      </c>
      <c r="V875">
        <f t="shared" si="46"/>
        <v>2024</v>
      </c>
      <c r="W875">
        <f t="shared" si="47"/>
        <v>7</v>
      </c>
      <c r="X875" t="str">
        <f t="shared" si="48"/>
        <v>2024-7</v>
      </c>
    </row>
    <row r="876" spans="17:24" x14ac:dyDescent="0.3">
      <c r="Q876" t="s">
        <v>5</v>
      </c>
      <c r="R876" t="s">
        <v>23</v>
      </c>
      <c r="S876" t="s">
        <v>424</v>
      </c>
      <c r="T876">
        <v>20669</v>
      </c>
      <c r="U876">
        <v>7</v>
      </c>
      <c r="V876">
        <f t="shared" si="46"/>
        <v>2024</v>
      </c>
      <c r="W876">
        <f t="shared" si="47"/>
        <v>7</v>
      </c>
      <c r="X876" t="str">
        <f t="shared" si="48"/>
        <v>2024-7</v>
      </c>
    </row>
    <row r="877" spans="17:24" x14ac:dyDescent="0.3">
      <c r="Q877" t="s">
        <v>18</v>
      </c>
      <c r="R877" t="s">
        <v>197</v>
      </c>
      <c r="S877" t="s">
        <v>424</v>
      </c>
      <c r="T877">
        <v>94901</v>
      </c>
      <c r="U877">
        <v>8</v>
      </c>
      <c r="V877">
        <f t="shared" si="46"/>
        <v>2024</v>
      </c>
      <c r="W877">
        <f t="shared" si="47"/>
        <v>7</v>
      </c>
      <c r="X877" t="str">
        <f t="shared" si="48"/>
        <v>2024-7</v>
      </c>
    </row>
    <row r="878" spans="17:24" x14ac:dyDescent="0.3">
      <c r="Q878" t="s">
        <v>45</v>
      </c>
      <c r="R878" t="s">
        <v>318</v>
      </c>
      <c r="S878" t="s">
        <v>424</v>
      </c>
      <c r="T878">
        <v>30214</v>
      </c>
      <c r="U878">
        <v>6</v>
      </c>
      <c r="V878">
        <f t="shared" si="46"/>
        <v>2024</v>
      </c>
      <c r="W878">
        <f t="shared" si="47"/>
        <v>7</v>
      </c>
      <c r="X878" t="str">
        <f t="shared" si="48"/>
        <v>2024-7</v>
      </c>
    </row>
    <row r="879" spans="17:24" x14ac:dyDescent="0.3">
      <c r="Q879" t="s">
        <v>5</v>
      </c>
      <c r="R879" t="s">
        <v>88</v>
      </c>
      <c r="S879" t="s">
        <v>424</v>
      </c>
      <c r="T879">
        <v>82856</v>
      </c>
      <c r="U879">
        <v>5</v>
      </c>
      <c r="V879">
        <f t="shared" si="46"/>
        <v>2024</v>
      </c>
      <c r="W879">
        <f t="shared" si="47"/>
        <v>7</v>
      </c>
      <c r="X879" t="str">
        <f t="shared" si="48"/>
        <v>2024-7</v>
      </c>
    </row>
    <row r="880" spans="17:24" x14ac:dyDescent="0.3">
      <c r="Q880" t="s">
        <v>21</v>
      </c>
      <c r="R880" t="s">
        <v>166</v>
      </c>
      <c r="S880" t="s">
        <v>424</v>
      </c>
      <c r="T880">
        <v>23841</v>
      </c>
      <c r="U880">
        <v>0</v>
      </c>
      <c r="V880">
        <f t="shared" si="46"/>
        <v>2024</v>
      </c>
      <c r="W880">
        <f t="shared" si="47"/>
        <v>7</v>
      </c>
      <c r="X880" t="str">
        <f t="shared" si="48"/>
        <v>2024-7</v>
      </c>
    </row>
    <row r="881" spans="17:24" x14ac:dyDescent="0.3">
      <c r="Q881" t="s">
        <v>40</v>
      </c>
      <c r="R881" t="s">
        <v>194</v>
      </c>
      <c r="S881" t="s">
        <v>424</v>
      </c>
      <c r="T881">
        <v>56630</v>
      </c>
      <c r="U881">
        <v>6</v>
      </c>
      <c r="V881">
        <f t="shared" si="46"/>
        <v>2024</v>
      </c>
      <c r="W881">
        <f t="shared" si="47"/>
        <v>7</v>
      </c>
      <c r="X881" t="str">
        <f t="shared" si="48"/>
        <v>2024-7</v>
      </c>
    </row>
    <row r="882" spans="17:24" x14ac:dyDescent="0.3">
      <c r="Q882" t="s">
        <v>14</v>
      </c>
      <c r="R882" t="s">
        <v>209</v>
      </c>
      <c r="S882" t="s">
        <v>424</v>
      </c>
      <c r="T882">
        <v>26760</v>
      </c>
      <c r="U882">
        <v>8</v>
      </c>
      <c r="V882">
        <f t="shared" si="46"/>
        <v>2024</v>
      </c>
      <c r="W882">
        <f t="shared" si="47"/>
        <v>7</v>
      </c>
      <c r="X882" t="str">
        <f t="shared" si="48"/>
        <v>2024-7</v>
      </c>
    </row>
    <row r="883" spans="17:24" x14ac:dyDescent="0.3">
      <c r="Q883" t="s">
        <v>8</v>
      </c>
      <c r="R883" t="s">
        <v>20</v>
      </c>
      <c r="S883" t="s">
        <v>424</v>
      </c>
      <c r="T883">
        <v>19460</v>
      </c>
      <c r="U883">
        <v>6</v>
      </c>
      <c r="V883">
        <f t="shared" si="46"/>
        <v>2024</v>
      </c>
      <c r="W883">
        <f t="shared" si="47"/>
        <v>7</v>
      </c>
      <c r="X883" t="str">
        <f t="shared" si="48"/>
        <v>2024-7</v>
      </c>
    </row>
    <row r="884" spans="17:24" x14ac:dyDescent="0.3">
      <c r="Q884" t="s">
        <v>10</v>
      </c>
      <c r="R884" t="s">
        <v>168</v>
      </c>
      <c r="S884" t="s">
        <v>425</v>
      </c>
      <c r="T884">
        <v>74845</v>
      </c>
      <c r="U884">
        <v>6</v>
      </c>
      <c r="V884">
        <f t="shared" si="46"/>
        <v>2024</v>
      </c>
      <c r="W884">
        <f t="shared" si="47"/>
        <v>7</v>
      </c>
      <c r="X884" t="str">
        <f t="shared" si="48"/>
        <v>2024-7</v>
      </c>
    </row>
    <row r="885" spans="17:24" x14ac:dyDescent="0.3">
      <c r="Q885" t="s">
        <v>45</v>
      </c>
      <c r="R885" t="s">
        <v>318</v>
      </c>
      <c r="S885" t="s">
        <v>426</v>
      </c>
      <c r="T885">
        <v>63641</v>
      </c>
      <c r="U885">
        <v>4</v>
      </c>
      <c r="V885">
        <f t="shared" si="46"/>
        <v>2024</v>
      </c>
      <c r="W885">
        <f t="shared" si="47"/>
        <v>7</v>
      </c>
      <c r="X885" t="str">
        <f t="shared" si="48"/>
        <v>2024-7</v>
      </c>
    </row>
    <row r="886" spans="17:24" x14ac:dyDescent="0.3">
      <c r="Q886" t="s">
        <v>14</v>
      </c>
      <c r="R886" t="s">
        <v>122</v>
      </c>
      <c r="S886" t="s">
        <v>426</v>
      </c>
      <c r="T886">
        <v>77926</v>
      </c>
      <c r="U886">
        <v>5</v>
      </c>
      <c r="V886">
        <f t="shared" si="46"/>
        <v>2024</v>
      </c>
      <c r="W886">
        <f t="shared" si="47"/>
        <v>7</v>
      </c>
      <c r="X886" t="str">
        <f t="shared" si="48"/>
        <v>2024-7</v>
      </c>
    </row>
    <row r="887" spans="17:24" x14ac:dyDescent="0.3">
      <c r="Q887" t="s">
        <v>45</v>
      </c>
      <c r="R887" t="s">
        <v>15</v>
      </c>
      <c r="S887" t="s">
        <v>427</v>
      </c>
      <c r="T887">
        <v>68638</v>
      </c>
      <c r="U887">
        <v>10</v>
      </c>
      <c r="V887">
        <f t="shared" si="46"/>
        <v>2024</v>
      </c>
      <c r="W887">
        <f t="shared" si="47"/>
        <v>7</v>
      </c>
      <c r="X887" t="str">
        <f t="shared" si="48"/>
        <v>2024-7</v>
      </c>
    </row>
    <row r="888" spans="17:24" x14ac:dyDescent="0.3">
      <c r="Q888" t="s">
        <v>21</v>
      </c>
      <c r="R888" t="s">
        <v>156</v>
      </c>
      <c r="S888" t="s">
        <v>427</v>
      </c>
      <c r="T888">
        <v>32669</v>
      </c>
      <c r="U888">
        <v>6</v>
      </c>
      <c r="V888">
        <f t="shared" si="46"/>
        <v>2024</v>
      </c>
      <c r="W888">
        <f t="shared" si="47"/>
        <v>7</v>
      </c>
      <c r="X888" t="str">
        <f t="shared" si="48"/>
        <v>2024-7</v>
      </c>
    </row>
    <row r="889" spans="17:24" x14ac:dyDescent="0.3">
      <c r="Q889" t="s">
        <v>21</v>
      </c>
      <c r="R889" t="s">
        <v>66</v>
      </c>
      <c r="S889" t="s">
        <v>427</v>
      </c>
      <c r="T889">
        <v>36397</v>
      </c>
      <c r="U889">
        <v>3</v>
      </c>
      <c r="V889">
        <f t="shared" si="46"/>
        <v>2024</v>
      </c>
      <c r="W889">
        <f t="shared" si="47"/>
        <v>7</v>
      </c>
      <c r="X889" t="str">
        <f t="shared" si="48"/>
        <v>2024-7</v>
      </c>
    </row>
    <row r="890" spans="17:24" x14ac:dyDescent="0.3">
      <c r="Q890" t="s">
        <v>12</v>
      </c>
      <c r="R890" t="s">
        <v>101</v>
      </c>
      <c r="S890" t="s">
        <v>427</v>
      </c>
      <c r="T890">
        <v>95490</v>
      </c>
      <c r="U890">
        <v>9</v>
      </c>
      <c r="V890">
        <f t="shared" si="46"/>
        <v>2024</v>
      </c>
      <c r="W890">
        <f t="shared" si="47"/>
        <v>7</v>
      </c>
      <c r="X890" t="str">
        <f t="shared" si="48"/>
        <v>2024-7</v>
      </c>
    </row>
    <row r="891" spans="17:24" x14ac:dyDescent="0.3">
      <c r="Q891" t="s">
        <v>47</v>
      </c>
      <c r="R891" t="s">
        <v>318</v>
      </c>
      <c r="S891" t="s">
        <v>428</v>
      </c>
      <c r="T891">
        <v>73518</v>
      </c>
      <c r="U891">
        <v>3</v>
      </c>
      <c r="V891">
        <f t="shared" si="46"/>
        <v>2024</v>
      </c>
      <c r="W891">
        <f t="shared" si="47"/>
        <v>7</v>
      </c>
      <c r="X891" t="str">
        <f t="shared" si="48"/>
        <v>2024-7</v>
      </c>
    </row>
    <row r="892" spans="17:24" x14ac:dyDescent="0.3">
      <c r="Q892" t="s">
        <v>50</v>
      </c>
      <c r="R892" t="s">
        <v>77</v>
      </c>
      <c r="S892" t="s">
        <v>429</v>
      </c>
      <c r="T892">
        <v>84549</v>
      </c>
      <c r="U892">
        <v>6</v>
      </c>
      <c r="V892">
        <f t="shared" si="46"/>
        <v>2024</v>
      </c>
      <c r="W892">
        <f t="shared" si="47"/>
        <v>7</v>
      </c>
      <c r="X892" t="str">
        <f t="shared" si="48"/>
        <v>2024-7</v>
      </c>
    </row>
    <row r="893" spans="17:24" x14ac:dyDescent="0.3">
      <c r="Q893" t="s">
        <v>45</v>
      </c>
      <c r="R893" t="s">
        <v>59</v>
      </c>
      <c r="S893" t="s">
        <v>429</v>
      </c>
      <c r="T893">
        <v>31595</v>
      </c>
      <c r="U893">
        <v>7</v>
      </c>
      <c r="V893">
        <f t="shared" si="46"/>
        <v>2024</v>
      </c>
      <c r="W893">
        <f t="shared" si="47"/>
        <v>7</v>
      </c>
      <c r="X893" t="str">
        <f t="shared" si="48"/>
        <v>2024-7</v>
      </c>
    </row>
    <row r="894" spans="17:24" x14ac:dyDescent="0.3">
      <c r="Q894" t="s">
        <v>47</v>
      </c>
      <c r="R894" t="s">
        <v>144</v>
      </c>
      <c r="S894" t="s">
        <v>429</v>
      </c>
      <c r="T894">
        <v>50566</v>
      </c>
      <c r="U894">
        <v>8</v>
      </c>
      <c r="V894">
        <f t="shared" si="46"/>
        <v>2024</v>
      </c>
      <c r="W894">
        <f t="shared" si="47"/>
        <v>7</v>
      </c>
      <c r="X894" t="str">
        <f t="shared" si="48"/>
        <v>2024-7</v>
      </c>
    </row>
    <row r="895" spans="17:24" x14ac:dyDescent="0.3">
      <c r="Q895" t="s">
        <v>18</v>
      </c>
      <c r="R895" t="s">
        <v>315</v>
      </c>
      <c r="S895" t="s">
        <v>429</v>
      </c>
      <c r="T895">
        <v>10305</v>
      </c>
      <c r="U895">
        <v>8</v>
      </c>
      <c r="V895">
        <f t="shared" si="46"/>
        <v>2024</v>
      </c>
      <c r="W895">
        <f t="shared" si="47"/>
        <v>7</v>
      </c>
      <c r="X895" t="str">
        <f t="shared" si="48"/>
        <v>2024-7</v>
      </c>
    </row>
    <row r="896" spans="17:24" x14ac:dyDescent="0.3">
      <c r="Q896" t="s">
        <v>50</v>
      </c>
      <c r="R896" t="s">
        <v>103</v>
      </c>
      <c r="S896" t="s">
        <v>429</v>
      </c>
      <c r="T896">
        <v>25553</v>
      </c>
      <c r="U896">
        <v>4</v>
      </c>
      <c r="V896">
        <f t="shared" si="46"/>
        <v>2024</v>
      </c>
      <c r="W896">
        <f t="shared" si="47"/>
        <v>7</v>
      </c>
      <c r="X896" t="str">
        <f t="shared" si="48"/>
        <v>2024-7</v>
      </c>
    </row>
    <row r="897" spans="17:24" x14ac:dyDescent="0.3">
      <c r="Q897" t="s">
        <v>40</v>
      </c>
      <c r="R897" t="s">
        <v>25</v>
      </c>
      <c r="S897" t="s">
        <v>429</v>
      </c>
      <c r="T897">
        <v>62550</v>
      </c>
      <c r="U897">
        <v>7</v>
      </c>
      <c r="V897">
        <f t="shared" si="46"/>
        <v>2024</v>
      </c>
      <c r="W897">
        <f t="shared" si="47"/>
        <v>7</v>
      </c>
      <c r="X897" t="str">
        <f t="shared" si="48"/>
        <v>2024-7</v>
      </c>
    </row>
    <row r="898" spans="17:24" x14ac:dyDescent="0.3">
      <c r="Q898" t="s">
        <v>5</v>
      </c>
      <c r="R898" t="s">
        <v>273</v>
      </c>
      <c r="S898" t="s">
        <v>430</v>
      </c>
      <c r="T898">
        <v>29369</v>
      </c>
      <c r="U898">
        <v>5</v>
      </c>
      <c r="V898">
        <f t="shared" si="46"/>
        <v>2024</v>
      </c>
      <c r="W898">
        <f t="shared" si="47"/>
        <v>7</v>
      </c>
      <c r="X898" t="str">
        <f t="shared" si="48"/>
        <v>2024-7</v>
      </c>
    </row>
    <row r="899" spans="17:24" x14ac:dyDescent="0.3">
      <c r="Q899" t="s">
        <v>18</v>
      </c>
      <c r="R899" t="s">
        <v>147</v>
      </c>
      <c r="S899" t="s">
        <v>430</v>
      </c>
      <c r="T899">
        <v>18597</v>
      </c>
      <c r="U899">
        <v>7</v>
      </c>
      <c r="V899">
        <f t="shared" ref="V899:V962" si="49">YEAR(S899)</f>
        <v>2024</v>
      </c>
      <c r="W899">
        <f t="shared" ref="W899:W962" si="50">MONTH(S899)</f>
        <v>7</v>
      </c>
      <c r="X899" t="str">
        <f t="shared" ref="X899:X962" si="51">V899&amp;"-"&amp;W899</f>
        <v>2024-7</v>
      </c>
    </row>
    <row r="900" spans="17:24" x14ac:dyDescent="0.3">
      <c r="Q900" t="s">
        <v>21</v>
      </c>
      <c r="R900" t="s">
        <v>122</v>
      </c>
      <c r="S900" t="s">
        <v>430</v>
      </c>
      <c r="T900">
        <v>95910</v>
      </c>
      <c r="U900">
        <v>4</v>
      </c>
      <c r="V900">
        <f t="shared" si="49"/>
        <v>2024</v>
      </c>
      <c r="W900">
        <f t="shared" si="50"/>
        <v>7</v>
      </c>
      <c r="X900" t="str">
        <f t="shared" si="51"/>
        <v>2024-7</v>
      </c>
    </row>
    <row r="901" spans="17:24" x14ac:dyDescent="0.3">
      <c r="Q901" t="s">
        <v>45</v>
      </c>
      <c r="R901" t="s">
        <v>135</v>
      </c>
      <c r="S901" t="s">
        <v>431</v>
      </c>
      <c r="T901">
        <v>81045</v>
      </c>
      <c r="U901">
        <v>8</v>
      </c>
      <c r="V901">
        <f t="shared" si="49"/>
        <v>2024</v>
      </c>
      <c r="W901">
        <f t="shared" si="50"/>
        <v>7</v>
      </c>
      <c r="X901" t="str">
        <f t="shared" si="51"/>
        <v>2024-7</v>
      </c>
    </row>
    <row r="902" spans="17:24" x14ac:dyDescent="0.3">
      <c r="Q902" t="s">
        <v>8</v>
      </c>
      <c r="R902" t="s">
        <v>56</v>
      </c>
      <c r="S902" t="s">
        <v>432</v>
      </c>
      <c r="T902">
        <v>96091</v>
      </c>
      <c r="U902">
        <v>4</v>
      </c>
      <c r="V902">
        <f t="shared" si="49"/>
        <v>2024</v>
      </c>
      <c r="W902">
        <f t="shared" si="50"/>
        <v>7</v>
      </c>
      <c r="X902" t="str">
        <f t="shared" si="51"/>
        <v>2024-7</v>
      </c>
    </row>
    <row r="903" spans="17:24" x14ac:dyDescent="0.3">
      <c r="Q903" t="s">
        <v>5</v>
      </c>
      <c r="R903" t="s">
        <v>394</v>
      </c>
      <c r="S903" t="s">
        <v>432</v>
      </c>
      <c r="T903">
        <v>58936</v>
      </c>
      <c r="U903">
        <v>7</v>
      </c>
      <c r="V903">
        <f t="shared" si="49"/>
        <v>2024</v>
      </c>
      <c r="W903">
        <f t="shared" si="50"/>
        <v>7</v>
      </c>
      <c r="X903" t="str">
        <f t="shared" si="51"/>
        <v>2024-7</v>
      </c>
    </row>
    <row r="904" spans="17:24" x14ac:dyDescent="0.3">
      <c r="Q904" t="s">
        <v>18</v>
      </c>
      <c r="R904" t="s">
        <v>36</v>
      </c>
      <c r="S904" t="s">
        <v>432</v>
      </c>
      <c r="T904">
        <v>64570</v>
      </c>
      <c r="U904">
        <v>10</v>
      </c>
      <c r="V904">
        <f t="shared" si="49"/>
        <v>2024</v>
      </c>
      <c r="W904">
        <f t="shared" si="50"/>
        <v>7</v>
      </c>
      <c r="X904" t="str">
        <f t="shared" si="51"/>
        <v>2024-7</v>
      </c>
    </row>
    <row r="905" spans="17:24" x14ac:dyDescent="0.3">
      <c r="Q905" t="s">
        <v>5</v>
      </c>
      <c r="R905" t="s">
        <v>61</v>
      </c>
      <c r="S905" t="s">
        <v>432</v>
      </c>
      <c r="T905">
        <v>84176</v>
      </c>
      <c r="U905">
        <v>7</v>
      </c>
      <c r="V905">
        <f t="shared" si="49"/>
        <v>2024</v>
      </c>
      <c r="W905">
        <f t="shared" si="50"/>
        <v>7</v>
      </c>
      <c r="X905" t="str">
        <f t="shared" si="51"/>
        <v>2024-7</v>
      </c>
    </row>
    <row r="906" spans="17:24" x14ac:dyDescent="0.3">
      <c r="Q906" t="s">
        <v>14</v>
      </c>
      <c r="R906" t="s">
        <v>80</v>
      </c>
      <c r="S906" t="s">
        <v>433</v>
      </c>
      <c r="T906">
        <v>31478</v>
      </c>
      <c r="U906">
        <v>3</v>
      </c>
      <c r="V906">
        <f t="shared" si="49"/>
        <v>2024</v>
      </c>
      <c r="W906">
        <f t="shared" si="50"/>
        <v>7</v>
      </c>
      <c r="X906" t="str">
        <f t="shared" si="51"/>
        <v>2024-7</v>
      </c>
    </row>
    <row r="907" spans="17:24" x14ac:dyDescent="0.3">
      <c r="Q907" t="s">
        <v>28</v>
      </c>
      <c r="R907" t="s">
        <v>190</v>
      </c>
      <c r="S907" t="s">
        <v>433</v>
      </c>
      <c r="T907">
        <v>78095</v>
      </c>
      <c r="U907">
        <v>6</v>
      </c>
      <c r="V907">
        <f t="shared" si="49"/>
        <v>2024</v>
      </c>
      <c r="W907">
        <f t="shared" si="50"/>
        <v>7</v>
      </c>
      <c r="X907" t="str">
        <f t="shared" si="51"/>
        <v>2024-7</v>
      </c>
    </row>
    <row r="908" spans="17:24" x14ac:dyDescent="0.3">
      <c r="Q908" t="s">
        <v>5</v>
      </c>
      <c r="R908" t="s">
        <v>388</v>
      </c>
      <c r="S908" t="s">
        <v>433</v>
      </c>
      <c r="T908">
        <v>77668</v>
      </c>
      <c r="U908">
        <v>8</v>
      </c>
      <c r="V908">
        <f t="shared" si="49"/>
        <v>2024</v>
      </c>
      <c r="W908">
        <f t="shared" si="50"/>
        <v>7</v>
      </c>
      <c r="X908" t="str">
        <f t="shared" si="51"/>
        <v>2024-7</v>
      </c>
    </row>
    <row r="909" spans="17:24" x14ac:dyDescent="0.3">
      <c r="Q909" t="s">
        <v>47</v>
      </c>
      <c r="R909" t="s">
        <v>160</v>
      </c>
      <c r="S909" t="s">
        <v>433</v>
      </c>
      <c r="T909">
        <v>55719</v>
      </c>
      <c r="U909">
        <v>2</v>
      </c>
      <c r="V909">
        <f t="shared" si="49"/>
        <v>2024</v>
      </c>
      <c r="W909">
        <f t="shared" si="50"/>
        <v>7</v>
      </c>
      <c r="X909" t="str">
        <f t="shared" si="51"/>
        <v>2024-7</v>
      </c>
    </row>
    <row r="910" spans="17:24" x14ac:dyDescent="0.3">
      <c r="Q910" t="s">
        <v>28</v>
      </c>
      <c r="R910" t="s">
        <v>171</v>
      </c>
      <c r="S910" t="s">
        <v>434</v>
      </c>
      <c r="T910">
        <v>44575</v>
      </c>
      <c r="U910">
        <v>4</v>
      </c>
      <c r="V910">
        <f t="shared" si="49"/>
        <v>2024</v>
      </c>
      <c r="W910">
        <f t="shared" si="50"/>
        <v>7</v>
      </c>
      <c r="X910" t="str">
        <f t="shared" si="51"/>
        <v>2024-7</v>
      </c>
    </row>
    <row r="911" spans="17:24" x14ac:dyDescent="0.3">
      <c r="Q911" t="s">
        <v>10</v>
      </c>
      <c r="R911" t="s">
        <v>156</v>
      </c>
      <c r="S911" t="s">
        <v>434</v>
      </c>
      <c r="T911">
        <v>94350</v>
      </c>
      <c r="U911">
        <v>8</v>
      </c>
      <c r="V911">
        <f t="shared" si="49"/>
        <v>2024</v>
      </c>
      <c r="W911">
        <f t="shared" si="50"/>
        <v>7</v>
      </c>
      <c r="X911" t="str">
        <f t="shared" si="51"/>
        <v>2024-7</v>
      </c>
    </row>
    <row r="912" spans="17:24" x14ac:dyDescent="0.3">
      <c r="Q912" t="s">
        <v>50</v>
      </c>
      <c r="R912" t="s">
        <v>167</v>
      </c>
      <c r="S912" t="s">
        <v>434</v>
      </c>
      <c r="T912">
        <v>95899</v>
      </c>
      <c r="U912">
        <v>6</v>
      </c>
      <c r="V912">
        <f t="shared" si="49"/>
        <v>2024</v>
      </c>
      <c r="W912">
        <f t="shared" si="50"/>
        <v>7</v>
      </c>
      <c r="X912" t="str">
        <f t="shared" si="51"/>
        <v>2024-7</v>
      </c>
    </row>
    <row r="913" spans="17:24" x14ac:dyDescent="0.3">
      <c r="Q913" t="s">
        <v>45</v>
      </c>
      <c r="R913" t="s">
        <v>305</v>
      </c>
      <c r="S913" t="s">
        <v>434</v>
      </c>
      <c r="T913">
        <v>33675</v>
      </c>
      <c r="U913">
        <v>5</v>
      </c>
      <c r="V913">
        <f t="shared" si="49"/>
        <v>2024</v>
      </c>
      <c r="W913">
        <f t="shared" si="50"/>
        <v>7</v>
      </c>
      <c r="X913" t="str">
        <f t="shared" si="51"/>
        <v>2024-7</v>
      </c>
    </row>
    <row r="914" spans="17:24" x14ac:dyDescent="0.3">
      <c r="Q914" t="s">
        <v>14</v>
      </c>
      <c r="R914" t="s">
        <v>48</v>
      </c>
      <c r="S914" t="s">
        <v>434</v>
      </c>
      <c r="T914">
        <v>55617</v>
      </c>
      <c r="U914">
        <v>6</v>
      </c>
      <c r="V914">
        <f t="shared" si="49"/>
        <v>2024</v>
      </c>
      <c r="W914">
        <f t="shared" si="50"/>
        <v>7</v>
      </c>
      <c r="X914" t="str">
        <f t="shared" si="51"/>
        <v>2024-7</v>
      </c>
    </row>
    <row r="915" spans="17:24" x14ac:dyDescent="0.3">
      <c r="Q915" t="s">
        <v>18</v>
      </c>
      <c r="R915" t="s">
        <v>258</v>
      </c>
      <c r="S915" t="s">
        <v>435</v>
      </c>
      <c r="T915">
        <v>97832</v>
      </c>
      <c r="U915">
        <v>3</v>
      </c>
      <c r="V915">
        <f t="shared" si="49"/>
        <v>2024</v>
      </c>
      <c r="W915">
        <f t="shared" si="50"/>
        <v>7</v>
      </c>
      <c r="X915" t="str">
        <f t="shared" si="51"/>
        <v>2024-7</v>
      </c>
    </row>
    <row r="916" spans="17:24" x14ac:dyDescent="0.3">
      <c r="Q916" t="s">
        <v>8</v>
      </c>
      <c r="R916" t="s">
        <v>149</v>
      </c>
      <c r="S916" t="s">
        <v>435</v>
      </c>
      <c r="T916">
        <v>27553</v>
      </c>
      <c r="U916">
        <v>3</v>
      </c>
      <c r="V916">
        <f t="shared" si="49"/>
        <v>2024</v>
      </c>
      <c r="W916">
        <f t="shared" si="50"/>
        <v>7</v>
      </c>
      <c r="X916" t="str">
        <f t="shared" si="51"/>
        <v>2024-7</v>
      </c>
    </row>
    <row r="917" spans="17:24" x14ac:dyDescent="0.3">
      <c r="Q917" t="s">
        <v>18</v>
      </c>
      <c r="R917" t="s">
        <v>114</v>
      </c>
      <c r="S917" t="s">
        <v>435</v>
      </c>
      <c r="T917">
        <v>51805</v>
      </c>
      <c r="U917">
        <v>6</v>
      </c>
      <c r="V917">
        <f t="shared" si="49"/>
        <v>2024</v>
      </c>
      <c r="W917">
        <f t="shared" si="50"/>
        <v>7</v>
      </c>
      <c r="X917" t="str">
        <f t="shared" si="51"/>
        <v>2024-7</v>
      </c>
    </row>
    <row r="918" spans="17:24" x14ac:dyDescent="0.3">
      <c r="Q918" t="s">
        <v>10</v>
      </c>
      <c r="R918" t="s">
        <v>178</v>
      </c>
      <c r="S918" t="s">
        <v>436</v>
      </c>
      <c r="T918">
        <v>79397</v>
      </c>
      <c r="U918">
        <v>9</v>
      </c>
      <c r="V918">
        <f t="shared" si="49"/>
        <v>2024</v>
      </c>
      <c r="W918">
        <f t="shared" si="50"/>
        <v>7</v>
      </c>
      <c r="X918" t="str">
        <f t="shared" si="51"/>
        <v>2024-7</v>
      </c>
    </row>
    <row r="919" spans="17:24" x14ac:dyDescent="0.3">
      <c r="Q919" t="s">
        <v>14</v>
      </c>
      <c r="R919" t="s">
        <v>124</v>
      </c>
      <c r="S919" t="s">
        <v>436</v>
      </c>
      <c r="T919">
        <v>92198</v>
      </c>
      <c r="U919">
        <v>6</v>
      </c>
      <c r="V919">
        <f t="shared" si="49"/>
        <v>2024</v>
      </c>
      <c r="W919">
        <f t="shared" si="50"/>
        <v>7</v>
      </c>
      <c r="X919" t="str">
        <f t="shared" si="51"/>
        <v>2024-7</v>
      </c>
    </row>
    <row r="920" spans="17:24" x14ac:dyDescent="0.3">
      <c r="Q920" t="s">
        <v>21</v>
      </c>
      <c r="R920" t="s">
        <v>251</v>
      </c>
      <c r="S920" t="s">
        <v>437</v>
      </c>
      <c r="T920">
        <v>31175</v>
      </c>
      <c r="U920">
        <v>6</v>
      </c>
      <c r="V920">
        <f t="shared" si="49"/>
        <v>2024</v>
      </c>
      <c r="W920">
        <f t="shared" si="50"/>
        <v>8</v>
      </c>
      <c r="X920" t="str">
        <f t="shared" si="51"/>
        <v>2024-8</v>
      </c>
    </row>
    <row r="921" spans="17:24" x14ac:dyDescent="0.3">
      <c r="Q921" t="s">
        <v>50</v>
      </c>
      <c r="R921" t="s">
        <v>252</v>
      </c>
      <c r="S921" t="s">
        <v>438</v>
      </c>
      <c r="T921">
        <v>89439</v>
      </c>
      <c r="U921">
        <v>8</v>
      </c>
      <c r="V921">
        <f t="shared" si="49"/>
        <v>2024</v>
      </c>
      <c r="W921">
        <f t="shared" si="50"/>
        <v>8</v>
      </c>
      <c r="X921" t="str">
        <f t="shared" si="51"/>
        <v>2024-8</v>
      </c>
    </row>
    <row r="922" spans="17:24" x14ac:dyDescent="0.3">
      <c r="Q922" t="s">
        <v>45</v>
      </c>
      <c r="R922" t="s">
        <v>165</v>
      </c>
      <c r="S922" t="s">
        <v>438</v>
      </c>
      <c r="T922">
        <v>13366</v>
      </c>
      <c r="U922">
        <v>8</v>
      </c>
      <c r="V922">
        <f t="shared" si="49"/>
        <v>2024</v>
      </c>
      <c r="W922">
        <f t="shared" si="50"/>
        <v>8</v>
      </c>
      <c r="X922" t="str">
        <f t="shared" si="51"/>
        <v>2024-8</v>
      </c>
    </row>
    <row r="923" spans="17:24" x14ac:dyDescent="0.3">
      <c r="Q923" t="s">
        <v>12</v>
      </c>
      <c r="R923" t="s">
        <v>126</v>
      </c>
      <c r="S923" t="s">
        <v>438</v>
      </c>
      <c r="T923">
        <v>55525</v>
      </c>
      <c r="U923">
        <v>8</v>
      </c>
      <c r="V923">
        <f t="shared" si="49"/>
        <v>2024</v>
      </c>
      <c r="W923">
        <f t="shared" si="50"/>
        <v>8</v>
      </c>
      <c r="X923" t="str">
        <f t="shared" si="51"/>
        <v>2024-8</v>
      </c>
    </row>
    <row r="924" spans="17:24" x14ac:dyDescent="0.3">
      <c r="Q924" t="s">
        <v>50</v>
      </c>
      <c r="R924" t="s">
        <v>238</v>
      </c>
      <c r="S924" t="s">
        <v>438</v>
      </c>
      <c r="T924">
        <v>53139</v>
      </c>
      <c r="U924">
        <v>9</v>
      </c>
      <c r="V924">
        <f t="shared" si="49"/>
        <v>2024</v>
      </c>
      <c r="W924">
        <f t="shared" si="50"/>
        <v>8</v>
      </c>
      <c r="X924" t="str">
        <f t="shared" si="51"/>
        <v>2024-8</v>
      </c>
    </row>
    <row r="925" spans="17:24" x14ac:dyDescent="0.3">
      <c r="Q925" t="s">
        <v>8</v>
      </c>
      <c r="R925" t="s">
        <v>338</v>
      </c>
      <c r="S925" t="s">
        <v>438</v>
      </c>
      <c r="T925">
        <v>84178</v>
      </c>
      <c r="U925">
        <v>4</v>
      </c>
      <c r="V925">
        <f t="shared" si="49"/>
        <v>2024</v>
      </c>
      <c r="W925">
        <f t="shared" si="50"/>
        <v>8</v>
      </c>
      <c r="X925" t="str">
        <f t="shared" si="51"/>
        <v>2024-8</v>
      </c>
    </row>
    <row r="926" spans="17:24" x14ac:dyDescent="0.3">
      <c r="Q926" t="s">
        <v>8</v>
      </c>
      <c r="R926" t="s">
        <v>54</v>
      </c>
      <c r="S926" t="s">
        <v>438</v>
      </c>
      <c r="T926">
        <v>14995</v>
      </c>
      <c r="U926">
        <v>10</v>
      </c>
      <c r="V926">
        <f t="shared" si="49"/>
        <v>2024</v>
      </c>
      <c r="W926">
        <f t="shared" si="50"/>
        <v>8</v>
      </c>
      <c r="X926" t="str">
        <f t="shared" si="51"/>
        <v>2024-8</v>
      </c>
    </row>
    <row r="927" spans="17:24" x14ac:dyDescent="0.3">
      <c r="Q927" t="s">
        <v>47</v>
      </c>
      <c r="R927" t="s">
        <v>83</v>
      </c>
      <c r="S927" t="s">
        <v>439</v>
      </c>
      <c r="T927">
        <v>84755</v>
      </c>
      <c r="U927">
        <v>8</v>
      </c>
      <c r="V927">
        <f t="shared" si="49"/>
        <v>2024</v>
      </c>
      <c r="W927">
        <f t="shared" si="50"/>
        <v>8</v>
      </c>
      <c r="X927" t="str">
        <f t="shared" si="51"/>
        <v>2024-8</v>
      </c>
    </row>
    <row r="928" spans="17:24" x14ac:dyDescent="0.3">
      <c r="Q928" t="s">
        <v>28</v>
      </c>
      <c r="R928" t="s">
        <v>440</v>
      </c>
      <c r="S928" t="s">
        <v>439</v>
      </c>
      <c r="T928">
        <v>34427</v>
      </c>
      <c r="U928">
        <v>4</v>
      </c>
      <c r="V928">
        <f t="shared" si="49"/>
        <v>2024</v>
      </c>
      <c r="W928">
        <f t="shared" si="50"/>
        <v>8</v>
      </c>
      <c r="X928" t="str">
        <f t="shared" si="51"/>
        <v>2024-8</v>
      </c>
    </row>
    <row r="929" spans="17:24" x14ac:dyDescent="0.3">
      <c r="Q929" t="s">
        <v>28</v>
      </c>
      <c r="R929" t="s">
        <v>150</v>
      </c>
      <c r="S929" t="s">
        <v>439</v>
      </c>
      <c r="T929">
        <v>51328</v>
      </c>
      <c r="U929">
        <v>7</v>
      </c>
      <c r="V929">
        <f t="shared" si="49"/>
        <v>2024</v>
      </c>
      <c r="W929">
        <f t="shared" si="50"/>
        <v>8</v>
      </c>
      <c r="X929" t="str">
        <f t="shared" si="51"/>
        <v>2024-8</v>
      </c>
    </row>
    <row r="930" spans="17:24" x14ac:dyDescent="0.3">
      <c r="Q930" t="s">
        <v>8</v>
      </c>
      <c r="R930" t="s">
        <v>256</v>
      </c>
      <c r="S930" t="s">
        <v>439</v>
      </c>
      <c r="T930">
        <v>56972</v>
      </c>
      <c r="U930">
        <v>7</v>
      </c>
      <c r="V930">
        <f t="shared" si="49"/>
        <v>2024</v>
      </c>
      <c r="W930">
        <f t="shared" si="50"/>
        <v>8</v>
      </c>
      <c r="X930" t="str">
        <f t="shared" si="51"/>
        <v>2024-8</v>
      </c>
    </row>
    <row r="931" spans="17:24" x14ac:dyDescent="0.3">
      <c r="Q931" t="s">
        <v>14</v>
      </c>
      <c r="R931" t="s">
        <v>221</v>
      </c>
      <c r="S931" t="s">
        <v>439</v>
      </c>
      <c r="T931">
        <v>75966</v>
      </c>
      <c r="U931">
        <v>7</v>
      </c>
      <c r="V931">
        <f t="shared" si="49"/>
        <v>2024</v>
      </c>
      <c r="W931">
        <f t="shared" si="50"/>
        <v>8</v>
      </c>
      <c r="X931" t="str">
        <f t="shared" si="51"/>
        <v>2024-8</v>
      </c>
    </row>
    <row r="932" spans="17:24" x14ac:dyDescent="0.3">
      <c r="Q932" t="s">
        <v>12</v>
      </c>
      <c r="R932" t="s">
        <v>97</v>
      </c>
      <c r="S932" t="s">
        <v>439</v>
      </c>
      <c r="T932">
        <v>34431</v>
      </c>
      <c r="U932">
        <v>6</v>
      </c>
      <c r="V932">
        <f t="shared" si="49"/>
        <v>2024</v>
      </c>
      <c r="W932">
        <f t="shared" si="50"/>
        <v>8</v>
      </c>
      <c r="X932" t="str">
        <f t="shared" si="51"/>
        <v>2024-8</v>
      </c>
    </row>
    <row r="933" spans="17:24" x14ac:dyDescent="0.3">
      <c r="Q933" t="s">
        <v>12</v>
      </c>
      <c r="R933" t="s">
        <v>35</v>
      </c>
      <c r="S933" t="s">
        <v>439</v>
      </c>
      <c r="T933">
        <v>32825</v>
      </c>
      <c r="U933">
        <v>6</v>
      </c>
      <c r="V933">
        <f t="shared" si="49"/>
        <v>2024</v>
      </c>
      <c r="W933">
        <f t="shared" si="50"/>
        <v>8</v>
      </c>
      <c r="X933" t="str">
        <f t="shared" si="51"/>
        <v>2024-8</v>
      </c>
    </row>
    <row r="934" spans="17:24" x14ac:dyDescent="0.3">
      <c r="Q934" t="s">
        <v>14</v>
      </c>
      <c r="R934" t="s">
        <v>46</v>
      </c>
      <c r="S934" t="s">
        <v>439</v>
      </c>
      <c r="T934">
        <v>25271</v>
      </c>
      <c r="U934">
        <v>9</v>
      </c>
      <c r="V934">
        <f t="shared" si="49"/>
        <v>2024</v>
      </c>
      <c r="W934">
        <f t="shared" si="50"/>
        <v>8</v>
      </c>
      <c r="X934" t="str">
        <f t="shared" si="51"/>
        <v>2024-8</v>
      </c>
    </row>
    <row r="935" spans="17:24" x14ac:dyDescent="0.3">
      <c r="Q935" t="s">
        <v>14</v>
      </c>
      <c r="R935" t="s">
        <v>69</v>
      </c>
      <c r="S935" t="s">
        <v>441</v>
      </c>
      <c r="T935">
        <v>17389</v>
      </c>
      <c r="U935">
        <v>7</v>
      </c>
      <c r="V935">
        <f t="shared" si="49"/>
        <v>2024</v>
      </c>
      <c r="W935">
        <f t="shared" si="50"/>
        <v>8</v>
      </c>
      <c r="X935" t="str">
        <f t="shared" si="51"/>
        <v>2024-8</v>
      </c>
    </row>
    <row r="936" spans="17:24" x14ac:dyDescent="0.3">
      <c r="Q936" t="s">
        <v>47</v>
      </c>
      <c r="R936" t="s">
        <v>199</v>
      </c>
      <c r="S936" t="s">
        <v>441</v>
      </c>
      <c r="T936">
        <v>32060</v>
      </c>
      <c r="U936">
        <v>1</v>
      </c>
      <c r="V936">
        <f t="shared" si="49"/>
        <v>2024</v>
      </c>
      <c r="W936">
        <f t="shared" si="50"/>
        <v>8</v>
      </c>
      <c r="X936" t="str">
        <f t="shared" si="51"/>
        <v>2024-8</v>
      </c>
    </row>
    <row r="937" spans="17:24" x14ac:dyDescent="0.3">
      <c r="Q937" t="s">
        <v>14</v>
      </c>
      <c r="R937" t="s">
        <v>123</v>
      </c>
      <c r="S937" t="s">
        <v>442</v>
      </c>
      <c r="T937">
        <v>95697</v>
      </c>
      <c r="U937">
        <v>6</v>
      </c>
      <c r="V937">
        <f t="shared" si="49"/>
        <v>2024</v>
      </c>
      <c r="W937">
        <f t="shared" si="50"/>
        <v>8</v>
      </c>
      <c r="X937" t="str">
        <f t="shared" si="51"/>
        <v>2024-8</v>
      </c>
    </row>
    <row r="938" spans="17:24" x14ac:dyDescent="0.3">
      <c r="Q938" t="s">
        <v>12</v>
      </c>
      <c r="R938" t="s">
        <v>195</v>
      </c>
      <c r="S938" t="s">
        <v>442</v>
      </c>
      <c r="T938">
        <v>92203</v>
      </c>
      <c r="U938">
        <v>7</v>
      </c>
      <c r="V938">
        <f t="shared" si="49"/>
        <v>2024</v>
      </c>
      <c r="W938">
        <f t="shared" si="50"/>
        <v>8</v>
      </c>
      <c r="X938" t="str">
        <f t="shared" si="51"/>
        <v>2024-8</v>
      </c>
    </row>
    <row r="939" spans="17:24" x14ac:dyDescent="0.3">
      <c r="Q939" t="s">
        <v>21</v>
      </c>
      <c r="R939" t="s">
        <v>197</v>
      </c>
      <c r="S939" t="s">
        <v>442</v>
      </c>
      <c r="T939">
        <v>17341</v>
      </c>
      <c r="U939">
        <v>5</v>
      </c>
      <c r="V939">
        <f t="shared" si="49"/>
        <v>2024</v>
      </c>
      <c r="W939">
        <f t="shared" si="50"/>
        <v>8</v>
      </c>
      <c r="X939" t="str">
        <f t="shared" si="51"/>
        <v>2024-8</v>
      </c>
    </row>
    <row r="940" spans="17:24" x14ac:dyDescent="0.3">
      <c r="Q940" t="s">
        <v>5</v>
      </c>
      <c r="R940" t="s">
        <v>25</v>
      </c>
      <c r="S940" t="s">
        <v>442</v>
      </c>
      <c r="T940">
        <v>11478</v>
      </c>
      <c r="U940">
        <v>6</v>
      </c>
      <c r="V940">
        <f t="shared" si="49"/>
        <v>2024</v>
      </c>
      <c r="W940">
        <f t="shared" si="50"/>
        <v>8</v>
      </c>
      <c r="X940" t="str">
        <f t="shared" si="51"/>
        <v>2024-8</v>
      </c>
    </row>
    <row r="941" spans="17:24" x14ac:dyDescent="0.3">
      <c r="Q941" t="s">
        <v>8</v>
      </c>
      <c r="R941" t="s">
        <v>182</v>
      </c>
      <c r="S941" t="s">
        <v>442</v>
      </c>
      <c r="T941">
        <v>13433</v>
      </c>
      <c r="U941">
        <v>7</v>
      </c>
      <c r="V941">
        <f t="shared" si="49"/>
        <v>2024</v>
      </c>
      <c r="W941">
        <f t="shared" si="50"/>
        <v>8</v>
      </c>
      <c r="X941" t="str">
        <f t="shared" si="51"/>
        <v>2024-8</v>
      </c>
    </row>
    <row r="942" spans="17:24" x14ac:dyDescent="0.3">
      <c r="Q942" t="s">
        <v>5</v>
      </c>
      <c r="R942" t="s">
        <v>394</v>
      </c>
      <c r="S942" t="s">
        <v>442</v>
      </c>
      <c r="T942">
        <v>32465</v>
      </c>
      <c r="U942">
        <v>5</v>
      </c>
      <c r="V942">
        <f t="shared" si="49"/>
        <v>2024</v>
      </c>
      <c r="W942">
        <f t="shared" si="50"/>
        <v>8</v>
      </c>
      <c r="X942" t="str">
        <f t="shared" si="51"/>
        <v>2024-8</v>
      </c>
    </row>
    <row r="943" spans="17:24" x14ac:dyDescent="0.3">
      <c r="Q943" t="s">
        <v>18</v>
      </c>
      <c r="R943" t="s">
        <v>69</v>
      </c>
      <c r="S943" t="s">
        <v>443</v>
      </c>
      <c r="T943">
        <v>88473</v>
      </c>
      <c r="U943">
        <v>8</v>
      </c>
      <c r="V943">
        <f t="shared" si="49"/>
        <v>2024</v>
      </c>
      <c r="W943">
        <f t="shared" si="50"/>
        <v>8</v>
      </c>
      <c r="X943" t="str">
        <f t="shared" si="51"/>
        <v>2024-8</v>
      </c>
    </row>
    <row r="944" spans="17:24" x14ac:dyDescent="0.3">
      <c r="Q944" t="s">
        <v>28</v>
      </c>
      <c r="R944" t="s">
        <v>258</v>
      </c>
      <c r="S944" t="s">
        <v>444</v>
      </c>
      <c r="T944">
        <v>35915</v>
      </c>
      <c r="U944">
        <v>3</v>
      </c>
      <c r="V944">
        <f t="shared" si="49"/>
        <v>2024</v>
      </c>
      <c r="W944">
        <f t="shared" si="50"/>
        <v>8</v>
      </c>
      <c r="X944" t="str">
        <f t="shared" si="51"/>
        <v>2024-8</v>
      </c>
    </row>
    <row r="945" spans="17:24" x14ac:dyDescent="0.3">
      <c r="Q945" t="s">
        <v>14</v>
      </c>
      <c r="R945" t="s">
        <v>210</v>
      </c>
      <c r="S945" t="s">
        <v>444</v>
      </c>
      <c r="T945">
        <v>39702</v>
      </c>
      <c r="U945">
        <v>2</v>
      </c>
      <c r="V945">
        <f t="shared" si="49"/>
        <v>2024</v>
      </c>
      <c r="W945">
        <f t="shared" si="50"/>
        <v>8</v>
      </c>
      <c r="X945" t="str">
        <f t="shared" si="51"/>
        <v>2024-8</v>
      </c>
    </row>
    <row r="946" spans="17:24" x14ac:dyDescent="0.3">
      <c r="Q946" t="s">
        <v>28</v>
      </c>
      <c r="R946" t="s">
        <v>238</v>
      </c>
      <c r="S946" t="s">
        <v>445</v>
      </c>
      <c r="T946">
        <v>24687</v>
      </c>
      <c r="U946">
        <v>6</v>
      </c>
      <c r="V946">
        <f t="shared" si="49"/>
        <v>2024</v>
      </c>
      <c r="W946">
        <f t="shared" si="50"/>
        <v>8</v>
      </c>
      <c r="X946" t="str">
        <f t="shared" si="51"/>
        <v>2024-8</v>
      </c>
    </row>
    <row r="947" spans="17:24" x14ac:dyDescent="0.3">
      <c r="Q947" t="s">
        <v>18</v>
      </c>
      <c r="R947" t="s">
        <v>140</v>
      </c>
      <c r="S947" t="s">
        <v>445</v>
      </c>
      <c r="T947">
        <v>26664</v>
      </c>
      <c r="U947">
        <v>9</v>
      </c>
      <c r="V947">
        <f t="shared" si="49"/>
        <v>2024</v>
      </c>
      <c r="W947">
        <f t="shared" si="50"/>
        <v>8</v>
      </c>
      <c r="X947" t="str">
        <f t="shared" si="51"/>
        <v>2024-8</v>
      </c>
    </row>
    <row r="948" spans="17:24" x14ac:dyDescent="0.3">
      <c r="Q948" t="s">
        <v>50</v>
      </c>
      <c r="R948" t="s">
        <v>69</v>
      </c>
      <c r="S948" t="s">
        <v>445</v>
      </c>
      <c r="T948">
        <v>82396</v>
      </c>
      <c r="U948">
        <v>10</v>
      </c>
      <c r="V948">
        <f t="shared" si="49"/>
        <v>2024</v>
      </c>
      <c r="W948">
        <f t="shared" si="50"/>
        <v>8</v>
      </c>
      <c r="X948" t="str">
        <f t="shared" si="51"/>
        <v>2024-8</v>
      </c>
    </row>
    <row r="949" spans="17:24" x14ac:dyDescent="0.3">
      <c r="Q949" t="s">
        <v>40</v>
      </c>
      <c r="R949" t="s">
        <v>75</v>
      </c>
      <c r="S949" t="s">
        <v>445</v>
      </c>
      <c r="T949">
        <v>62807</v>
      </c>
      <c r="U949">
        <v>6</v>
      </c>
      <c r="V949">
        <f t="shared" si="49"/>
        <v>2024</v>
      </c>
      <c r="W949">
        <f t="shared" si="50"/>
        <v>8</v>
      </c>
      <c r="X949" t="str">
        <f t="shared" si="51"/>
        <v>2024-8</v>
      </c>
    </row>
    <row r="950" spans="17:24" x14ac:dyDescent="0.3">
      <c r="Q950" t="s">
        <v>40</v>
      </c>
      <c r="R950" t="s">
        <v>124</v>
      </c>
      <c r="S950" t="s">
        <v>445</v>
      </c>
      <c r="T950">
        <v>50401</v>
      </c>
      <c r="U950">
        <v>7</v>
      </c>
      <c r="V950">
        <f t="shared" si="49"/>
        <v>2024</v>
      </c>
      <c r="W950">
        <f t="shared" si="50"/>
        <v>8</v>
      </c>
      <c r="X950" t="str">
        <f t="shared" si="51"/>
        <v>2024-8</v>
      </c>
    </row>
    <row r="951" spans="17:24" x14ac:dyDescent="0.3">
      <c r="Q951" t="s">
        <v>14</v>
      </c>
      <c r="R951" t="s">
        <v>324</v>
      </c>
      <c r="S951" t="s">
        <v>445</v>
      </c>
      <c r="T951">
        <v>27667</v>
      </c>
      <c r="U951">
        <v>10</v>
      </c>
      <c r="V951">
        <f t="shared" si="49"/>
        <v>2024</v>
      </c>
      <c r="W951">
        <f t="shared" si="50"/>
        <v>8</v>
      </c>
      <c r="X951" t="str">
        <f t="shared" si="51"/>
        <v>2024-8</v>
      </c>
    </row>
    <row r="952" spans="17:24" x14ac:dyDescent="0.3">
      <c r="Q952" t="s">
        <v>45</v>
      </c>
      <c r="R952" t="s">
        <v>247</v>
      </c>
      <c r="S952" t="s">
        <v>445</v>
      </c>
      <c r="T952">
        <v>11064</v>
      </c>
      <c r="U952">
        <v>3</v>
      </c>
      <c r="V952">
        <f t="shared" si="49"/>
        <v>2024</v>
      </c>
      <c r="W952">
        <f t="shared" si="50"/>
        <v>8</v>
      </c>
      <c r="X952" t="str">
        <f t="shared" si="51"/>
        <v>2024-8</v>
      </c>
    </row>
    <row r="953" spans="17:24" x14ac:dyDescent="0.3">
      <c r="Q953" t="s">
        <v>40</v>
      </c>
      <c r="R953" t="s">
        <v>36</v>
      </c>
      <c r="S953" t="s">
        <v>445</v>
      </c>
      <c r="T953">
        <v>90538</v>
      </c>
      <c r="U953">
        <v>6</v>
      </c>
      <c r="V953">
        <f t="shared" si="49"/>
        <v>2024</v>
      </c>
      <c r="W953">
        <f t="shared" si="50"/>
        <v>8</v>
      </c>
      <c r="X953" t="str">
        <f t="shared" si="51"/>
        <v>2024-8</v>
      </c>
    </row>
    <row r="954" spans="17:24" x14ac:dyDescent="0.3">
      <c r="Q954" t="s">
        <v>14</v>
      </c>
      <c r="R954" t="s">
        <v>202</v>
      </c>
      <c r="S954" t="s">
        <v>445</v>
      </c>
      <c r="T954">
        <v>73658</v>
      </c>
      <c r="U954">
        <v>9</v>
      </c>
      <c r="V954">
        <f t="shared" si="49"/>
        <v>2024</v>
      </c>
      <c r="W954">
        <f t="shared" si="50"/>
        <v>8</v>
      </c>
      <c r="X954" t="str">
        <f t="shared" si="51"/>
        <v>2024-8</v>
      </c>
    </row>
    <row r="955" spans="17:24" x14ac:dyDescent="0.3">
      <c r="Q955" t="s">
        <v>40</v>
      </c>
      <c r="R955" t="s">
        <v>258</v>
      </c>
      <c r="S955" t="s">
        <v>446</v>
      </c>
      <c r="T955">
        <v>43575</v>
      </c>
      <c r="U955">
        <v>6</v>
      </c>
      <c r="V955">
        <f t="shared" si="49"/>
        <v>2024</v>
      </c>
      <c r="W955">
        <f t="shared" si="50"/>
        <v>8</v>
      </c>
      <c r="X955" t="str">
        <f t="shared" si="51"/>
        <v>2024-8</v>
      </c>
    </row>
    <row r="956" spans="17:24" x14ac:dyDescent="0.3">
      <c r="Q956" t="s">
        <v>8</v>
      </c>
      <c r="R956" t="s">
        <v>195</v>
      </c>
      <c r="S956" t="s">
        <v>446</v>
      </c>
      <c r="T956">
        <v>52834</v>
      </c>
      <c r="U956">
        <v>6</v>
      </c>
      <c r="V956">
        <f t="shared" si="49"/>
        <v>2024</v>
      </c>
      <c r="W956">
        <f t="shared" si="50"/>
        <v>8</v>
      </c>
      <c r="X956" t="str">
        <f t="shared" si="51"/>
        <v>2024-8</v>
      </c>
    </row>
    <row r="957" spans="17:24" x14ac:dyDescent="0.3">
      <c r="Q957" t="s">
        <v>21</v>
      </c>
      <c r="R957" t="s">
        <v>27</v>
      </c>
      <c r="S957" t="s">
        <v>447</v>
      </c>
      <c r="T957">
        <v>31342</v>
      </c>
      <c r="U957">
        <v>8</v>
      </c>
      <c r="V957">
        <f t="shared" si="49"/>
        <v>2024</v>
      </c>
      <c r="W957">
        <f t="shared" si="50"/>
        <v>8</v>
      </c>
      <c r="X957" t="str">
        <f t="shared" si="51"/>
        <v>2024-8</v>
      </c>
    </row>
    <row r="958" spans="17:24" x14ac:dyDescent="0.3">
      <c r="Q958" t="s">
        <v>12</v>
      </c>
      <c r="R958" t="s">
        <v>209</v>
      </c>
      <c r="S958" t="s">
        <v>447</v>
      </c>
      <c r="T958">
        <v>85089</v>
      </c>
      <c r="U958">
        <v>7</v>
      </c>
      <c r="V958">
        <f t="shared" si="49"/>
        <v>2024</v>
      </c>
      <c r="W958">
        <f t="shared" si="50"/>
        <v>8</v>
      </c>
      <c r="X958" t="str">
        <f t="shared" si="51"/>
        <v>2024-8</v>
      </c>
    </row>
    <row r="959" spans="17:24" x14ac:dyDescent="0.3">
      <c r="Q959" t="s">
        <v>14</v>
      </c>
      <c r="R959" t="s">
        <v>282</v>
      </c>
      <c r="S959" t="s">
        <v>447</v>
      </c>
      <c r="T959">
        <v>37038</v>
      </c>
      <c r="U959">
        <v>6</v>
      </c>
      <c r="V959">
        <f t="shared" si="49"/>
        <v>2024</v>
      </c>
      <c r="W959">
        <f t="shared" si="50"/>
        <v>8</v>
      </c>
      <c r="X959" t="str">
        <f t="shared" si="51"/>
        <v>2024-8</v>
      </c>
    </row>
    <row r="960" spans="17:24" x14ac:dyDescent="0.3">
      <c r="Q960" t="s">
        <v>45</v>
      </c>
      <c r="R960" t="s">
        <v>92</v>
      </c>
      <c r="S960" t="s">
        <v>447</v>
      </c>
      <c r="T960">
        <v>27213</v>
      </c>
      <c r="U960">
        <v>10</v>
      </c>
      <c r="V960">
        <f t="shared" si="49"/>
        <v>2024</v>
      </c>
      <c r="W960">
        <f t="shared" si="50"/>
        <v>8</v>
      </c>
      <c r="X960" t="str">
        <f t="shared" si="51"/>
        <v>2024-8</v>
      </c>
    </row>
    <row r="961" spans="17:24" x14ac:dyDescent="0.3">
      <c r="Q961" t="s">
        <v>5</v>
      </c>
      <c r="R961" t="s">
        <v>252</v>
      </c>
      <c r="S961" t="s">
        <v>447</v>
      </c>
      <c r="T961">
        <v>27746</v>
      </c>
      <c r="U961">
        <v>2</v>
      </c>
      <c r="V961">
        <f t="shared" si="49"/>
        <v>2024</v>
      </c>
      <c r="W961">
        <f t="shared" si="50"/>
        <v>8</v>
      </c>
      <c r="X961" t="str">
        <f t="shared" si="51"/>
        <v>2024-8</v>
      </c>
    </row>
    <row r="962" spans="17:24" x14ac:dyDescent="0.3">
      <c r="Q962" t="s">
        <v>47</v>
      </c>
      <c r="R962" t="s">
        <v>101</v>
      </c>
      <c r="S962" t="s">
        <v>447</v>
      </c>
      <c r="T962">
        <v>91064</v>
      </c>
      <c r="U962">
        <v>8</v>
      </c>
      <c r="V962">
        <f t="shared" si="49"/>
        <v>2024</v>
      </c>
      <c r="W962">
        <f t="shared" si="50"/>
        <v>8</v>
      </c>
      <c r="X962" t="str">
        <f t="shared" si="51"/>
        <v>2024-8</v>
      </c>
    </row>
    <row r="963" spans="17:24" x14ac:dyDescent="0.3">
      <c r="Q963" t="s">
        <v>21</v>
      </c>
      <c r="R963" t="s">
        <v>312</v>
      </c>
      <c r="S963" t="s">
        <v>448</v>
      </c>
      <c r="T963">
        <v>92257</v>
      </c>
      <c r="U963">
        <v>7</v>
      </c>
      <c r="V963">
        <f t="shared" ref="V963:V1001" si="52">YEAR(S963)</f>
        <v>2024</v>
      </c>
      <c r="W963">
        <f t="shared" ref="W963:W1001" si="53">MONTH(S963)</f>
        <v>8</v>
      </c>
      <c r="X963" t="str">
        <f t="shared" ref="X963:X1001" si="54">V963&amp;"-"&amp;W963</f>
        <v>2024-8</v>
      </c>
    </row>
    <row r="964" spans="17:24" x14ac:dyDescent="0.3">
      <c r="Q964" t="s">
        <v>8</v>
      </c>
      <c r="R964" t="s">
        <v>59</v>
      </c>
      <c r="S964" t="s">
        <v>448</v>
      </c>
      <c r="T964">
        <v>94318</v>
      </c>
      <c r="U964">
        <v>9</v>
      </c>
      <c r="V964">
        <f t="shared" si="52"/>
        <v>2024</v>
      </c>
      <c r="W964">
        <f t="shared" si="53"/>
        <v>8</v>
      </c>
      <c r="X964" t="str">
        <f t="shared" si="54"/>
        <v>2024-8</v>
      </c>
    </row>
    <row r="965" spans="17:24" x14ac:dyDescent="0.3">
      <c r="Q965" t="s">
        <v>10</v>
      </c>
      <c r="R965" t="s">
        <v>69</v>
      </c>
      <c r="S965" t="s">
        <v>448</v>
      </c>
      <c r="T965">
        <v>54519</v>
      </c>
      <c r="U965">
        <v>5</v>
      </c>
      <c r="V965">
        <f t="shared" si="52"/>
        <v>2024</v>
      </c>
      <c r="W965">
        <f t="shared" si="53"/>
        <v>8</v>
      </c>
      <c r="X965" t="str">
        <f t="shared" si="54"/>
        <v>2024-8</v>
      </c>
    </row>
    <row r="966" spans="17:24" x14ac:dyDescent="0.3">
      <c r="Q966" t="s">
        <v>8</v>
      </c>
      <c r="R966" t="s">
        <v>69</v>
      </c>
      <c r="S966" t="s">
        <v>448</v>
      </c>
      <c r="T966">
        <v>94963</v>
      </c>
      <c r="U966">
        <v>8</v>
      </c>
      <c r="V966">
        <f t="shared" si="52"/>
        <v>2024</v>
      </c>
      <c r="W966">
        <f t="shared" si="53"/>
        <v>8</v>
      </c>
      <c r="X966" t="str">
        <f t="shared" si="54"/>
        <v>2024-8</v>
      </c>
    </row>
    <row r="967" spans="17:24" x14ac:dyDescent="0.3">
      <c r="Q967" t="s">
        <v>21</v>
      </c>
      <c r="R967" t="s">
        <v>17</v>
      </c>
      <c r="S967" t="s">
        <v>449</v>
      </c>
      <c r="T967">
        <v>84263</v>
      </c>
      <c r="U967">
        <v>8</v>
      </c>
      <c r="V967">
        <f t="shared" si="52"/>
        <v>2024</v>
      </c>
      <c r="W967">
        <f t="shared" si="53"/>
        <v>8</v>
      </c>
      <c r="X967" t="str">
        <f t="shared" si="54"/>
        <v>2024-8</v>
      </c>
    </row>
    <row r="968" spans="17:24" x14ac:dyDescent="0.3">
      <c r="Q968" t="s">
        <v>21</v>
      </c>
      <c r="R968" t="s">
        <v>89</v>
      </c>
      <c r="S968" t="s">
        <v>449</v>
      </c>
      <c r="T968">
        <v>91512</v>
      </c>
      <c r="U968">
        <v>9</v>
      </c>
      <c r="V968">
        <f t="shared" si="52"/>
        <v>2024</v>
      </c>
      <c r="W968">
        <f t="shared" si="53"/>
        <v>8</v>
      </c>
      <c r="X968" t="str">
        <f t="shared" si="54"/>
        <v>2024-8</v>
      </c>
    </row>
    <row r="969" spans="17:24" x14ac:dyDescent="0.3">
      <c r="Q969" t="s">
        <v>50</v>
      </c>
      <c r="R969" t="s">
        <v>13</v>
      </c>
      <c r="S969" t="s">
        <v>449</v>
      </c>
      <c r="T969">
        <v>26145</v>
      </c>
      <c r="U969">
        <v>1</v>
      </c>
      <c r="V969">
        <f t="shared" si="52"/>
        <v>2024</v>
      </c>
      <c r="W969">
        <f t="shared" si="53"/>
        <v>8</v>
      </c>
      <c r="X969" t="str">
        <f t="shared" si="54"/>
        <v>2024-8</v>
      </c>
    </row>
    <row r="970" spans="17:24" x14ac:dyDescent="0.3">
      <c r="Q970" t="s">
        <v>5</v>
      </c>
      <c r="R970" t="s">
        <v>277</v>
      </c>
      <c r="S970" t="s">
        <v>449</v>
      </c>
      <c r="T970">
        <v>48536</v>
      </c>
      <c r="U970">
        <v>7</v>
      </c>
      <c r="V970">
        <f t="shared" si="52"/>
        <v>2024</v>
      </c>
      <c r="W970">
        <f t="shared" si="53"/>
        <v>8</v>
      </c>
      <c r="X970" t="str">
        <f t="shared" si="54"/>
        <v>2024-8</v>
      </c>
    </row>
    <row r="971" spans="17:24" x14ac:dyDescent="0.3">
      <c r="Q971" t="s">
        <v>12</v>
      </c>
      <c r="R971" t="s">
        <v>127</v>
      </c>
      <c r="S971" t="s">
        <v>449</v>
      </c>
      <c r="T971">
        <v>97952</v>
      </c>
      <c r="U971">
        <v>10</v>
      </c>
      <c r="V971">
        <f t="shared" si="52"/>
        <v>2024</v>
      </c>
      <c r="W971">
        <f t="shared" si="53"/>
        <v>8</v>
      </c>
      <c r="X971" t="str">
        <f t="shared" si="54"/>
        <v>2024-8</v>
      </c>
    </row>
    <row r="972" spans="17:24" x14ac:dyDescent="0.3">
      <c r="Q972" t="s">
        <v>45</v>
      </c>
      <c r="R972" t="s">
        <v>36</v>
      </c>
      <c r="S972" t="s">
        <v>449</v>
      </c>
      <c r="T972">
        <v>72248</v>
      </c>
      <c r="U972">
        <v>7</v>
      </c>
      <c r="V972">
        <f t="shared" si="52"/>
        <v>2024</v>
      </c>
      <c r="W972">
        <f t="shared" si="53"/>
        <v>8</v>
      </c>
      <c r="X972" t="str">
        <f t="shared" si="54"/>
        <v>2024-8</v>
      </c>
    </row>
    <row r="973" spans="17:24" x14ac:dyDescent="0.3">
      <c r="Q973" t="s">
        <v>21</v>
      </c>
      <c r="R973" t="s">
        <v>276</v>
      </c>
      <c r="S973" t="s">
        <v>450</v>
      </c>
      <c r="T973">
        <v>79261</v>
      </c>
      <c r="U973">
        <v>6</v>
      </c>
      <c r="V973">
        <f t="shared" si="52"/>
        <v>2024</v>
      </c>
      <c r="W973">
        <f t="shared" si="53"/>
        <v>8</v>
      </c>
      <c r="X973" t="str">
        <f t="shared" si="54"/>
        <v>2024-8</v>
      </c>
    </row>
    <row r="974" spans="17:24" x14ac:dyDescent="0.3">
      <c r="Q974" t="s">
        <v>5</v>
      </c>
      <c r="R974" t="s">
        <v>112</v>
      </c>
      <c r="S974" t="s">
        <v>450</v>
      </c>
      <c r="T974">
        <v>98242</v>
      </c>
      <c r="U974">
        <v>6</v>
      </c>
      <c r="V974">
        <f t="shared" si="52"/>
        <v>2024</v>
      </c>
      <c r="W974">
        <f t="shared" si="53"/>
        <v>8</v>
      </c>
      <c r="X974" t="str">
        <f t="shared" si="54"/>
        <v>2024-8</v>
      </c>
    </row>
    <row r="975" spans="17:24" x14ac:dyDescent="0.3">
      <c r="Q975" t="s">
        <v>45</v>
      </c>
      <c r="R975" t="s">
        <v>48</v>
      </c>
      <c r="S975" t="s">
        <v>450</v>
      </c>
      <c r="T975">
        <v>44969</v>
      </c>
      <c r="U975">
        <v>6</v>
      </c>
      <c r="V975">
        <f t="shared" si="52"/>
        <v>2024</v>
      </c>
      <c r="W975">
        <f t="shared" si="53"/>
        <v>8</v>
      </c>
      <c r="X975" t="str">
        <f t="shared" si="54"/>
        <v>2024-8</v>
      </c>
    </row>
    <row r="976" spans="17:24" x14ac:dyDescent="0.3">
      <c r="Q976" t="s">
        <v>14</v>
      </c>
      <c r="R976" t="s">
        <v>136</v>
      </c>
      <c r="S976" t="s">
        <v>451</v>
      </c>
      <c r="T976">
        <v>24827</v>
      </c>
      <c r="U976">
        <v>0</v>
      </c>
      <c r="V976">
        <f t="shared" si="52"/>
        <v>2024</v>
      </c>
      <c r="W976">
        <f t="shared" si="53"/>
        <v>8</v>
      </c>
      <c r="X976" t="str">
        <f t="shared" si="54"/>
        <v>2024-8</v>
      </c>
    </row>
    <row r="977" spans="17:24" x14ac:dyDescent="0.3">
      <c r="Q977" t="s">
        <v>5</v>
      </c>
      <c r="R977" t="s">
        <v>76</v>
      </c>
      <c r="S977" t="s">
        <v>451</v>
      </c>
      <c r="T977">
        <v>21289</v>
      </c>
      <c r="U977">
        <v>7</v>
      </c>
      <c r="V977">
        <f t="shared" si="52"/>
        <v>2024</v>
      </c>
      <c r="W977">
        <f t="shared" si="53"/>
        <v>8</v>
      </c>
      <c r="X977" t="str">
        <f t="shared" si="54"/>
        <v>2024-8</v>
      </c>
    </row>
    <row r="978" spans="17:24" x14ac:dyDescent="0.3">
      <c r="Q978" t="s">
        <v>10</v>
      </c>
      <c r="R978" t="s">
        <v>191</v>
      </c>
      <c r="S978" t="s">
        <v>451</v>
      </c>
      <c r="T978">
        <v>10565</v>
      </c>
      <c r="U978">
        <v>9</v>
      </c>
      <c r="V978">
        <f t="shared" si="52"/>
        <v>2024</v>
      </c>
      <c r="W978">
        <f t="shared" si="53"/>
        <v>8</v>
      </c>
      <c r="X978" t="str">
        <f t="shared" si="54"/>
        <v>2024-8</v>
      </c>
    </row>
    <row r="979" spans="17:24" x14ac:dyDescent="0.3">
      <c r="Q979" t="s">
        <v>47</v>
      </c>
      <c r="R979" t="s">
        <v>402</v>
      </c>
      <c r="S979" t="s">
        <v>452</v>
      </c>
      <c r="T979">
        <v>83288</v>
      </c>
      <c r="U979">
        <v>2</v>
      </c>
      <c r="V979">
        <f t="shared" si="52"/>
        <v>2024</v>
      </c>
      <c r="W979">
        <f t="shared" si="53"/>
        <v>8</v>
      </c>
      <c r="X979" t="str">
        <f t="shared" si="54"/>
        <v>2024-8</v>
      </c>
    </row>
    <row r="980" spans="17:24" x14ac:dyDescent="0.3">
      <c r="Q980" t="s">
        <v>47</v>
      </c>
      <c r="R980" t="s">
        <v>88</v>
      </c>
      <c r="S980" t="s">
        <v>453</v>
      </c>
      <c r="T980">
        <v>93065</v>
      </c>
      <c r="U980">
        <v>3</v>
      </c>
      <c r="V980">
        <f t="shared" si="52"/>
        <v>2024</v>
      </c>
      <c r="W980">
        <f t="shared" si="53"/>
        <v>8</v>
      </c>
      <c r="X980" t="str">
        <f t="shared" si="54"/>
        <v>2024-8</v>
      </c>
    </row>
    <row r="981" spans="17:24" x14ac:dyDescent="0.3">
      <c r="Q981" t="s">
        <v>5</v>
      </c>
      <c r="R981" t="s">
        <v>85</v>
      </c>
      <c r="S981" t="s">
        <v>453</v>
      </c>
      <c r="T981">
        <v>83575</v>
      </c>
      <c r="U981">
        <v>6</v>
      </c>
      <c r="V981">
        <f t="shared" si="52"/>
        <v>2024</v>
      </c>
      <c r="W981">
        <f t="shared" si="53"/>
        <v>8</v>
      </c>
      <c r="X981" t="str">
        <f t="shared" si="54"/>
        <v>2024-8</v>
      </c>
    </row>
    <row r="982" spans="17:24" x14ac:dyDescent="0.3">
      <c r="Q982" t="s">
        <v>28</v>
      </c>
      <c r="R982" t="s">
        <v>63</v>
      </c>
      <c r="S982" t="s">
        <v>453</v>
      </c>
      <c r="T982">
        <v>92170</v>
      </c>
      <c r="U982">
        <v>4</v>
      </c>
      <c r="V982">
        <f t="shared" si="52"/>
        <v>2024</v>
      </c>
      <c r="W982">
        <f t="shared" si="53"/>
        <v>8</v>
      </c>
      <c r="X982" t="str">
        <f t="shared" si="54"/>
        <v>2024-8</v>
      </c>
    </row>
    <row r="983" spans="17:24" x14ac:dyDescent="0.3">
      <c r="Q983" t="s">
        <v>14</v>
      </c>
      <c r="R983" t="s">
        <v>289</v>
      </c>
      <c r="S983" t="s">
        <v>453</v>
      </c>
      <c r="T983">
        <v>44049</v>
      </c>
      <c r="U983">
        <v>2</v>
      </c>
      <c r="V983">
        <f t="shared" si="52"/>
        <v>2024</v>
      </c>
      <c r="W983">
        <f t="shared" si="53"/>
        <v>8</v>
      </c>
      <c r="X983" t="str">
        <f t="shared" si="54"/>
        <v>2024-8</v>
      </c>
    </row>
    <row r="984" spans="17:24" x14ac:dyDescent="0.3">
      <c r="Q984" t="s">
        <v>21</v>
      </c>
      <c r="R984" t="s">
        <v>225</v>
      </c>
      <c r="S984" t="s">
        <v>453</v>
      </c>
      <c r="T984">
        <v>15547</v>
      </c>
      <c r="U984">
        <v>8</v>
      </c>
      <c r="V984">
        <f t="shared" si="52"/>
        <v>2024</v>
      </c>
      <c r="W984">
        <f t="shared" si="53"/>
        <v>8</v>
      </c>
      <c r="X984" t="str">
        <f t="shared" si="54"/>
        <v>2024-8</v>
      </c>
    </row>
    <row r="985" spans="17:24" x14ac:dyDescent="0.3">
      <c r="Q985" t="s">
        <v>10</v>
      </c>
      <c r="R985" t="s">
        <v>394</v>
      </c>
      <c r="S985" t="s">
        <v>453</v>
      </c>
      <c r="T985">
        <v>79621</v>
      </c>
      <c r="U985">
        <v>5</v>
      </c>
      <c r="V985">
        <f t="shared" si="52"/>
        <v>2024</v>
      </c>
      <c r="W985">
        <f t="shared" si="53"/>
        <v>8</v>
      </c>
      <c r="X985" t="str">
        <f t="shared" si="54"/>
        <v>2024-8</v>
      </c>
    </row>
    <row r="986" spans="17:24" x14ac:dyDescent="0.3">
      <c r="Q986" t="s">
        <v>14</v>
      </c>
      <c r="R986" t="s">
        <v>141</v>
      </c>
      <c r="S986" t="s">
        <v>453</v>
      </c>
      <c r="T986">
        <v>50670</v>
      </c>
      <c r="U986">
        <v>9</v>
      </c>
      <c r="V986">
        <f t="shared" si="52"/>
        <v>2024</v>
      </c>
      <c r="W986">
        <f t="shared" si="53"/>
        <v>8</v>
      </c>
      <c r="X986" t="str">
        <f t="shared" si="54"/>
        <v>2024-8</v>
      </c>
    </row>
    <row r="987" spans="17:24" x14ac:dyDescent="0.3">
      <c r="Q987" t="s">
        <v>50</v>
      </c>
      <c r="R987" t="s">
        <v>74</v>
      </c>
      <c r="S987" t="s">
        <v>454</v>
      </c>
      <c r="T987">
        <v>29651</v>
      </c>
      <c r="U987">
        <v>5</v>
      </c>
      <c r="V987">
        <f t="shared" si="52"/>
        <v>2024</v>
      </c>
      <c r="W987">
        <f t="shared" si="53"/>
        <v>8</v>
      </c>
      <c r="X987" t="str">
        <f t="shared" si="54"/>
        <v>2024-8</v>
      </c>
    </row>
    <row r="988" spans="17:24" x14ac:dyDescent="0.3">
      <c r="Q988" t="s">
        <v>28</v>
      </c>
      <c r="R988" t="s">
        <v>277</v>
      </c>
      <c r="S988" t="s">
        <v>454</v>
      </c>
      <c r="T988">
        <v>15328</v>
      </c>
      <c r="U988">
        <v>2</v>
      </c>
      <c r="V988">
        <f t="shared" si="52"/>
        <v>2024</v>
      </c>
      <c r="W988">
        <f t="shared" si="53"/>
        <v>8</v>
      </c>
      <c r="X988" t="str">
        <f t="shared" si="54"/>
        <v>2024-8</v>
      </c>
    </row>
    <row r="989" spans="17:24" x14ac:dyDescent="0.3">
      <c r="Q989" t="s">
        <v>8</v>
      </c>
      <c r="R989" t="s">
        <v>124</v>
      </c>
      <c r="S989" t="s">
        <v>455</v>
      </c>
      <c r="T989">
        <v>70952</v>
      </c>
      <c r="U989">
        <v>8</v>
      </c>
      <c r="V989">
        <f t="shared" si="52"/>
        <v>2024</v>
      </c>
      <c r="W989">
        <f t="shared" si="53"/>
        <v>8</v>
      </c>
      <c r="X989" t="str">
        <f t="shared" si="54"/>
        <v>2024-8</v>
      </c>
    </row>
    <row r="990" spans="17:24" x14ac:dyDescent="0.3">
      <c r="Q990" t="s">
        <v>18</v>
      </c>
      <c r="R990" t="s">
        <v>195</v>
      </c>
      <c r="S990" t="s">
        <v>455</v>
      </c>
      <c r="T990">
        <v>72674</v>
      </c>
      <c r="U990">
        <v>8</v>
      </c>
      <c r="V990">
        <f t="shared" si="52"/>
        <v>2024</v>
      </c>
      <c r="W990">
        <f t="shared" si="53"/>
        <v>8</v>
      </c>
      <c r="X990" t="str">
        <f t="shared" si="54"/>
        <v>2024-8</v>
      </c>
    </row>
    <row r="991" spans="17:24" x14ac:dyDescent="0.3">
      <c r="Q991" t="s">
        <v>18</v>
      </c>
      <c r="R991" t="s">
        <v>116</v>
      </c>
      <c r="S991" t="s">
        <v>456</v>
      </c>
      <c r="T991">
        <v>70903</v>
      </c>
      <c r="U991">
        <v>7</v>
      </c>
      <c r="V991">
        <f t="shared" si="52"/>
        <v>2024</v>
      </c>
      <c r="W991">
        <f t="shared" si="53"/>
        <v>8</v>
      </c>
      <c r="X991" t="str">
        <f t="shared" si="54"/>
        <v>2024-8</v>
      </c>
    </row>
    <row r="992" spans="17:24" x14ac:dyDescent="0.3">
      <c r="Q992" t="s">
        <v>45</v>
      </c>
      <c r="R992" t="s">
        <v>380</v>
      </c>
      <c r="S992" t="s">
        <v>456</v>
      </c>
      <c r="T992">
        <v>66354</v>
      </c>
      <c r="U992">
        <v>7</v>
      </c>
      <c r="V992">
        <f t="shared" si="52"/>
        <v>2024</v>
      </c>
      <c r="W992">
        <f t="shared" si="53"/>
        <v>8</v>
      </c>
      <c r="X992" t="str">
        <f t="shared" si="54"/>
        <v>2024-8</v>
      </c>
    </row>
    <row r="993" spans="17:24" x14ac:dyDescent="0.3">
      <c r="Q993" t="s">
        <v>5</v>
      </c>
      <c r="R993" t="s">
        <v>56</v>
      </c>
      <c r="S993" t="s">
        <v>456</v>
      </c>
      <c r="T993">
        <v>35034</v>
      </c>
      <c r="U993">
        <v>7</v>
      </c>
      <c r="V993">
        <f t="shared" si="52"/>
        <v>2024</v>
      </c>
      <c r="W993">
        <f t="shared" si="53"/>
        <v>8</v>
      </c>
      <c r="X993" t="str">
        <f t="shared" si="54"/>
        <v>2024-8</v>
      </c>
    </row>
    <row r="994" spans="17:24" x14ac:dyDescent="0.3">
      <c r="Q994" t="s">
        <v>40</v>
      </c>
      <c r="R994" t="s">
        <v>180</v>
      </c>
      <c r="S994" t="s">
        <v>456</v>
      </c>
      <c r="T994">
        <v>21147</v>
      </c>
      <c r="U994">
        <v>10</v>
      </c>
      <c r="V994">
        <f t="shared" si="52"/>
        <v>2024</v>
      </c>
      <c r="W994">
        <f t="shared" si="53"/>
        <v>8</v>
      </c>
      <c r="X994" t="str">
        <f t="shared" si="54"/>
        <v>2024-8</v>
      </c>
    </row>
    <row r="995" spans="17:24" x14ac:dyDescent="0.3">
      <c r="Q995" t="s">
        <v>5</v>
      </c>
      <c r="R995" t="s">
        <v>312</v>
      </c>
      <c r="S995" t="s">
        <v>456</v>
      </c>
      <c r="T995">
        <v>75478</v>
      </c>
      <c r="U995">
        <v>10</v>
      </c>
      <c r="V995">
        <f t="shared" si="52"/>
        <v>2024</v>
      </c>
      <c r="W995">
        <f t="shared" si="53"/>
        <v>8</v>
      </c>
      <c r="X995" t="str">
        <f t="shared" si="54"/>
        <v>2024-8</v>
      </c>
    </row>
    <row r="996" spans="17:24" x14ac:dyDescent="0.3">
      <c r="Q996" t="s">
        <v>40</v>
      </c>
      <c r="R996" t="s">
        <v>78</v>
      </c>
      <c r="S996" t="s">
        <v>457</v>
      </c>
      <c r="T996">
        <v>83542</v>
      </c>
      <c r="U996">
        <v>9</v>
      </c>
      <c r="V996">
        <f t="shared" si="52"/>
        <v>2024</v>
      </c>
      <c r="W996">
        <f t="shared" si="53"/>
        <v>8</v>
      </c>
      <c r="X996" t="str">
        <f t="shared" si="54"/>
        <v>2024-8</v>
      </c>
    </row>
    <row r="997" spans="17:24" x14ac:dyDescent="0.3">
      <c r="Q997" t="s">
        <v>21</v>
      </c>
      <c r="R997" t="s">
        <v>85</v>
      </c>
      <c r="S997" t="s">
        <v>457</v>
      </c>
      <c r="T997">
        <v>82691</v>
      </c>
      <c r="U997">
        <v>7</v>
      </c>
      <c r="V997">
        <f t="shared" si="52"/>
        <v>2024</v>
      </c>
      <c r="W997">
        <f t="shared" si="53"/>
        <v>8</v>
      </c>
      <c r="X997" t="str">
        <f t="shared" si="54"/>
        <v>2024-8</v>
      </c>
    </row>
    <row r="998" spans="17:24" x14ac:dyDescent="0.3">
      <c r="Q998" t="s">
        <v>12</v>
      </c>
      <c r="R998" t="s">
        <v>176</v>
      </c>
      <c r="S998" t="s">
        <v>457</v>
      </c>
      <c r="T998">
        <v>45870</v>
      </c>
      <c r="U998">
        <v>10</v>
      </c>
      <c r="V998">
        <f t="shared" si="52"/>
        <v>2024</v>
      </c>
      <c r="W998">
        <f t="shared" si="53"/>
        <v>8</v>
      </c>
      <c r="X998" t="str">
        <f t="shared" si="54"/>
        <v>2024-8</v>
      </c>
    </row>
    <row r="999" spans="17:24" x14ac:dyDescent="0.3">
      <c r="Q999" t="s">
        <v>28</v>
      </c>
      <c r="R999" t="s">
        <v>181</v>
      </c>
      <c r="S999" t="s">
        <v>458</v>
      </c>
      <c r="T999">
        <v>73916</v>
      </c>
      <c r="U999">
        <v>7</v>
      </c>
      <c r="V999">
        <f t="shared" si="52"/>
        <v>2024</v>
      </c>
      <c r="W999">
        <f t="shared" si="53"/>
        <v>9</v>
      </c>
      <c r="X999" t="str">
        <f t="shared" si="54"/>
        <v>2024-9</v>
      </c>
    </row>
    <row r="1000" spans="17:24" x14ac:dyDescent="0.3">
      <c r="Q1000" t="s">
        <v>12</v>
      </c>
      <c r="R1000" t="s">
        <v>183</v>
      </c>
      <c r="S1000" t="s">
        <v>458</v>
      </c>
      <c r="T1000">
        <v>96488</v>
      </c>
      <c r="U1000">
        <v>4</v>
      </c>
      <c r="V1000">
        <f t="shared" si="52"/>
        <v>2024</v>
      </c>
      <c r="W1000">
        <f t="shared" si="53"/>
        <v>9</v>
      </c>
      <c r="X1000" t="str">
        <f t="shared" si="54"/>
        <v>2024-9</v>
      </c>
    </row>
    <row r="1001" spans="17:24" x14ac:dyDescent="0.3">
      <c r="Q1001" t="s">
        <v>5</v>
      </c>
      <c r="R1001" t="s">
        <v>412</v>
      </c>
      <c r="S1001" t="s">
        <v>458</v>
      </c>
      <c r="T1001">
        <v>49150</v>
      </c>
      <c r="U1001">
        <v>8</v>
      </c>
      <c r="V1001">
        <f t="shared" si="52"/>
        <v>2024</v>
      </c>
      <c r="W1001">
        <f t="shared" si="53"/>
        <v>9</v>
      </c>
      <c r="X1001" t="str">
        <f t="shared" si="54"/>
        <v>2024-9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Данные</vt:lpstr>
      <vt:lpstr>результат</vt:lpstr>
      <vt:lpstr>Лист2</vt:lpstr>
      <vt:lpstr>Задача 1</vt:lpstr>
      <vt:lpstr>Задача 1.2</vt:lpstr>
      <vt:lpstr>Задача 2</vt:lpstr>
      <vt:lpstr>Задача 3.1</vt:lpstr>
      <vt:lpstr>Задача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Vefa</cp:lastModifiedBy>
  <dcterms:created xsi:type="dcterms:W3CDTF">2025-11-13T20:18:49Z</dcterms:created>
  <dcterms:modified xsi:type="dcterms:W3CDTF">2026-09-26T00:16:29Z</dcterms:modified>
</cp:coreProperties>
</file>